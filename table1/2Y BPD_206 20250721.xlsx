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defaultThemeVersion="166925"/>
  <mc:AlternateContent xmlns:mc="http://schemas.openxmlformats.org/markup-compatibility/2006">
    <mc:Choice Requires="x15">
      <x15ac:absPath xmlns:x15ac="http://schemas.microsoft.com/office/spreadsheetml/2010/11/ac" url="/Users/guojieni/Desktop/長庚/BPD/"/>
    </mc:Choice>
  </mc:AlternateContent>
  <xr:revisionPtr revIDLastSave="0" documentId="13_ncr:1_{7ACE45B9-B682-7444-BBDF-E590EFFB1448}" xr6:coauthVersionLast="47" xr6:coauthVersionMax="47" xr10:uidLastSave="{00000000-0000-0000-0000-000000000000}"/>
  <bookViews>
    <workbookView xWindow="0" yWindow="740" windowWidth="29400" windowHeight="17120" activeTab="6" xr2:uid="{00000000-000D-0000-FFFF-FFFF00000000}"/>
  </bookViews>
  <sheets>
    <sheet name="收案名單" sheetId="1" r:id="rId1"/>
    <sheet name="2Y問卷" sheetId="8" r:id="rId2"/>
    <sheet name="問卷編碼" sheetId="16" r:id="rId3"/>
    <sheet name="2Y問卷更新" sheetId="14" r:id="rId4"/>
    <sheet name="2Y檢體日期" sheetId="9" r:id="rId5"/>
    <sheet name="2Y檢體報告" sheetId="10" r:id="rId6"/>
    <sheet name="6M問卷" sheetId="5" r:id="rId7"/>
    <sheet name="6M檢體日期" sheetId="6" r:id="rId8"/>
    <sheet name="6M檢體報告" sheetId="7" r:id="rId9"/>
  </sheets>
  <definedNames>
    <definedName name="_xlnm._FilterDatabase" localSheetId="1" hidden="1">'2Y問卷'!$A$1:$DB$207</definedName>
    <definedName name="_xlnm._FilterDatabase" localSheetId="3" hidden="1">'2Y問卷更新'!$A$1:$AQ$207</definedName>
    <definedName name="_xlnm._FilterDatabase" localSheetId="4" hidden="1">'2Y檢體日期'!$A$1:$BH$207</definedName>
    <definedName name="_xlnm._FilterDatabase" localSheetId="5" hidden="1">'2Y檢體報告'!$A$1:$AT$207</definedName>
    <definedName name="_xlnm._FilterDatabase" localSheetId="6" hidden="1">'6M問卷'!$A$1:$EL$1</definedName>
    <definedName name="_xlnm._FilterDatabase" localSheetId="7" hidden="1">'6M檢體日期'!$A$1:$CF$1</definedName>
    <definedName name="_xlnm._FilterDatabase" localSheetId="8" hidden="1">'6M檢體報告'!$A$1:$V$207</definedName>
    <definedName name="_xlnm._FilterDatabase" localSheetId="0" hidden="1">收案名單!$A$1:$AN$207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F27" i="1" l="1"/>
  <c r="AF3" i="1" l="1"/>
  <c r="AF4" i="1"/>
  <c r="AF5" i="1"/>
  <c r="AF6" i="1"/>
  <c r="AF8" i="1"/>
  <c r="AF9" i="1"/>
  <c r="AF10" i="1"/>
  <c r="AF11" i="1"/>
  <c r="AF15" i="1"/>
  <c r="AF16" i="1"/>
  <c r="AF22" i="1"/>
  <c r="AF24" i="1"/>
  <c r="AF25" i="1"/>
  <c r="AF26" i="1"/>
  <c r="AF28" i="1"/>
  <c r="AF29" i="1"/>
  <c r="AF32" i="1"/>
  <c r="AF34" i="1"/>
  <c r="AF35" i="1"/>
  <c r="AF36" i="1"/>
  <c r="AF38" i="1"/>
  <c r="AF41" i="1"/>
  <c r="AF46" i="1"/>
  <c r="AF48" i="1"/>
  <c r="AF49" i="1"/>
  <c r="AF50" i="1"/>
  <c r="AF51" i="1"/>
  <c r="AF52" i="1"/>
  <c r="AF53" i="1"/>
  <c r="AF55" i="1"/>
  <c r="AF57" i="1"/>
  <c r="AF58" i="1"/>
  <c r="AF59" i="1"/>
  <c r="AF60" i="1"/>
  <c r="AF61" i="1"/>
  <c r="AF62" i="1"/>
  <c r="AF64" i="1"/>
  <c r="AF65" i="1"/>
  <c r="AF68" i="1"/>
  <c r="AF69" i="1"/>
  <c r="AF70" i="1"/>
  <c r="AF72" i="1"/>
  <c r="AF73" i="1"/>
  <c r="AF76" i="1"/>
  <c r="AF77" i="1"/>
  <c r="AF78" i="1"/>
  <c r="AF80" i="1"/>
  <c r="AF81" i="1"/>
  <c r="AF82" i="1"/>
  <c r="AF85" i="1"/>
  <c r="AF86" i="1"/>
  <c r="AF91" i="1"/>
  <c r="AF92" i="1"/>
  <c r="AF93" i="1"/>
  <c r="AF94" i="1"/>
  <c r="AF95" i="1"/>
  <c r="AF97" i="1"/>
  <c r="AF98" i="1"/>
  <c r="AF99" i="1"/>
  <c r="AF100" i="1"/>
  <c r="AF101" i="1"/>
  <c r="AF102" i="1"/>
  <c r="AF103" i="1"/>
  <c r="AF106" i="1"/>
  <c r="AF107" i="1"/>
  <c r="AF109" i="1"/>
  <c r="AF110" i="1"/>
  <c r="AF112" i="1"/>
  <c r="AF114" i="1"/>
  <c r="AF115" i="1"/>
  <c r="AF118" i="1"/>
  <c r="AF119" i="1"/>
  <c r="AF121" i="1"/>
  <c r="AF123" i="1"/>
  <c r="AF124" i="1"/>
  <c r="AF125" i="1"/>
  <c r="AF127" i="1"/>
  <c r="AF128" i="1"/>
  <c r="AF129" i="1"/>
  <c r="AF132" i="1"/>
  <c r="AF133" i="1"/>
  <c r="AF134" i="1"/>
  <c r="AF135" i="1"/>
  <c r="AF137" i="1"/>
  <c r="AF138" i="1"/>
  <c r="AF140" i="1"/>
  <c r="AF141" i="1"/>
  <c r="AF142" i="1"/>
  <c r="AF143" i="1"/>
  <c r="AF144" i="1"/>
  <c r="AF145" i="1"/>
  <c r="AF147" i="1"/>
  <c r="AF148" i="1"/>
  <c r="AF150" i="1"/>
  <c r="AF152" i="1"/>
  <c r="AF153" i="1"/>
  <c r="AF154" i="1"/>
  <c r="AF155" i="1"/>
  <c r="AF157" i="1"/>
  <c r="AF158" i="1"/>
  <c r="AF159" i="1"/>
  <c r="AF160" i="1"/>
  <c r="AF161" i="1"/>
  <c r="AF163" i="1"/>
  <c r="AF164" i="1"/>
  <c r="AF167" i="1"/>
  <c r="AF168" i="1"/>
  <c r="AF170" i="1"/>
  <c r="AF171" i="1"/>
  <c r="AF172" i="1"/>
  <c r="AF174" i="1"/>
  <c r="AF175" i="1"/>
  <c r="AF176" i="1"/>
  <c r="AF177" i="1"/>
  <c r="AF178" i="1"/>
  <c r="AF181" i="1"/>
  <c r="AF184" i="1"/>
  <c r="AF188" i="1"/>
  <c r="AF189" i="1"/>
  <c r="AF190" i="1"/>
  <c r="AF191" i="1"/>
  <c r="AF193" i="1"/>
  <c r="AF194" i="1"/>
  <c r="AF195" i="1"/>
  <c r="AF198" i="1"/>
  <c r="AF199" i="1"/>
  <c r="AF200" i="1"/>
  <c r="AF202" i="1"/>
  <c r="AF205" i="1"/>
  <c r="AF206" i="1"/>
  <c r="AF207" i="1"/>
  <c r="AF2" i="1"/>
  <c r="CL1048576" i="8" l="1"/>
  <c r="BF200" i="9" l="1"/>
  <c r="BE200" i="9"/>
  <c r="BD200" i="9"/>
  <c r="BA200" i="9"/>
  <c r="AZ200" i="9"/>
  <c r="AY200" i="9"/>
  <c r="AV200" i="9"/>
  <c r="AU200" i="9"/>
  <c r="AT200" i="9"/>
  <c r="AK200" i="9"/>
  <c r="AJ200" i="9"/>
  <c r="AI200" i="9"/>
  <c r="N200" i="9"/>
  <c r="M200" i="9"/>
  <c r="L200" i="9"/>
  <c r="N122" i="9"/>
  <c r="L122" i="9"/>
  <c r="BF205" i="9" l="1"/>
  <c r="U83" i="1"/>
  <c r="W83" i="1"/>
  <c r="AA185" i="1" l="1"/>
  <c r="Y185" i="1"/>
  <c r="W185" i="1"/>
  <c r="U185" i="1"/>
  <c r="AA184" i="1"/>
  <c r="Y184" i="1"/>
  <c r="W184" i="1"/>
  <c r="U184" i="1"/>
  <c r="H194" i="14" l="1"/>
  <c r="H191" i="14"/>
  <c r="H172" i="14"/>
  <c r="H161" i="14"/>
  <c r="H160" i="14"/>
  <c r="H158" i="14"/>
  <c r="H157" i="14"/>
  <c r="H144" i="14"/>
  <c r="H143" i="14"/>
  <c r="H134" i="14"/>
  <c r="H124" i="14"/>
  <c r="H123" i="14"/>
  <c r="H121" i="14"/>
  <c r="H115" i="14"/>
  <c r="H110" i="14"/>
  <c r="H101" i="14"/>
  <c r="H98" i="14"/>
  <c r="H92" i="14"/>
  <c r="H91" i="14"/>
  <c r="H86" i="14"/>
  <c r="H80" i="14"/>
  <c r="H69" i="14"/>
  <c r="H68" i="14"/>
  <c r="H65" i="14"/>
  <c r="H59" i="14"/>
  <c r="H58" i="14"/>
  <c r="H52" i="14"/>
  <c r="H48" i="14"/>
  <c r="H46" i="14"/>
  <c r="H32" i="14"/>
  <c r="H29" i="14"/>
  <c r="H28" i="14"/>
  <c r="H26" i="14"/>
  <c r="H25" i="14"/>
  <c r="H3" i="14"/>
  <c r="H168" i="14"/>
  <c r="H163" i="14"/>
  <c r="H159" i="14"/>
  <c r="H138" i="14"/>
  <c r="H135" i="14"/>
  <c r="H114" i="14"/>
  <c r="H107" i="14"/>
  <c r="H106" i="14"/>
  <c r="H102" i="14"/>
  <c r="H97" i="14"/>
  <c r="H82" i="14"/>
  <c r="H81" i="14"/>
  <c r="H72" i="14"/>
  <c r="H61" i="14"/>
  <c r="H60" i="14"/>
  <c r="H55" i="14"/>
  <c r="H53" i="14"/>
  <c r="H51" i="14"/>
  <c r="H6" i="14"/>
  <c r="H2" i="14"/>
  <c r="M172" i="1" l="1"/>
  <c r="O172" i="1"/>
  <c r="Q172" i="1"/>
  <c r="S172" i="1"/>
  <c r="U172" i="1"/>
  <c r="W172" i="1"/>
  <c r="Y172" i="1"/>
  <c r="AA172" i="1"/>
  <c r="Y191" i="1"/>
  <c r="W56" i="1" l="1"/>
  <c r="W72" i="1" l="1"/>
  <c r="O180" i="1"/>
  <c r="BF80" i="9"/>
  <c r="BF68" i="9"/>
  <c r="L32" i="9"/>
  <c r="AA2" i="1"/>
  <c r="U144" i="1" l="1"/>
  <c r="BA172" i="9"/>
  <c r="N3" i="6" l="1"/>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 i="6"/>
  <c r="AK3" i="6"/>
  <c r="AK4" i="6"/>
  <c r="AK5" i="6"/>
  <c r="AK6" i="6"/>
  <c r="AK7" i="6"/>
  <c r="AK8" i="6"/>
  <c r="AK9" i="6"/>
  <c r="AK10" i="6"/>
  <c r="AK11" i="6"/>
  <c r="AK12" i="6"/>
  <c r="AK13" i="6"/>
  <c r="AK14" i="6"/>
  <c r="AK15" i="6"/>
  <c r="AK16" i="6"/>
  <c r="AK17" i="6"/>
  <c r="AK18" i="6"/>
  <c r="AK19" i="6"/>
  <c r="AK20" i="6"/>
  <c r="AK21" i="6"/>
  <c r="AK22" i="6"/>
  <c r="AK23" i="6"/>
  <c r="AK24" i="6"/>
  <c r="AK25" i="6"/>
  <c r="AK26" i="6"/>
  <c r="AK27" i="6"/>
  <c r="AK28" i="6"/>
  <c r="AK29" i="6"/>
  <c r="AK30" i="6"/>
  <c r="AK31" i="6"/>
  <c r="AK32" i="6"/>
  <c r="AK33" i="6"/>
  <c r="AK34" i="6"/>
  <c r="AK35" i="6"/>
  <c r="AK36" i="6"/>
  <c r="AK37" i="6"/>
  <c r="AK38" i="6"/>
  <c r="AK39" i="6"/>
  <c r="AK40" i="6"/>
  <c r="AK41" i="6"/>
  <c r="AK42" i="6"/>
  <c r="AK43" i="6"/>
  <c r="AK44" i="6"/>
  <c r="AK45" i="6"/>
  <c r="AK46" i="6"/>
  <c r="AK47" i="6"/>
  <c r="AK48" i="6"/>
  <c r="AK49" i="6"/>
  <c r="AK50" i="6"/>
  <c r="AK51" i="6"/>
  <c r="AK52" i="6"/>
  <c r="AK53" i="6"/>
  <c r="AK54" i="6"/>
  <c r="AK55" i="6"/>
  <c r="AK56" i="6"/>
  <c r="AK57" i="6"/>
  <c r="AK58" i="6"/>
  <c r="AK59" i="6"/>
  <c r="AK60" i="6"/>
  <c r="AK61" i="6"/>
  <c r="AK62" i="6"/>
  <c r="AK63" i="6"/>
  <c r="AK64" i="6"/>
  <c r="AK65" i="6"/>
  <c r="AK66" i="6"/>
  <c r="AK67" i="6"/>
  <c r="AK68" i="6"/>
  <c r="AK69" i="6"/>
  <c r="AK70" i="6"/>
  <c r="AK71" i="6"/>
  <c r="AK72" i="6"/>
  <c r="AK73" i="6"/>
  <c r="AK74" i="6"/>
  <c r="AK75" i="6"/>
  <c r="AK76" i="6"/>
  <c r="AK77" i="6"/>
  <c r="AK78" i="6"/>
  <c r="AK79" i="6"/>
  <c r="AK80" i="6"/>
  <c r="AK81" i="6"/>
  <c r="AK82" i="6"/>
  <c r="AK83" i="6"/>
  <c r="AK84" i="6"/>
  <c r="AK85" i="6"/>
  <c r="AK86" i="6"/>
  <c r="AK87" i="6"/>
  <c r="AK88" i="6"/>
  <c r="AK89" i="6"/>
  <c r="AK90" i="6"/>
  <c r="AK91" i="6"/>
  <c r="AK92" i="6"/>
  <c r="AK93" i="6"/>
  <c r="AK94" i="6"/>
  <c r="AK95" i="6"/>
  <c r="AK96" i="6"/>
  <c r="AK97" i="6"/>
  <c r="AK98" i="6"/>
  <c r="AK99" i="6"/>
  <c r="AK100" i="6"/>
  <c r="AK101" i="6"/>
  <c r="AK102" i="6"/>
  <c r="AK103" i="6"/>
  <c r="AK104" i="6"/>
  <c r="AK105" i="6"/>
  <c r="AK106" i="6"/>
  <c r="AK107" i="6"/>
  <c r="AK108" i="6"/>
  <c r="AK109" i="6"/>
  <c r="AK110" i="6"/>
  <c r="AK111" i="6"/>
  <c r="AK112" i="6"/>
  <c r="AK113" i="6"/>
  <c r="AK114" i="6"/>
  <c r="AK115" i="6"/>
  <c r="AK116" i="6"/>
  <c r="AK117" i="6"/>
  <c r="AK118" i="6"/>
  <c r="AK119" i="6"/>
  <c r="AK120" i="6"/>
  <c r="AK121" i="6"/>
  <c r="AK122" i="6"/>
  <c r="AK123" i="6"/>
  <c r="AK124" i="6"/>
  <c r="AK125" i="6"/>
  <c r="AK126" i="6"/>
  <c r="AK127" i="6"/>
  <c r="AK128" i="6"/>
  <c r="AK129" i="6"/>
  <c r="AK130" i="6"/>
  <c r="AK131" i="6"/>
  <c r="AK132" i="6"/>
  <c r="AK133" i="6"/>
  <c r="AK134" i="6"/>
  <c r="AK135" i="6"/>
  <c r="AK136" i="6"/>
  <c r="AK137" i="6"/>
  <c r="AK138" i="6"/>
  <c r="AK139" i="6"/>
  <c r="AK140" i="6"/>
  <c r="AK141" i="6"/>
  <c r="AK142" i="6"/>
  <c r="AK143" i="6"/>
  <c r="AK144" i="6"/>
  <c r="AK145" i="6"/>
  <c r="AK146" i="6"/>
  <c r="AK147" i="6"/>
  <c r="AK148" i="6"/>
  <c r="AK149" i="6"/>
  <c r="AK150" i="6"/>
  <c r="AK151" i="6"/>
  <c r="AK152" i="6"/>
  <c r="AK153" i="6"/>
  <c r="AK154" i="6"/>
  <c r="AK155" i="6"/>
  <c r="AK156" i="6"/>
  <c r="AK157" i="6"/>
  <c r="AK158" i="6"/>
  <c r="AK159" i="6"/>
  <c r="AK160" i="6"/>
  <c r="AK161" i="6"/>
  <c r="AK162" i="6"/>
  <c r="AK163" i="6"/>
  <c r="AK164" i="6"/>
  <c r="AK165" i="6"/>
  <c r="AK166" i="6"/>
  <c r="AK167" i="6"/>
  <c r="AK168" i="6"/>
  <c r="AK169" i="6"/>
  <c r="AK170" i="6"/>
  <c r="AK171" i="6"/>
  <c r="AK172" i="6"/>
  <c r="AK173" i="6"/>
  <c r="AK174" i="6"/>
  <c r="AK175" i="6"/>
  <c r="AK176" i="6"/>
  <c r="AK177" i="6"/>
  <c r="AK178" i="6"/>
  <c r="AK179" i="6"/>
  <c r="AK180" i="6"/>
  <c r="AK181" i="6"/>
  <c r="AK182" i="6"/>
  <c r="AK183" i="6"/>
  <c r="AK184" i="6"/>
  <c r="AK185" i="6"/>
  <c r="AK186" i="6"/>
  <c r="AK187" i="6"/>
  <c r="AK188" i="6"/>
  <c r="AK189" i="6"/>
  <c r="AK190" i="6"/>
  <c r="AK191" i="6"/>
  <c r="AK192" i="6"/>
  <c r="AK193" i="6"/>
  <c r="AK194" i="6"/>
  <c r="AK195" i="6"/>
  <c r="AK196" i="6"/>
  <c r="AK197" i="6"/>
  <c r="AK198" i="6"/>
  <c r="AK199" i="6"/>
  <c r="AK200" i="6"/>
  <c r="AK201" i="6"/>
  <c r="AK202" i="6"/>
  <c r="AK203" i="6"/>
  <c r="AK204" i="6"/>
  <c r="AK205" i="6"/>
  <c r="AK206" i="6"/>
  <c r="AK207" i="6"/>
  <c r="AK2" i="6"/>
  <c r="AV3" i="6"/>
  <c r="AV4" i="6"/>
  <c r="AV5" i="6"/>
  <c r="AV6" i="6"/>
  <c r="AV7" i="6"/>
  <c r="AV8" i="6"/>
  <c r="AV9" i="6"/>
  <c r="AV10" i="6"/>
  <c r="AV11" i="6"/>
  <c r="AV12" i="6"/>
  <c r="AV13" i="6"/>
  <c r="AV14" i="6"/>
  <c r="AV15" i="6"/>
  <c r="AV16" i="6"/>
  <c r="AV17" i="6"/>
  <c r="AV18" i="6"/>
  <c r="AV19" i="6"/>
  <c r="AV20" i="6"/>
  <c r="AV21" i="6"/>
  <c r="AV22" i="6"/>
  <c r="AV23" i="6"/>
  <c r="AV24" i="6"/>
  <c r="AV25" i="6"/>
  <c r="AV26" i="6"/>
  <c r="AV27" i="6"/>
  <c r="AV28" i="6"/>
  <c r="AV29" i="6"/>
  <c r="AV30" i="6"/>
  <c r="AV31" i="6"/>
  <c r="AV32" i="6"/>
  <c r="AV33" i="6"/>
  <c r="AV34" i="6"/>
  <c r="AV35" i="6"/>
  <c r="AV36" i="6"/>
  <c r="AV37" i="6"/>
  <c r="AV38" i="6"/>
  <c r="AV39" i="6"/>
  <c r="AV40" i="6"/>
  <c r="AV41" i="6"/>
  <c r="AV42" i="6"/>
  <c r="AV43" i="6"/>
  <c r="AV44" i="6"/>
  <c r="AV45" i="6"/>
  <c r="AV46" i="6"/>
  <c r="AV47" i="6"/>
  <c r="AV48" i="6"/>
  <c r="AV49" i="6"/>
  <c r="AV50" i="6"/>
  <c r="AV51" i="6"/>
  <c r="AV52" i="6"/>
  <c r="AV53" i="6"/>
  <c r="AV54" i="6"/>
  <c r="AV55" i="6"/>
  <c r="AV56" i="6"/>
  <c r="AV57" i="6"/>
  <c r="AV58" i="6"/>
  <c r="AV59" i="6"/>
  <c r="AV60" i="6"/>
  <c r="AV61" i="6"/>
  <c r="AV62" i="6"/>
  <c r="AV63" i="6"/>
  <c r="AV64" i="6"/>
  <c r="AV65" i="6"/>
  <c r="AV66" i="6"/>
  <c r="AV67" i="6"/>
  <c r="AV68" i="6"/>
  <c r="AV69" i="6"/>
  <c r="AV70" i="6"/>
  <c r="AV71" i="6"/>
  <c r="AV72" i="6"/>
  <c r="AV73" i="6"/>
  <c r="AV74" i="6"/>
  <c r="AV75" i="6"/>
  <c r="AV76" i="6"/>
  <c r="AV77" i="6"/>
  <c r="AV78" i="6"/>
  <c r="AV79" i="6"/>
  <c r="AV80" i="6"/>
  <c r="AV81" i="6"/>
  <c r="AV82" i="6"/>
  <c r="AV83" i="6"/>
  <c r="AV84" i="6"/>
  <c r="AV85" i="6"/>
  <c r="AV86" i="6"/>
  <c r="AV87" i="6"/>
  <c r="AV88" i="6"/>
  <c r="AV89" i="6"/>
  <c r="AV90" i="6"/>
  <c r="AV91" i="6"/>
  <c r="AV92" i="6"/>
  <c r="AV93" i="6"/>
  <c r="AV94" i="6"/>
  <c r="AV95" i="6"/>
  <c r="AV96" i="6"/>
  <c r="AV97" i="6"/>
  <c r="AV98" i="6"/>
  <c r="AV99" i="6"/>
  <c r="AV100" i="6"/>
  <c r="AV101" i="6"/>
  <c r="AV102" i="6"/>
  <c r="AV103" i="6"/>
  <c r="AV104" i="6"/>
  <c r="AV105" i="6"/>
  <c r="AV106" i="6"/>
  <c r="AV107" i="6"/>
  <c r="AV108" i="6"/>
  <c r="AV109" i="6"/>
  <c r="AV110" i="6"/>
  <c r="AV111" i="6"/>
  <c r="AV112" i="6"/>
  <c r="AV113" i="6"/>
  <c r="AV114" i="6"/>
  <c r="AV115" i="6"/>
  <c r="AV116" i="6"/>
  <c r="AV117" i="6"/>
  <c r="AV118" i="6"/>
  <c r="AV119" i="6"/>
  <c r="AV120" i="6"/>
  <c r="AV121" i="6"/>
  <c r="AV122" i="6"/>
  <c r="AV123" i="6"/>
  <c r="AV124" i="6"/>
  <c r="AV125" i="6"/>
  <c r="AV126" i="6"/>
  <c r="AV127" i="6"/>
  <c r="AV128" i="6"/>
  <c r="AV129" i="6"/>
  <c r="AV130" i="6"/>
  <c r="AV131" i="6"/>
  <c r="AV132" i="6"/>
  <c r="AV133" i="6"/>
  <c r="AV134" i="6"/>
  <c r="AV135" i="6"/>
  <c r="AV136" i="6"/>
  <c r="AV137" i="6"/>
  <c r="AV138" i="6"/>
  <c r="AV139" i="6"/>
  <c r="AV140" i="6"/>
  <c r="AV141" i="6"/>
  <c r="AV142" i="6"/>
  <c r="AV143" i="6"/>
  <c r="AV144" i="6"/>
  <c r="AV145" i="6"/>
  <c r="AV146" i="6"/>
  <c r="AV147" i="6"/>
  <c r="AV148" i="6"/>
  <c r="AV149" i="6"/>
  <c r="AV150" i="6"/>
  <c r="AV151" i="6"/>
  <c r="AV152" i="6"/>
  <c r="AV153" i="6"/>
  <c r="AV154" i="6"/>
  <c r="AV155" i="6"/>
  <c r="AV156" i="6"/>
  <c r="AV157" i="6"/>
  <c r="AV158" i="6"/>
  <c r="AV159" i="6"/>
  <c r="AV160" i="6"/>
  <c r="AV161" i="6"/>
  <c r="AV162" i="6"/>
  <c r="AV163" i="6"/>
  <c r="AV164" i="6"/>
  <c r="AV165" i="6"/>
  <c r="AV166" i="6"/>
  <c r="AV167" i="6"/>
  <c r="AV168" i="6"/>
  <c r="AV169" i="6"/>
  <c r="AV170" i="6"/>
  <c r="AV171" i="6"/>
  <c r="AV172" i="6"/>
  <c r="AV173" i="6"/>
  <c r="AV174" i="6"/>
  <c r="AV175" i="6"/>
  <c r="AV176" i="6"/>
  <c r="AV177" i="6"/>
  <c r="AV178" i="6"/>
  <c r="AV179" i="6"/>
  <c r="AV180" i="6"/>
  <c r="AV181" i="6"/>
  <c r="AV182" i="6"/>
  <c r="AV183" i="6"/>
  <c r="AV184" i="6"/>
  <c r="AV185" i="6"/>
  <c r="AV186" i="6"/>
  <c r="AV187" i="6"/>
  <c r="AV188" i="6"/>
  <c r="AV189" i="6"/>
  <c r="AV190" i="6"/>
  <c r="AV191" i="6"/>
  <c r="AV192" i="6"/>
  <c r="AV193" i="6"/>
  <c r="AV194" i="6"/>
  <c r="AV195" i="6"/>
  <c r="AV196" i="6"/>
  <c r="AV197" i="6"/>
  <c r="AV198" i="6"/>
  <c r="AV199" i="6"/>
  <c r="AV200" i="6"/>
  <c r="AV201" i="6"/>
  <c r="AV202" i="6"/>
  <c r="AV203" i="6"/>
  <c r="AV204" i="6"/>
  <c r="AV205" i="6"/>
  <c r="AV206" i="6"/>
  <c r="AV207" i="6"/>
  <c r="AV2" i="6"/>
  <c r="BA3" i="6"/>
  <c r="BA4" i="6"/>
  <c r="BA5" i="6"/>
  <c r="BA6" i="6"/>
  <c r="BA7" i="6"/>
  <c r="BA8" i="6"/>
  <c r="BA9" i="6"/>
  <c r="BA10" i="6"/>
  <c r="BA11" i="6"/>
  <c r="BA12" i="6"/>
  <c r="BA13" i="6"/>
  <c r="BA14" i="6"/>
  <c r="BA15" i="6"/>
  <c r="BA16" i="6"/>
  <c r="BA17" i="6"/>
  <c r="BA18" i="6"/>
  <c r="BA19" i="6"/>
  <c r="BA20" i="6"/>
  <c r="BA21" i="6"/>
  <c r="BA22" i="6"/>
  <c r="BA23" i="6"/>
  <c r="BA24" i="6"/>
  <c r="BA25" i="6"/>
  <c r="BA26" i="6"/>
  <c r="BA27" i="6"/>
  <c r="BA28" i="6"/>
  <c r="BA29" i="6"/>
  <c r="BA30" i="6"/>
  <c r="BA31" i="6"/>
  <c r="BA32" i="6"/>
  <c r="BA33" i="6"/>
  <c r="BA34" i="6"/>
  <c r="BA35" i="6"/>
  <c r="BA36" i="6"/>
  <c r="BA37" i="6"/>
  <c r="BA38" i="6"/>
  <c r="BA39" i="6"/>
  <c r="BA40" i="6"/>
  <c r="BA41" i="6"/>
  <c r="BA42" i="6"/>
  <c r="BA43" i="6"/>
  <c r="BA44" i="6"/>
  <c r="BA45" i="6"/>
  <c r="BA46" i="6"/>
  <c r="BA47" i="6"/>
  <c r="BA48" i="6"/>
  <c r="BA49" i="6"/>
  <c r="BA50" i="6"/>
  <c r="BA51" i="6"/>
  <c r="BA52" i="6"/>
  <c r="BA53" i="6"/>
  <c r="BA54" i="6"/>
  <c r="BA55" i="6"/>
  <c r="BA56" i="6"/>
  <c r="BA57" i="6"/>
  <c r="BA58" i="6"/>
  <c r="BA59" i="6"/>
  <c r="BA60" i="6"/>
  <c r="BA61" i="6"/>
  <c r="BA62" i="6"/>
  <c r="BA63" i="6"/>
  <c r="BA64" i="6"/>
  <c r="BA65" i="6"/>
  <c r="BA66" i="6"/>
  <c r="BA67" i="6"/>
  <c r="BA68" i="6"/>
  <c r="BA69" i="6"/>
  <c r="BA70" i="6"/>
  <c r="BA71" i="6"/>
  <c r="BA72" i="6"/>
  <c r="BA73" i="6"/>
  <c r="BA74" i="6"/>
  <c r="BA75" i="6"/>
  <c r="BA76" i="6"/>
  <c r="BA77" i="6"/>
  <c r="BA78" i="6"/>
  <c r="BA79" i="6"/>
  <c r="BA80" i="6"/>
  <c r="BA81" i="6"/>
  <c r="BA82" i="6"/>
  <c r="BA83" i="6"/>
  <c r="BA84" i="6"/>
  <c r="BA85" i="6"/>
  <c r="BA86" i="6"/>
  <c r="BA87" i="6"/>
  <c r="BA88" i="6"/>
  <c r="BA89" i="6"/>
  <c r="BA90" i="6"/>
  <c r="BA91" i="6"/>
  <c r="BA92" i="6"/>
  <c r="BA93" i="6"/>
  <c r="BA94" i="6"/>
  <c r="BA95" i="6"/>
  <c r="BA96" i="6"/>
  <c r="BA97" i="6"/>
  <c r="BA98" i="6"/>
  <c r="BA99" i="6"/>
  <c r="BA100" i="6"/>
  <c r="BA101" i="6"/>
  <c r="BA102" i="6"/>
  <c r="BA103" i="6"/>
  <c r="BA104" i="6"/>
  <c r="BA105" i="6"/>
  <c r="BA106" i="6"/>
  <c r="BA107" i="6"/>
  <c r="BA108" i="6"/>
  <c r="BA109" i="6"/>
  <c r="BA110" i="6"/>
  <c r="BA111" i="6"/>
  <c r="BA112" i="6"/>
  <c r="BA113" i="6"/>
  <c r="BA114" i="6"/>
  <c r="BA115" i="6"/>
  <c r="BA116" i="6"/>
  <c r="BA117" i="6"/>
  <c r="BA118" i="6"/>
  <c r="BA119" i="6"/>
  <c r="BA120" i="6"/>
  <c r="BA121" i="6"/>
  <c r="BA122" i="6"/>
  <c r="BA123" i="6"/>
  <c r="BA124" i="6"/>
  <c r="BA125" i="6"/>
  <c r="BA126" i="6"/>
  <c r="BA127" i="6"/>
  <c r="BA128" i="6"/>
  <c r="BA129" i="6"/>
  <c r="BA130" i="6"/>
  <c r="BA131" i="6"/>
  <c r="BA132" i="6"/>
  <c r="BA133" i="6"/>
  <c r="BA134" i="6"/>
  <c r="BA135" i="6"/>
  <c r="BA136" i="6"/>
  <c r="BA137" i="6"/>
  <c r="BA138" i="6"/>
  <c r="BA139" i="6"/>
  <c r="BA140" i="6"/>
  <c r="BA141" i="6"/>
  <c r="BA142" i="6"/>
  <c r="BA143" i="6"/>
  <c r="BA144" i="6"/>
  <c r="BA145" i="6"/>
  <c r="BA146" i="6"/>
  <c r="BA147" i="6"/>
  <c r="BA148" i="6"/>
  <c r="BA149" i="6"/>
  <c r="BA150" i="6"/>
  <c r="BA151" i="6"/>
  <c r="BA152" i="6"/>
  <c r="BA153" i="6"/>
  <c r="BA154" i="6"/>
  <c r="BA155" i="6"/>
  <c r="BA156" i="6"/>
  <c r="BA157" i="6"/>
  <c r="BA158" i="6"/>
  <c r="BA159" i="6"/>
  <c r="BA160" i="6"/>
  <c r="BA161" i="6"/>
  <c r="BA162" i="6"/>
  <c r="BA163" i="6"/>
  <c r="BA164" i="6"/>
  <c r="BA165" i="6"/>
  <c r="BA166" i="6"/>
  <c r="BA167" i="6"/>
  <c r="BA168" i="6"/>
  <c r="BA169" i="6"/>
  <c r="BA170" i="6"/>
  <c r="BA171" i="6"/>
  <c r="BA172" i="6"/>
  <c r="BA173" i="6"/>
  <c r="BA174" i="6"/>
  <c r="BA175" i="6"/>
  <c r="BA176" i="6"/>
  <c r="BA177" i="6"/>
  <c r="BA178" i="6"/>
  <c r="BA179" i="6"/>
  <c r="BA180" i="6"/>
  <c r="BA181" i="6"/>
  <c r="BA182" i="6"/>
  <c r="BA183" i="6"/>
  <c r="BA184" i="6"/>
  <c r="BA185" i="6"/>
  <c r="BA186" i="6"/>
  <c r="BA187" i="6"/>
  <c r="BA188" i="6"/>
  <c r="BA189" i="6"/>
  <c r="BA190" i="6"/>
  <c r="BA191" i="6"/>
  <c r="BA192" i="6"/>
  <c r="BA193" i="6"/>
  <c r="BA194" i="6"/>
  <c r="BA195" i="6"/>
  <c r="BA196" i="6"/>
  <c r="BA197" i="6"/>
  <c r="BA198" i="6"/>
  <c r="BA199" i="6"/>
  <c r="BA200" i="6"/>
  <c r="BA201" i="6"/>
  <c r="BA202" i="6"/>
  <c r="BA203" i="6"/>
  <c r="BA204" i="6"/>
  <c r="BA205" i="6"/>
  <c r="BA206" i="6"/>
  <c r="BA207" i="6"/>
  <c r="BA2" i="6"/>
  <c r="BF3" i="6"/>
  <c r="BF4" i="6"/>
  <c r="BF5" i="6"/>
  <c r="BF6" i="6"/>
  <c r="BF7" i="6"/>
  <c r="BF8" i="6"/>
  <c r="BF9" i="6"/>
  <c r="BF10" i="6"/>
  <c r="BF11" i="6"/>
  <c r="BF12" i="6"/>
  <c r="BF13" i="6"/>
  <c r="BF14" i="6"/>
  <c r="BF15" i="6"/>
  <c r="BF16" i="6"/>
  <c r="BF17" i="6"/>
  <c r="BF18" i="6"/>
  <c r="BF19" i="6"/>
  <c r="BF20" i="6"/>
  <c r="BF21" i="6"/>
  <c r="BF22" i="6"/>
  <c r="BF23" i="6"/>
  <c r="BF24" i="6"/>
  <c r="BF25" i="6"/>
  <c r="BF26" i="6"/>
  <c r="BF27" i="6"/>
  <c r="BF28" i="6"/>
  <c r="BF29" i="6"/>
  <c r="BF30" i="6"/>
  <c r="BF31" i="6"/>
  <c r="BF32" i="6"/>
  <c r="BF33" i="6"/>
  <c r="BF34" i="6"/>
  <c r="BF35" i="6"/>
  <c r="BF36" i="6"/>
  <c r="BF37" i="6"/>
  <c r="BF38" i="6"/>
  <c r="BF39" i="6"/>
  <c r="BF40" i="6"/>
  <c r="BF41" i="6"/>
  <c r="BF42" i="6"/>
  <c r="BF43" i="6"/>
  <c r="BF44" i="6"/>
  <c r="BF45" i="6"/>
  <c r="BF46" i="6"/>
  <c r="BF47" i="6"/>
  <c r="BF48" i="6"/>
  <c r="BF49" i="6"/>
  <c r="BF50" i="6"/>
  <c r="BF51" i="6"/>
  <c r="BF52" i="6"/>
  <c r="BF53" i="6"/>
  <c r="BF54" i="6"/>
  <c r="BF55" i="6"/>
  <c r="BF56" i="6"/>
  <c r="BF57" i="6"/>
  <c r="BF58" i="6"/>
  <c r="BF59" i="6"/>
  <c r="BF60" i="6"/>
  <c r="BF61" i="6"/>
  <c r="BF62" i="6"/>
  <c r="BF63" i="6"/>
  <c r="BF64" i="6"/>
  <c r="BF65" i="6"/>
  <c r="BF66" i="6"/>
  <c r="BF67" i="6"/>
  <c r="BF68" i="6"/>
  <c r="BF69" i="6"/>
  <c r="BF70" i="6"/>
  <c r="BF71" i="6"/>
  <c r="BF72" i="6"/>
  <c r="BF73" i="6"/>
  <c r="BF74" i="6"/>
  <c r="BF75" i="6"/>
  <c r="BF76" i="6"/>
  <c r="BF77" i="6"/>
  <c r="BF78" i="6"/>
  <c r="BF79" i="6"/>
  <c r="BF80" i="6"/>
  <c r="BF81" i="6"/>
  <c r="BF82" i="6"/>
  <c r="BF83" i="6"/>
  <c r="BF84" i="6"/>
  <c r="BF85" i="6"/>
  <c r="BF86" i="6"/>
  <c r="BF87" i="6"/>
  <c r="BF88" i="6"/>
  <c r="BF89" i="6"/>
  <c r="BF90" i="6"/>
  <c r="BF91" i="6"/>
  <c r="BF92" i="6"/>
  <c r="BF93" i="6"/>
  <c r="BF94" i="6"/>
  <c r="BF95" i="6"/>
  <c r="BF96" i="6"/>
  <c r="BF97" i="6"/>
  <c r="BF98" i="6"/>
  <c r="BF99" i="6"/>
  <c r="BF100" i="6"/>
  <c r="BF101" i="6"/>
  <c r="BF102" i="6"/>
  <c r="BF103" i="6"/>
  <c r="BF104" i="6"/>
  <c r="BF105" i="6"/>
  <c r="BF106" i="6"/>
  <c r="BF107" i="6"/>
  <c r="BF108" i="6"/>
  <c r="BF109" i="6"/>
  <c r="BF110" i="6"/>
  <c r="BF111" i="6"/>
  <c r="BF112" i="6"/>
  <c r="BF113" i="6"/>
  <c r="BF114" i="6"/>
  <c r="BF115" i="6"/>
  <c r="BF116" i="6"/>
  <c r="BF117" i="6"/>
  <c r="BF118" i="6"/>
  <c r="BF119" i="6"/>
  <c r="BF120" i="6"/>
  <c r="BF121" i="6"/>
  <c r="BF122" i="6"/>
  <c r="BF123" i="6"/>
  <c r="BF124" i="6"/>
  <c r="BF125" i="6"/>
  <c r="BF126" i="6"/>
  <c r="BF127" i="6"/>
  <c r="BF128" i="6"/>
  <c r="BF129" i="6"/>
  <c r="BF130" i="6"/>
  <c r="BF131" i="6"/>
  <c r="BF132" i="6"/>
  <c r="BF133" i="6"/>
  <c r="BF134" i="6"/>
  <c r="BF135" i="6"/>
  <c r="BF136" i="6"/>
  <c r="BF137" i="6"/>
  <c r="BF138" i="6"/>
  <c r="BF139" i="6"/>
  <c r="BF140" i="6"/>
  <c r="BF141" i="6"/>
  <c r="BF142" i="6"/>
  <c r="BF143" i="6"/>
  <c r="BF144" i="6"/>
  <c r="BF145" i="6"/>
  <c r="BF146" i="6"/>
  <c r="BF147" i="6"/>
  <c r="BF148" i="6"/>
  <c r="BF149" i="6"/>
  <c r="BF150" i="6"/>
  <c r="BF151" i="6"/>
  <c r="BF152" i="6"/>
  <c r="BF153" i="6"/>
  <c r="BF154" i="6"/>
  <c r="BF155" i="6"/>
  <c r="BF156" i="6"/>
  <c r="BF157" i="6"/>
  <c r="BF158" i="6"/>
  <c r="BF159" i="6"/>
  <c r="BF160" i="6"/>
  <c r="BF161" i="6"/>
  <c r="BF162" i="6"/>
  <c r="BF163" i="6"/>
  <c r="BF164" i="6"/>
  <c r="BF165" i="6"/>
  <c r="BF166" i="6"/>
  <c r="BF167" i="6"/>
  <c r="BF168" i="6"/>
  <c r="BF169" i="6"/>
  <c r="BF170" i="6"/>
  <c r="BF171" i="6"/>
  <c r="BF172" i="6"/>
  <c r="BF173" i="6"/>
  <c r="BF174" i="6"/>
  <c r="BF175" i="6"/>
  <c r="BF176" i="6"/>
  <c r="BF177" i="6"/>
  <c r="BF178" i="6"/>
  <c r="BF179" i="6"/>
  <c r="BF180" i="6"/>
  <c r="BF181" i="6"/>
  <c r="BF182" i="6"/>
  <c r="BF183" i="6"/>
  <c r="BF184" i="6"/>
  <c r="BF185" i="6"/>
  <c r="BF186" i="6"/>
  <c r="BF187" i="6"/>
  <c r="BF188" i="6"/>
  <c r="BF189" i="6"/>
  <c r="BF190" i="6"/>
  <c r="BF191" i="6"/>
  <c r="BF192" i="6"/>
  <c r="BF193" i="6"/>
  <c r="BF194" i="6"/>
  <c r="BF195" i="6"/>
  <c r="BF196" i="6"/>
  <c r="BF197" i="6"/>
  <c r="BF198" i="6"/>
  <c r="BF199" i="6"/>
  <c r="BF200" i="6"/>
  <c r="BF201" i="6"/>
  <c r="BF202" i="6"/>
  <c r="BF203" i="6"/>
  <c r="BF204" i="6"/>
  <c r="BF205" i="6"/>
  <c r="BF206" i="6"/>
  <c r="BF207" i="6"/>
  <c r="BF2" i="6"/>
  <c r="BF3" i="9"/>
  <c r="BF4" i="9"/>
  <c r="BF5" i="9"/>
  <c r="BF6" i="9"/>
  <c r="BF7" i="9"/>
  <c r="BF8" i="9"/>
  <c r="BF9" i="9"/>
  <c r="BF10" i="9"/>
  <c r="BF11" i="9"/>
  <c r="BF12" i="9"/>
  <c r="BF13" i="9"/>
  <c r="BF14" i="9"/>
  <c r="BF15" i="9"/>
  <c r="BF16" i="9"/>
  <c r="BF17" i="9"/>
  <c r="BF18" i="9"/>
  <c r="BF19" i="9"/>
  <c r="BF20" i="9"/>
  <c r="BF21" i="9"/>
  <c r="BF22" i="9"/>
  <c r="BF23" i="9"/>
  <c r="BF24" i="9"/>
  <c r="BF25" i="9"/>
  <c r="BF26" i="9"/>
  <c r="BF27" i="9"/>
  <c r="BF28" i="9"/>
  <c r="BF29" i="9"/>
  <c r="BF30" i="9"/>
  <c r="BF31" i="9"/>
  <c r="BF32" i="9"/>
  <c r="BF33" i="9"/>
  <c r="BF34" i="9"/>
  <c r="BF35" i="9"/>
  <c r="BF36" i="9"/>
  <c r="BF37" i="9"/>
  <c r="BF38" i="9"/>
  <c r="BF39" i="9"/>
  <c r="BF40" i="9"/>
  <c r="BF41" i="9"/>
  <c r="BF42" i="9"/>
  <c r="BF43" i="9"/>
  <c r="BF44" i="9"/>
  <c r="BF45" i="9"/>
  <c r="BF46" i="9"/>
  <c r="BF47" i="9"/>
  <c r="BF48" i="9"/>
  <c r="BF49" i="9"/>
  <c r="BF50" i="9"/>
  <c r="BF51" i="9"/>
  <c r="BF52" i="9"/>
  <c r="BF53" i="9"/>
  <c r="BF54" i="9"/>
  <c r="BF55" i="9"/>
  <c r="BF56" i="9"/>
  <c r="BF57" i="9"/>
  <c r="BF58" i="9"/>
  <c r="BF59" i="9"/>
  <c r="BF60" i="9"/>
  <c r="BF61" i="9"/>
  <c r="BF62" i="9"/>
  <c r="BF63" i="9"/>
  <c r="BF64" i="9"/>
  <c r="BF65" i="9"/>
  <c r="BF66" i="9"/>
  <c r="BF67" i="9"/>
  <c r="BF69" i="9"/>
  <c r="BF70" i="9"/>
  <c r="BF71" i="9"/>
  <c r="BF72" i="9"/>
  <c r="BF73" i="9"/>
  <c r="BF74" i="9"/>
  <c r="BF75" i="9"/>
  <c r="BF76" i="9"/>
  <c r="BF77" i="9"/>
  <c r="BF78" i="9"/>
  <c r="BF79" i="9"/>
  <c r="BF81" i="9"/>
  <c r="BF82" i="9"/>
  <c r="BF83" i="9"/>
  <c r="BF84" i="9"/>
  <c r="BF85" i="9"/>
  <c r="BF86" i="9"/>
  <c r="BF87" i="9"/>
  <c r="BF88" i="9"/>
  <c r="BF89" i="9"/>
  <c r="BF90" i="9"/>
  <c r="BF91" i="9"/>
  <c r="BF92" i="9"/>
  <c r="BF93" i="9"/>
  <c r="BF94" i="9"/>
  <c r="BF95" i="9"/>
  <c r="BF96" i="9"/>
  <c r="BF97" i="9"/>
  <c r="BF98" i="9"/>
  <c r="BF99" i="9"/>
  <c r="BF100" i="9"/>
  <c r="BF101" i="9"/>
  <c r="BF102" i="9"/>
  <c r="BF103" i="9"/>
  <c r="BF104" i="9"/>
  <c r="BF105" i="9"/>
  <c r="BF106" i="9"/>
  <c r="BF107" i="9"/>
  <c r="BF108" i="9"/>
  <c r="BF109" i="9"/>
  <c r="BF110" i="9"/>
  <c r="BF111" i="9"/>
  <c r="BF112" i="9"/>
  <c r="BF113" i="9"/>
  <c r="BF114" i="9"/>
  <c r="BF115" i="9"/>
  <c r="BF116" i="9"/>
  <c r="BF117" i="9"/>
  <c r="BF118" i="9"/>
  <c r="BF119" i="9"/>
  <c r="BF120" i="9"/>
  <c r="BF121" i="9"/>
  <c r="BF122" i="9"/>
  <c r="BF123" i="9"/>
  <c r="BF124" i="9"/>
  <c r="BF125" i="9"/>
  <c r="BF126" i="9"/>
  <c r="BF127" i="9"/>
  <c r="BF128" i="9"/>
  <c r="BF129" i="9"/>
  <c r="BF130" i="9"/>
  <c r="BF131" i="9"/>
  <c r="BF132" i="9"/>
  <c r="BF133" i="9"/>
  <c r="BF134" i="9"/>
  <c r="BF135" i="9"/>
  <c r="BF136" i="9"/>
  <c r="BF137" i="9"/>
  <c r="BF138" i="9"/>
  <c r="BF139" i="9"/>
  <c r="BF140" i="9"/>
  <c r="BF141" i="9"/>
  <c r="BF142" i="9"/>
  <c r="BF143" i="9"/>
  <c r="BF144" i="9"/>
  <c r="BF145" i="9"/>
  <c r="BF146" i="9"/>
  <c r="BF147" i="9"/>
  <c r="BF148" i="9"/>
  <c r="BF149" i="9"/>
  <c r="BF150" i="9"/>
  <c r="BF151" i="9"/>
  <c r="BF152" i="9"/>
  <c r="BF153" i="9"/>
  <c r="BF154" i="9"/>
  <c r="BF155" i="9"/>
  <c r="BF156" i="9"/>
  <c r="BF157" i="9"/>
  <c r="BF158" i="9"/>
  <c r="BF159" i="9"/>
  <c r="BF160" i="9"/>
  <c r="BF161" i="9"/>
  <c r="BF162" i="9"/>
  <c r="BF163" i="9"/>
  <c r="BF164" i="9"/>
  <c r="BF165" i="9"/>
  <c r="BF166" i="9"/>
  <c r="BF167" i="9"/>
  <c r="BF168" i="9"/>
  <c r="BF169" i="9"/>
  <c r="BF170" i="9"/>
  <c r="BF171" i="9"/>
  <c r="BF172" i="9"/>
  <c r="BF173" i="9"/>
  <c r="BF174" i="9"/>
  <c r="BF175" i="9"/>
  <c r="BF176" i="9"/>
  <c r="BF177" i="9"/>
  <c r="BF178" i="9"/>
  <c r="BF179" i="9"/>
  <c r="BF180" i="9"/>
  <c r="BF181" i="9"/>
  <c r="BF182" i="9"/>
  <c r="BF183" i="9"/>
  <c r="BF184" i="9"/>
  <c r="BF185" i="9"/>
  <c r="BF186" i="9"/>
  <c r="BF187" i="9"/>
  <c r="BF188" i="9"/>
  <c r="BF189" i="9"/>
  <c r="BF190" i="9"/>
  <c r="BF191" i="9"/>
  <c r="BF192" i="9"/>
  <c r="BF193" i="9"/>
  <c r="BF194" i="9"/>
  <c r="BF195" i="9"/>
  <c r="BF196" i="9"/>
  <c r="BF197" i="9"/>
  <c r="BF198" i="9"/>
  <c r="BF199" i="9"/>
  <c r="BF201" i="9"/>
  <c r="BF202" i="9"/>
  <c r="BF203" i="9"/>
  <c r="BF204" i="9"/>
  <c r="BF206" i="9"/>
  <c r="BF207" i="9"/>
  <c r="BF2" i="9"/>
  <c r="BA3" i="9"/>
  <c r="BA4" i="9"/>
  <c r="BA5" i="9"/>
  <c r="BA6"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AV93" i="9"/>
  <c r="BA94" i="9"/>
  <c r="BA95" i="9"/>
  <c r="BA96" i="9"/>
  <c r="BA97" i="9"/>
  <c r="BA98" i="9"/>
  <c r="BA99" i="9"/>
  <c r="BA100"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BA125" i="9"/>
  <c r="BA126" i="9"/>
  <c r="BA127" i="9"/>
  <c r="BA128"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1" i="9"/>
  <c r="BA202" i="9"/>
  <c r="BA203" i="9"/>
  <c r="BA204" i="9"/>
  <c r="BA205" i="9"/>
  <c r="BA206" i="9"/>
  <c r="BA207" i="9"/>
  <c r="BA2" i="9"/>
  <c r="AV3" i="9"/>
  <c r="AV4" i="9"/>
  <c r="AV5" i="9"/>
  <c r="AV6" i="9"/>
  <c r="AV7" i="9"/>
  <c r="AV8" i="9"/>
  <c r="AV9" i="9"/>
  <c r="AV10" i="9"/>
  <c r="AV11" i="9"/>
  <c r="AV12" i="9"/>
  <c r="AV13" i="9"/>
  <c r="AV14" i="9"/>
  <c r="AV15" i="9"/>
  <c r="AV16" i="9"/>
  <c r="AV17" i="9"/>
  <c r="AV18" i="9"/>
  <c r="AV19" i="9"/>
  <c r="AV20" i="9"/>
  <c r="AV21" i="9"/>
  <c r="AV22" i="9"/>
  <c r="AV23" i="9"/>
  <c r="AV24" i="9"/>
  <c r="AV25" i="9"/>
  <c r="AV26" i="9"/>
  <c r="AV27" i="9"/>
  <c r="AV28" i="9"/>
  <c r="AV29" i="9"/>
  <c r="AV30" i="9"/>
  <c r="AV31" i="9"/>
  <c r="AV32" i="9"/>
  <c r="AV33" i="9"/>
  <c r="AV34" i="9"/>
  <c r="AV35" i="9"/>
  <c r="AV36" i="9"/>
  <c r="AV37" i="9"/>
  <c r="AV38" i="9"/>
  <c r="AV39" i="9"/>
  <c r="AV40" i="9"/>
  <c r="AV41" i="9"/>
  <c r="AV42" i="9"/>
  <c r="AV43" i="9"/>
  <c r="AV44" i="9"/>
  <c r="AV45" i="9"/>
  <c r="AV46" i="9"/>
  <c r="AV47" i="9"/>
  <c r="AV48" i="9"/>
  <c r="AV49" i="9"/>
  <c r="AV50" i="9"/>
  <c r="AV51" i="9"/>
  <c r="AV52" i="9"/>
  <c r="AV53" i="9"/>
  <c r="AV54" i="9"/>
  <c r="AV55" i="9"/>
  <c r="AV56" i="9"/>
  <c r="AV57" i="9"/>
  <c r="AV58" i="9"/>
  <c r="AV59" i="9"/>
  <c r="AV60" i="9"/>
  <c r="AV61" i="9"/>
  <c r="AV62" i="9"/>
  <c r="AV63" i="9"/>
  <c r="AV64" i="9"/>
  <c r="AV65" i="9"/>
  <c r="AV66" i="9"/>
  <c r="AV67" i="9"/>
  <c r="AV68" i="9"/>
  <c r="AV69" i="9"/>
  <c r="AV70" i="9"/>
  <c r="AV71" i="9"/>
  <c r="AV72" i="9"/>
  <c r="AV73" i="9"/>
  <c r="AV74" i="9"/>
  <c r="AV75" i="9"/>
  <c r="AV76" i="9"/>
  <c r="AV77" i="9"/>
  <c r="AV78" i="9"/>
  <c r="AV79" i="9"/>
  <c r="AV80" i="9"/>
  <c r="AV81" i="9"/>
  <c r="AV82" i="9"/>
  <c r="AV83" i="9"/>
  <c r="AV84" i="9"/>
  <c r="AV85" i="9"/>
  <c r="AV86" i="9"/>
  <c r="AV87" i="9"/>
  <c r="AV88" i="9"/>
  <c r="AV89" i="9"/>
  <c r="AV90" i="9"/>
  <c r="AV91" i="9"/>
  <c r="AV92" i="9"/>
  <c r="AV94" i="9"/>
  <c r="AV95" i="9"/>
  <c r="AV96" i="9"/>
  <c r="AV97" i="9"/>
  <c r="AV98" i="9"/>
  <c r="AV99" i="9"/>
  <c r="AV100" i="9"/>
  <c r="AV101" i="9"/>
  <c r="AV102" i="9"/>
  <c r="AV103" i="9"/>
  <c r="AV104" i="9"/>
  <c r="AV105" i="9"/>
  <c r="AV106" i="9"/>
  <c r="AV107" i="9"/>
  <c r="AV108" i="9"/>
  <c r="AV109" i="9"/>
  <c r="AV110" i="9"/>
  <c r="AV111" i="9"/>
  <c r="AV112" i="9"/>
  <c r="AV113" i="9"/>
  <c r="AV114" i="9"/>
  <c r="AV115" i="9"/>
  <c r="AV116" i="9"/>
  <c r="AV117" i="9"/>
  <c r="AV118" i="9"/>
  <c r="AV119" i="9"/>
  <c r="AV120" i="9"/>
  <c r="AV121" i="9"/>
  <c r="AV122" i="9"/>
  <c r="AV123" i="9"/>
  <c r="AV124" i="9"/>
  <c r="AV125" i="9"/>
  <c r="AV126" i="9"/>
  <c r="AV127" i="9"/>
  <c r="AV128" i="9"/>
  <c r="AV129" i="9"/>
  <c r="AV130" i="9"/>
  <c r="AV131" i="9"/>
  <c r="AV132" i="9"/>
  <c r="AV133" i="9"/>
  <c r="AV134" i="9"/>
  <c r="AV135" i="9"/>
  <c r="AV136" i="9"/>
  <c r="AV137" i="9"/>
  <c r="AV138" i="9"/>
  <c r="AV139" i="9"/>
  <c r="AV140" i="9"/>
  <c r="AV141" i="9"/>
  <c r="AV142" i="9"/>
  <c r="AV143" i="9"/>
  <c r="AV144" i="9"/>
  <c r="AV145" i="9"/>
  <c r="AV146" i="9"/>
  <c r="AV147" i="9"/>
  <c r="AV148" i="9"/>
  <c r="AV149" i="9"/>
  <c r="AV150" i="9"/>
  <c r="AV151" i="9"/>
  <c r="AV152" i="9"/>
  <c r="AV153" i="9"/>
  <c r="AV154" i="9"/>
  <c r="AV155" i="9"/>
  <c r="AV156" i="9"/>
  <c r="AV157" i="9"/>
  <c r="AV158" i="9"/>
  <c r="AV159" i="9"/>
  <c r="AV160" i="9"/>
  <c r="AV161" i="9"/>
  <c r="AV162" i="9"/>
  <c r="AV163" i="9"/>
  <c r="AV164" i="9"/>
  <c r="AV165" i="9"/>
  <c r="AV166" i="9"/>
  <c r="AV167" i="9"/>
  <c r="AV168" i="9"/>
  <c r="AV169" i="9"/>
  <c r="AV170" i="9"/>
  <c r="AV171" i="9"/>
  <c r="AV172" i="9"/>
  <c r="AV173" i="9"/>
  <c r="AV174" i="9"/>
  <c r="AV175" i="9"/>
  <c r="AV176" i="9"/>
  <c r="AV177" i="9"/>
  <c r="AV178" i="9"/>
  <c r="AV179" i="9"/>
  <c r="AV180" i="9"/>
  <c r="AV181" i="9"/>
  <c r="AV182" i="9"/>
  <c r="AV183" i="9"/>
  <c r="AV184" i="9"/>
  <c r="AV185" i="9"/>
  <c r="AV186" i="9"/>
  <c r="AV187" i="9"/>
  <c r="AV188" i="9"/>
  <c r="AV189" i="9"/>
  <c r="AV190" i="9"/>
  <c r="AV191" i="9"/>
  <c r="AV192" i="9"/>
  <c r="AV193" i="9"/>
  <c r="AV194" i="9"/>
  <c r="AV195" i="9"/>
  <c r="AV196" i="9"/>
  <c r="AV197" i="9"/>
  <c r="AV198" i="9"/>
  <c r="AV199" i="9"/>
  <c r="AV201" i="9"/>
  <c r="AV202" i="9"/>
  <c r="AV203" i="9"/>
  <c r="AV204" i="9"/>
  <c r="AV205" i="9"/>
  <c r="AV206" i="9"/>
  <c r="AV207" i="9"/>
  <c r="AV2" i="9"/>
  <c r="AK3" i="9"/>
  <c r="AK4" i="9"/>
  <c r="AK5" i="9"/>
  <c r="AK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K125" i="9"/>
  <c r="AK126" i="9"/>
  <c r="AK127" i="9"/>
  <c r="AK128"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1" i="9"/>
  <c r="AK202" i="9"/>
  <c r="AK203" i="9"/>
  <c r="AK204" i="9"/>
  <c r="AK205" i="9"/>
  <c r="AK206" i="9"/>
  <c r="AK207" i="9"/>
  <c r="AK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1" i="9"/>
  <c r="N202" i="9"/>
  <c r="N203" i="9"/>
  <c r="N204" i="9"/>
  <c r="N205" i="9"/>
  <c r="N206" i="9"/>
  <c r="N207" i="9"/>
  <c r="N2" i="9"/>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3" i="1"/>
  <c r="AA174" i="1"/>
  <c r="AA175" i="1"/>
  <c r="AA176" i="1"/>
  <c r="AA177" i="1"/>
  <c r="AA178" i="1"/>
  <c r="AA179" i="1"/>
  <c r="AA180" i="1"/>
  <c r="AA181" i="1"/>
  <c r="AA182" i="1"/>
  <c r="AA183" i="1"/>
  <c r="AA186" i="1"/>
  <c r="AA187" i="1"/>
  <c r="AA188" i="1"/>
  <c r="AA189" i="1"/>
  <c r="AA190" i="1"/>
  <c r="AA191" i="1"/>
  <c r="AA192" i="1"/>
  <c r="AA193" i="1"/>
  <c r="AA194" i="1"/>
  <c r="AA195" i="1"/>
  <c r="AA196" i="1"/>
  <c r="AA197" i="1"/>
  <c r="AA198" i="1"/>
  <c r="AA199" i="1"/>
  <c r="AA200" i="1"/>
  <c r="AA201" i="1"/>
  <c r="AA202" i="1"/>
  <c r="AA203" i="1"/>
  <c r="AA204" i="1"/>
  <c r="AA205" i="1"/>
  <c r="AA206" i="1"/>
  <c r="AA207"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3" i="1"/>
  <c r="Y174" i="1"/>
  <c r="Y175" i="1"/>
  <c r="Y176" i="1"/>
  <c r="Y177" i="1"/>
  <c r="Y178" i="1"/>
  <c r="Y179" i="1"/>
  <c r="Y180" i="1"/>
  <c r="Y181" i="1"/>
  <c r="Y182" i="1"/>
  <c r="Y183" i="1"/>
  <c r="Y186" i="1"/>
  <c r="Y187" i="1"/>
  <c r="Y188" i="1"/>
  <c r="Y189" i="1"/>
  <c r="Y190" i="1"/>
  <c r="Y192" i="1"/>
  <c r="Y193" i="1"/>
  <c r="Y194" i="1"/>
  <c r="Y195" i="1"/>
  <c r="Y196" i="1"/>
  <c r="Y197" i="1"/>
  <c r="Y198" i="1"/>
  <c r="Y199" i="1"/>
  <c r="Y200" i="1"/>
  <c r="Y201" i="1"/>
  <c r="Y202" i="1"/>
  <c r="Y203" i="1"/>
  <c r="Y204" i="1"/>
  <c r="Y205" i="1"/>
  <c r="Y206" i="1"/>
  <c r="Y207" i="1"/>
  <c r="Y2"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7" i="1"/>
  <c r="W58" i="1"/>
  <c r="W59" i="1"/>
  <c r="W60" i="1"/>
  <c r="W61" i="1"/>
  <c r="W62" i="1"/>
  <c r="W63" i="1"/>
  <c r="W64" i="1"/>
  <c r="W65" i="1"/>
  <c r="W66" i="1"/>
  <c r="W67" i="1"/>
  <c r="W68" i="1"/>
  <c r="W69" i="1"/>
  <c r="W70" i="1"/>
  <c r="W71" i="1"/>
  <c r="W73" i="1"/>
  <c r="W74" i="1"/>
  <c r="W75" i="1"/>
  <c r="W76" i="1"/>
  <c r="W77" i="1"/>
  <c r="W78" i="1"/>
  <c r="W79" i="1"/>
  <c r="W80" i="1"/>
  <c r="W81" i="1"/>
  <c r="W82"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3" i="1"/>
  <c r="W174" i="1"/>
  <c r="W175" i="1"/>
  <c r="W176" i="1"/>
  <c r="W177" i="1"/>
  <c r="W178" i="1"/>
  <c r="W179" i="1"/>
  <c r="W180" i="1"/>
  <c r="W181" i="1"/>
  <c r="W182" i="1"/>
  <c r="W183" i="1"/>
  <c r="W186" i="1"/>
  <c r="W187" i="1"/>
  <c r="W188" i="1"/>
  <c r="W189" i="1"/>
  <c r="W190" i="1"/>
  <c r="W191" i="1"/>
  <c r="W192" i="1"/>
  <c r="W193" i="1"/>
  <c r="W194" i="1"/>
  <c r="W195" i="1"/>
  <c r="W196" i="1"/>
  <c r="W197" i="1"/>
  <c r="W198" i="1"/>
  <c r="W199" i="1"/>
  <c r="W200" i="1"/>
  <c r="W201" i="1"/>
  <c r="W202" i="1"/>
  <c r="W203" i="1"/>
  <c r="W204" i="1"/>
  <c r="W205" i="1"/>
  <c r="W206" i="1"/>
  <c r="W207" i="1"/>
  <c r="W3" i="1"/>
  <c r="W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3" i="1"/>
  <c r="U174" i="1"/>
  <c r="U175" i="1"/>
  <c r="U176" i="1"/>
  <c r="U177" i="1"/>
  <c r="U178" i="1"/>
  <c r="U179" i="1"/>
  <c r="U180" i="1"/>
  <c r="U181" i="1"/>
  <c r="U182" i="1"/>
  <c r="U183" i="1"/>
  <c r="U186" i="1"/>
  <c r="U187" i="1"/>
  <c r="U188" i="1"/>
  <c r="U189" i="1"/>
  <c r="U190" i="1"/>
  <c r="U191" i="1"/>
  <c r="U192" i="1"/>
  <c r="U193" i="1"/>
  <c r="U194" i="1"/>
  <c r="U195" i="1"/>
  <c r="U196" i="1"/>
  <c r="U197" i="1"/>
  <c r="U198" i="1"/>
  <c r="U199" i="1"/>
  <c r="U200" i="1"/>
  <c r="U201" i="1"/>
  <c r="U202" i="1"/>
  <c r="U203" i="1"/>
  <c r="U204" i="1"/>
  <c r="U205" i="1"/>
  <c r="U206" i="1"/>
  <c r="U207" i="1"/>
  <c r="U2" i="1"/>
  <c r="S207"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3" i="1"/>
  <c r="O174" i="1"/>
  <c r="O175" i="1"/>
  <c r="O176" i="1"/>
  <c r="O177" i="1"/>
  <c r="O178" i="1"/>
  <c r="O179"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3" i="1"/>
  <c r="M2" i="1"/>
  <c r="AI3" i="9" l="1"/>
  <c r="AU2" i="6"/>
  <c r="AT2" i="6"/>
  <c r="BE3" i="6"/>
  <c r="BE4" i="6"/>
  <c r="BE5" i="6"/>
  <c r="BE6" i="6"/>
  <c r="BE7" i="6"/>
  <c r="BE8" i="6"/>
  <c r="BE9" i="6"/>
  <c r="BE10" i="6"/>
  <c r="BE11" i="6"/>
  <c r="BE12" i="6"/>
  <c r="BE13" i="6"/>
  <c r="BE14" i="6"/>
  <c r="BE15" i="6"/>
  <c r="BE16" i="6"/>
  <c r="BE17" i="6"/>
  <c r="BE18" i="6"/>
  <c r="BE19" i="6"/>
  <c r="BE20" i="6"/>
  <c r="BE21" i="6"/>
  <c r="BE22" i="6"/>
  <c r="BE23" i="6"/>
  <c r="BE24" i="6"/>
  <c r="BE25" i="6"/>
  <c r="BE26" i="6"/>
  <c r="BE27" i="6"/>
  <c r="BE28" i="6"/>
  <c r="BE29" i="6"/>
  <c r="BE30" i="6"/>
  <c r="BE31" i="6"/>
  <c r="BE32" i="6"/>
  <c r="BE33" i="6"/>
  <c r="BE34" i="6"/>
  <c r="BE35" i="6"/>
  <c r="BE36" i="6"/>
  <c r="BE37" i="6"/>
  <c r="BE38" i="6"/>
  <c r="BE39" i="6"/>
  <c r="BE40" i="6"/>
  <c r="BE41" i="6"/>
  <c r="BE42" i="6"/>
  <c r="BE43" i="6"/>
  <c r="BE44" i="6"/>
  <c r="BE45" i="6"/>
  <c r="BE46" i="6"/>
  <c r="BE47" i="6"/>
  <c r="BE48" i="6"/>
  <c r="BE49" i="6"/>
  <c r="BE50" i="6"/>
  <c r="BE51" i="6"/>
  <c r="BE52" i="6"/>
  <c r="BE53" i="6"/>
  <c r="BE54" i="6"/>
  <c r="BE55" i="6"/>
  <c r="BE56" i="6"/>
  <c r="BE57" i="6"/>
  <c r="BE58" i="6"/>
  <c r="BE59" i="6"/>
  <c r="BE60" i="6"/>
  <c r="BE61" i="6"/>
  <c r="BE62" i="6"/>
  <c r="BE63" i="6"/>
  <c r="BE64" i="6"/>
  <c r="BE65" i="6"/>
  <c r="BE66" i="6"/>
  <c r="BE67" i="6"/>
  <c r="BE68" i="6"/>
  <c r="BE69" i="6"/>
  <c r="BE70" i="6"/>
  <c r="BE71" i="6"/>
  <c r="BE72" i="6"/>
  <c r="BE73" i="6"/>
  <c r="BE74" i="6"/>
  <c r="BE75" i="6"/>
  <c r="BE76" i="6"/>
  <c r="BE77" i="6"/>
  <c r="BE78" i="6"/>
  <c r="BE79" i="6"/>
  <c r="BE80" i="6"/>
  <c r="BE81" i="6"/>
  <c r="BE82" i="6"/>
  <c r="BE83" i="6"/>
  <c r="BE84" i="6"/>
  <c r="BE85" i="6"/>
  <c r="BE86" i="6"/>
  <c r="BE87" i="6"/>
  <c r="BE88" i="6"/>
  <c r="BE89" i="6"/>
  <c r="BE90" i="6"/>
  <c r="BE91" i="6"/>
  <c r="BE92" i="6"/>
  <c r="BE93" i="6"/>
  <c r="BE94" i="6"/>
  <c r="BE95" i="6"/>
  <c r="BE96" i="6"/>
  <c r="BE97" i="6"/>
  <c r="BE98" i="6"/>
  <c r="BE99" i="6"/>
  <c r="BE100" i="6"/>
  <c r="BE101" i="6"/>
  <c r="BE102" i="6"/>
  <c r="BE103" i="6"/>
  <c r="BE104" i="6"/>
  <c r="BE105" i="6"/>
  <c r="BE106" i="6"/>
  <c r="BE107" i="6"/>
  <c r="BE108" i="6"/>
  <c r="BE109" i="6"/>
  <c r="BE110" i="6"/>
  <c r="BE111" i="6"/>
  <c r="BE112" i="6"/>
  <c r="BE113" i="6"/>
  <c r="BE114" i="6"/>
  <c r="BE115" i="6"/>
  <c r="BE116" i="6"/>
  <c r="BE117" i="6"/>
  <c r="BE118" i="6"/>
  <c r="BE119" i="6"/>
  <c r="BE120" i="6"/>
  <c r="BE121" i="6"/>
  <c r="BE122" i="6"/>
  <c r="BE123" i="6"/>
  <c r="BE124" i="6"/>
  <c r="BE125" i="6"/>
  <c r="BE126" i="6"/>
  <c r="BE127" i="6"/>
  <c r="BE128" i="6"/>
  <c r="BE129" i="6"/>
  <c r="BE130" i="6"/>
  <c r="BE131" i="6"/>
  <c r="BE132" i="6"/>
  <c r="BE133" i="6"/>
  <c r="BE134" i="6"/>
  <c r="BE135" i="6"/>
  <c r="BE136" i="6"/>
  <c r="BE137" i="6"/>
  <c r="BE138" i="6"/>
  <c r="BE139" i="6"/>
  <c r="BE140" i="6"/>
  <c r="BE141" i="6"/>
  <c r="BE142" i="6"/>
  <c r="BE143" i="6"/>
  <c r="BE144" i="6"/>
  <c r="BE145" i="6"/>
  <c r="BE146" i="6"/>
  <c r="BE147" i="6"/>
  <c r="BE148" i="6"/>
  <c r="BE149" i="6"/>
  <c r="BE150" i="6"/>
  <c r="BE151" i="6"/>
  <c r="BE152" i="6"/>
  <c r="BE153" i="6"/>
  <c r="BE154" i="6"/>
  <c r="BE155" i="6"/>
  <c r="BE156" i="6"/>
  <c r="BE157" i="6"/>
  <c r="BE158" i="6"/>
  <c r="BE159" i="6"/>
  <c r="BE160" i="6"/>
  <c r="BE161" i="6"/>
  <c r="BE162" i="6"/>
  <c r="BE163" i="6"/>
  <c r="BE164" i="6"/>
  <c r="BE165" i="6"/>
  <c r="BE166" i="6"/>
  <c r="BE167" i="6"/>
  <c r="BE168" i="6"/>
  <c r="BE169" i="6"/>
  <c r="BE170" i="6"/>
  <c r="BE171" i="6"/>
  <c r="BE172" i="6"/>
  <c r="BE173" i="6"/>
  <c r="BE174" i="6"/>
  <c r="BE175" i="6"/>
  <c r="BE176" i="6"/>
  <c r="BE177" i="6"/>
  <c r="BE178" i="6"/>
  <c r="BE179" i="6"/>
  <c r="BE180" i="6"/>
  <c r="BE181" i="6"/>
  <c r="BE182" i="6"/>
  <c r="BE183" i="6"/>
  <c r="BE184" i="6"/>
  <c r="BE185" i="6"/>
  <c r="BE186" i="6"/>
  <c r="BE187" i="6"/>
  <c r="BE188" i="6"/>
  <c r="BE189" i="6"/>
  <c r="BE190" i="6"/>
  <c r="BE191" i="6"/>
  <c r="BE192" i="6"/>
  <c r="BE193" i="6"/>
  <c r="BE194" i="6"/>
  <c r="BE195" i="6"/>
  <c r="BE196" i="6"/>
  <c r="BE197" i="6"/>
  <c r="BE198" i="6"/>
  <c r="BE199" i="6"/>
  <c r="BE200" i="6"/>
  <c r="BE201" i="6"/>
  <c r="BE202" i="6"/>
  <c r="BE203" i="6"/>
  <c r="BE204" i="6"/>
  <c r="BE205" i="6"/>
  <c r="BE206" i="6"/>
  <c r="BE207" i="6"/>
  <c r="BE2" i="6"/>
  <c r="AZ3" i="6"/>
  <c r="AZ4" i="6"/>
  <c r="AZ5" i="6"/>
  <c r="AZ6" i="6"/>
  <c r="AZ7" i="6"/>
  <c r="AZ8" i="6"/>
  <c r="AZ9" i="6"/>
  <c r="AZ10" i="6"/>
  <c r="AZ11" i="6"/>
  <c r="AZ12" i="6"/>
  <c r="AZ13" i="6"/>
  <c r="AZ14" i="6"/>
  <c r="AZ15" i="6"/>
  <c r="AZ16" i="6"/>
  <c r="AZ17" i="6"/>
  <c r="AZ18" i="6"/>
  <c r="AZ19" i="6"/>
  <c r="AZ20" i="6"/>
  <c r="AZ21" i="6"/>
  <c r="AZ22" i="6"/>
  <c r="AZ23" i="6"/>
  <c r="AZ24" i="6"/>
  <c r="AZ25" i="6"/>
  <c r="AZ26" i="6"/>
  <c r="AZ27" i="6"/>
  <c r="AZ28" i="6"/>
  <c r="AZ29" i="6"/>
  <c r="AZ30" i="6"/>
  <c r="AZ31" i="6"/>
  <c r="AZ32" i="6"/>
  <c r="AZ33" i="6"/>
  <c r="AZ34" i="6"/>
  <c r="AZ35" i="6"/>
  <c r="AZ36" i="6"/>
  <c r="AZ37" i="6"/>
  <c r="AZ38" i="6"/>
  <c r="AZ39" i="6"/>
  <c r="AZ40" i="6"/>
  <c r="AZ41" i="6"/>
  <c r="AZ42" i="6"/>
  <c r="AZ43" i="6"/>
  <c r="AZ44" i="6"/>
  <c r="AZ45" i="6"/>
  <c r="AZ46" i="6"/>
  <c r="AZ47" i="6"/>
  <c r="AZ48" i="6"/>
  <c r="AZ49" i="6"/>
  <c r="AZ50" i="6"/>
  <c r="AZ51" i="6"/>
  <c r="AZ52" i="6"/>
  <c r="AZ53" i="6"/>
  <c r="AZ54" i="6"/>
  <c r="AZ55" i="6"/>
  <c r="AZ56" i="6"/>
  <c r="AZ57" i="6"/>
  <c r="AZ58" i="6"/>
  <c r="AZ59" i="6"/>
  <c r="AZ60" i="6"/>
  <c r="AZ61" i="6"/>
  <c r="AZ62" i="6"/>
  <c r="AZ63" i="6"/>
  <c r="AZ64" i="6"/>
  <c r="AZ65" i="6"/>
  <c r="AZ66" i="6"/>
  <c r="AZ67" i="6"/>
  <c r="AZ68" i="6"/>
  <c r="AZ69" i="6"/>
  <c r="AZ70" i="6"/>
  <c r="AZ71" i="6"/>
  <c r="AZ72" i="6"/>
  <c r="AZ73" i="6"/>
  <c r="AZ74" i="6"/>
  <c r="AZ75" i="6"/>
  <c r="AZ76" i="6"/>
  <c r="AZ77" i="6"/>
  <c r="AZ78" i="6"/>
  <c r="AZ79" i="6"/>
  <c r="AZ80" i="6"/>
  <c r="AZ81" i="6"/>
  <c r="AZ82" i="6"/>
  <c r="AZ83" i="6"/>
  <c r="AZ84" i="6"/>
  <c r="AZ85" i="6"/>
  <c r="AZ86" i="6"/>
  <c r="AZ87" i="6"/>
  <c r="AZ88" i="6"/>
  <c r="AZ89" i="6"/>
  <c r="AZ90" i="6"/>
  <c r="AZ91" i="6"/>
  <c r="AZ92" i="6"/>
  <c r="AZ93" i="6"/>
  <c r="AZ94" i="6"/>
  <c r="AZ95" i="6"/>
  <c r="AZ96" i="6"/>
  <c r="AZ97" i="6"/>
  <c r="AZ98" i="6"/>
  <c r="AZ99" i="6"/>
  <c r="AZ100" i="6"/>
  <c r="AZ101" i="6"/>
  <c r="AZ102" i="6"/>
  <c r="AZ103" i="6"/>
  <c r="AZ104" i="6"/>
  <c r="AZ105" i="6"/>
  <c r="AZ106" i="6"/>
  <c r="AZ107" i="6"/>
  <c r="AZ108" i="6"/>
  <c r="AZ109" i="6"/>
  <c r="AZ110" i="6"/>
  <c r="AZ111" i="6"/>
  <c r="AZ112" i="6"/>
  <c r="AZ113" i="6"/>
  <c r="AZ114" i="6"/>
  <c r="AZ115" i="6"/>
  <c r="AZ116" i="6"/>
  <c r="AZ117" i="6"/>
  <c r="AZ118" i="6"/>
  <c r="AZ119" i="6"/>
  <c r="AZ120" i="6"/>
  <c r="AZ121" i="6"/>
  <c r="AZ122" i="6"/>
  <c r="AZ123" i="6"/>
  <c r="AZ124" i="6"/>
  <c r="AZ125" i="6"/>
  <c r="AZ126" i="6"/>
  <c r="AZ127" i="6"/>
  <c r="AZ128" i="6"/>
  <c r="AZ129" i="6"/>
  <c r="AZ130" i="6"/>
  <c r="AZ131" i="6"/>
  <c r="AZ132" i="6"/>
  <c r="AZ133" i="6"/>
  <c r="AZ134" i="6"/>
  <c r="AZ135" i="6"/>
  <c r="AZ136" i="6"/>
  <c r="AZ137" i="6"/>
  <c r="AZ138" i="6"/>
  <c r="AZ139" i="6"/>
  <c r="AZ140" i="6"/>
  <c r="AZ141" i="6"/>
  <c r="AZ142" i="6"/>
  <c r="AZ143" i="6"/>
  <c r="AZ144" i="6"/>
  <c r="AZ145" i="6"/>
  <c r="AZ146" i="6"/>
  <c r="AZ147" i="6"/>
  <c r="AZ148" i="6"/>
  <c r="AZ149" i="6"/>
  <c r="AZ150" i="6"/>
  <c r="AZ151" i="6"/>
  <c r="AZ152" i="6"/>
  <c r="AZ153" i="6"/>
  <c r="AZ154" i="6"/>
  <c r="AZ155" i="6"/>
  <c r="AZ156" i="6"/>
  <c r="AZ157" i="6"/>
  <c r="AZ158" i="6"/>
  <c r="AZ159" i="6"/>
  <c r="AZ160" i="6"/>
  <c r="AZ161" i="6"/>
  <c r="AZ162" i="6"/>
  <c r="AZ163" i="6"/>
  <c r="AZ164" i="6"/>
  <c r="AZ165" i="6"/>
  <c r="AZ166" i="6"/>
  <c r="AZ167" i="6"/>
  <c r="AZ168" i="6"/>
  <c r="AZ169" i="6"/>
  <c r="AZ170" i="6"/>
  <c r="AZ171" i="6"/>
  <c r="AZ172" i="6"/>
  <c r="AZ173" i="6"/>
  <c r="AZ174" i="6"/>
  <c r="AZ175" i="6"/>
  <c r="AZ176" i="6"/>
  <c r="AZ177" i="6"/>
  <c r="AZ178" i="6"/>
  <c r="AZ179" i="6"/>
  <c r="AZ180" i="6"/>
  <c r="AZ181" i="6"/>
  <c r="AZ182" i="6"/>
  <c r="AZ183" i="6"/>
  <c r="AZ184" i="6"/>
  <c r="AZ185" i="6"/>
  <c r="AZ186" i="6"/>
  <c r="AZ187" i="6"/>
  <c r="AZ188" i="6"/>
  <c r="AZ189" i="6"/>
  <c r="AZ190" i="6"/>
  <c r="AZ191" i="6"/>
  <c r="AZ192" i="6"/>
  <c r="AZ193" i="6"/>
  <c r="AZ194" i="6"/>
  <c r="AZ195" i="6"/>
  <c r="AZ196" i="6"/>
  <c r="AZ197" i="6"/>
  <c r="AZ198" i="6"/>
  <c r="AZ199" i="6"/>
  <c r="AZ200" i="6"/>
  <c r="AZ201" i="6"/>
  <c r="AZ202" i="6"/>
  <c r="AZ203" i="6"/>
  <c r="AZ204" i="6"/>
  <c r="AZ205" i="6"/>
  <c r="AZ206" i="6"/>
  <c r="AZ207" i="6"/>
  <c r="AZ2" i="6"/>
  <c r="AU3" i="6"/>
  <c r="AU4" i="6"/>
  <c r="AU5" i="6"/>
  <c r="AU6" i="6"/>
  <c r="AU7" i="6"/>
  <c r="AU8" i="6"/>
  <c r="AU9" i="6"/>
  <c r="AU10" i="6"/>
  <c r="AU11" i="6"/>
  <c r="AU12" i="6"/>
  <c r="AU13" i="6"/>
  <c r="AU14" i="6"/>
  <c r="AU15" i="6"/>
  <c r="AU16" i="6"/>
  <c r="AU17" i="6"/>
  <c r="AU18" i="6"/>
  <c r="AU19" i="6"/>
  <c r="AU20" i="6"/>
  <c r="AU21" i="6"/>
  <c r="AU22" i="6"/>
  <c r="AU23" i="6"/>
  <c r="AU24" i="6"/>
  <c r="AU25" i="6"/>
  <c r="AU26" i="6"/>
  <c r="AU27" i="6"/>
  <c r="AU28" i="6"/>
  <c r="AU29" i="6"/>
  <c r="AU30" i="6"/>
  <c r="AU31" i="6"/>
  <c r="AU32" i="6"/>
  <c r="AU33" i="6"/>
  <c r="AU34" i="6"/>
  <c r="AU35" i="6"/>
  <c r="AU36" i="6"/>
  <c r="AU37" i="6"/>
  <c r="AU38" i="6"/>
  <c r="AU39" i="6"/>
  <c r="AU40" i="6"/>
  <c r="AU41" i="6"/>
  <c r="AU42" i="6"/>
  <c r="AU43" i="6"/>
  <c r="AU44" i="6"/>
  <c r="AU45" i="6"/>
  <c r="AU46" i="6"/>
  <c r="AU47" i="6"/>
  <c r="AU48" i="6"/>
  <c r="AU49" i="6"/>
  <c r="AU50" i="6"/>
  <c r="AU51" i="6"/>
  <c r="AU52" i="6"/>
  <c r="AU53" i="6"/>
  <c r="AU54" i="6"/>
  <c r="AU55" i="6"/>
  <c r="AU56" i="6"/>
  <c r="AU57" i="6"/>
  <c r="AU58" i="6"/>
  <c r="AU59" i="6"/>
  <c r="AU60" i="6"/>
  <c r="AU61" i="6"/>
  <c r="AU62" i="6"/>
  <c r="AU63" i="6"/>
  <c r="AU64" i="6"/>
  <c r="AU65" i="6"/>
  <c r="AU66" i="6"/>
  <c r="AU67" i="6"/>
  <c r="AU68" i="6"/>
  <c r="AU69" i="6"/>
  <c r="AU70" i="6"/>
  <c r="AU71" i="6"/>
  <c r="AU72" i="6"/>
  <c r="AU73" i="6"/>
  <c r="AU74" i="6"/>
  <c r="AU75" i="6"/>
  <c r="AU76" i="6"/>
  <c r="AU77" i="6"/>
  <c r="AU78" i="6"/>
  <c r="AU79" i="6"/>
  <c r="AU80" i="6"/>
  <c r="AU81" i="6"/>
  <c r="AU82" i="6"/>
  <c r="AU83" i="6"/>
  <c r="AU84" i="6"/>
  <c r="AU85" i="6"/>
  <c r="AU86" i="6"/>
  <c r="AU87" i="6"/>
  <c r="AU88" i="6"/>
  <c r="AU89" i="6"/>
  <c r="AU90" i="6"/>
  <c r="AU91" i="6"/>
  <c r="AU92" i="6"/>
  <c r="AU93" i="6"/>
  <c r="AU94" i="6"/>
  <c r="AU95" i="6"/>
  <c r="AU96" i="6"/>
  <c r="AU97" i="6"/>
  <c r="AU98" i="6"/>
  <c r="AU99" i="6"/>
  <c r="AU100" i="6"/>
  <c r="AU101" i="6"/>
  <c r="AU102" i="6"/>
  <c r="AU103" i="6"/>
  <c r="AU104" i="6"/>
  <c r="AU105" i="6"/>
  <c r="AU106" i="6"/>
  <c r="AU107" i="6"/>
  <c r="AU108" i="6"/>
  <c r="AU109" i="6"/>
  <c r="AU110" i="6"/>
  <c r="AU111" i="6"/>
  <c r="AU112" i="6"/>
  <c r="AU113" i="6"/>
  <c r="AU114" i="6"/>
  <c r="AU115" i="6"/>
  <c r="AU116" i="6"/>
  <c r="AU117" i="6"/>
  <c r="AU118" i="6"/>
  <c r="AU119" i="6"/>
  <c r="AU120" i="6"/>
  <c r="AU121" i="6"/>
  <c r="AU122" i="6"/>
  <c r="AU123" i="6"/>
  <c r="AU124" i="6"/>
  <c r="AU125" i="6"/>
  <c r="AU126" i="6"/>
  <c r="AU127" i="6"/>
  <c r="AU128" i="6"/>
  <c r="AU129" i="6"/>
  <c r="AU130" i="6"/>
  <c r="AU131" i="6"/>
  <c r="AU132" i="6"/>
  <c r="AU133" i="6"/>
  <c r="AU134" i="6"/>
  <c r="AU135" i="6"/>
  <c r="AU136" i="6"/>
  <c r="AU137" i="6"/>
  <c r="AU138" i="6"/>
  <c r="AU139" i="6"/>
  <c r="AU140" i="6"/>
  <c r="AU141" i="6"/>
  <c r="AU142" i="6"/>
  <c r="AU143" i="6"/>
  <c r="AU144" i="6"/>
  <c r="AU145" i="6"/>
  <c r="AU146" i="6"/>
  <c r="AU147" i="6"/>
  <c r="AU148" i="6"/>
  <c r="AU149" i="6"/>
  <c r="AU150" i="6"/>
  <c r="AU151" i="6"/>
  <c r="AU152" i="6"/>
  <c r="AU153" i="6"/>
  <c r="AU154" i="6"/>
  <c r="AU155" i="6"/>
  <c r="AU156" i="6"/>
  <c r="AU157" i="6"/>
  <c r="AU158" i="6"/>
  <c r="AU159" i="6"/>
  <c r="AU160" i="6"/>
  <c r="AU161" i="6"/>
  <c r="AU162" i="6"/>
  <c r="AU163" i="6"/>
  <c r="AU164" i="6"/>
  <c r="AU165" i="6"/>
  <c r="AU166" i="6"/>
  <c r="AU167" i="6"/>
  <c r="AU168" i="6"/>
  <c r="AU169" i="6"/>
  <c r="AU170" i="6"/>
  <c r="AU171" i="6"/>
  <c r="AU172" i="6"/>
  <c r="AU173" i="6"/>
  <c r="AU174" i="6"/>
  <c r="AU175" i="6"/>
  <c r="AU176" i="6"/>
  <c r="AU177" i="6"/>
  <c r="AU178" i="6"/>
  <c r="AU179" i="6"/>
  <c r="AU180" i="6"/>
  <c r="AU181" i="6"/>
  <c r="AU182" i="6"/>
  <c r="AU183" i="6"/>
  <c r="AU184" i="6"/>
  <c r="AU185" i="6"/>
  <c r="AU186" i="6"/>
  <c r="AU187" i="6"/>
  <c r="AU188" i="6"/>
  <c r="AU189" i="6"/>
  <c r="AU190" i="6"/>
  <c r="AU191" i="6"/>
  <c r="AU192" i="6"/>
  <c r="AU193" i="6"/>
  <c r="AU194" i="6"/>
  <c r="AU195" i="6"/>
  <c r="AU196" i="6"/>
  <c r="AU197" i="6"/>
  <c r="AU198" i="6"/>
  <c r="AU199" i="6"/>
  <c r="AU200" i="6"/>
  <c r="AU201" i="6"/>
  <c r="AU202" i="6"/>
  <c r="AU203" i="6"/>
  <c r="AU204" i="6"/>
  <c r="AU205" i="6"/>
  <c r="AU206" i="6"/>
  <c r="AU207" i="6"/>
  <c r="AJ2" i="6"/>
  <c r="BD3" i="6"/>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99" i="6"/>
  <c r="BD100" i="6"/>
  <c r="BD101" i="6"/>
  <c r="BD102" i="6"/>
  <c r="BD103" i="6"/>
  <c r="BD104" i="6"/>
  <c r="BD105"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186" i="6"/>
  <c r="BD187" i="6"/>
  <c r="BD188" i="6"/>
  <c r="BD189" i="6"/>
  <c r="BD190" i="6"/>
  <c r="BD191" i="6"/>
  <c r="BD192" i="6"/>
  <c r="BD193" i="6"/>
  <c r="BD194" i="6"/>
  <c r="BD195" i="6"/>
  <c r="BD196" i="6"/>
  <c r="BD197" i="6"/>
  <c r="BD198" i="6"/>
  <c r="BD199" i="6"/>
  <c r="BD200" i="6"/>
  <c r="BD201" i="6"/>
  <c r="BD202" i="6"/>
  <c r="BD203" i="6"/>
  <c r="BD204" i="6"/>
  <c r="BD205" i="6"/>
  <c r="BD206" i="6"/>
  <c r="BD207" i="6"/>
  <c r="BD2" i="6"/>
  <c r="AY3" i="6"/>
  <c r="AY4" i="6"/>
  <c r="AY5" i="6"/>
  <c r="AY6" i="6"/>
  <c r="AY7" i="6"/>
  <c r="AY8" i="6"/>
  <c r="AY9" i="6"/>
  <c r="AY10" i="6"/>
  <c r="AY11" i="6"/>
  <c r="AY12" i="6"/>
  <c r="AY13" i="6"/>
  <c r="AY14" i="6"/>
  <c r="AY15" i="6"/>
  <c r="AY16" i="6"/>
  <c r="AY17" i="6"/>
  <c r="AY18" i="6"/>
  <c r="AY19" i="6"/>
  <c r="AY20" i="6"/>
  <c r="AY21" i="6"/>
  <c r="AY22" i="6"/>
  <c r="AY23" i="6"/>
  <c r="AY24" i="6"/>
  <c r="AY25" i="6"/>
  <c r="AY26" i="6"/>
  <c r="AY27" i="6"/>
  <c r="AY28" i="6"/>
  <c r="AY29" i="6"/>
  <c r="AY30" i="6"/>
  <c r="AY31" i="6"/>
  <c r="AY32" i="6"/>
  <c r="AY33" i="6"/>
  <c r="AY34" i="6"/>
  <c r="AY35" i="6"/>
  <c r="AY36" i="6"/>
  <c r="AY37" i="6"/>
  <c r="AY38" i="6"/>
  <c r="AY39" i="6"/>
  <c r="AY40" i="6"/>
  <c r="AY41" i="6"/>
  <c r="AY42" i="6"/>
  <c r="AY43" i="6"/>
  <c r="AY44" i="6"/>
  <c r="AY45" i="6"/>
  <c r="AY46" i="6"/>
  <c r="AY47" i="6"/>
  <c r="AY48" i="6"/>
  <c r="AY49" i="6"/>
  <c r="AY50" i="6"/>
  <c r="AY51" i="6"/>
  <c r="AY52" i="6"/>
  <c r="AY53" i="6"/>
  <c r="AY54" i="6"/>
  <c r="AY55" i="6"/>
  <c r="AY56" i="6"/>
  <c r="AY57" i="6"/>
  <c r="AY58" i="6"/>
  <c r="AY59" i="6"/>
  <c r="AY60" i="6"/>
  <c r="AY61" i="6"/>
  <c r="AY62" i="6"/>
  <c r="AY63" i="6"/>
  <c r="AY64" i="6"/>
  <c r="AY65" i="6"/>
  <c r="AY66" i="6"/>
  <c r="AY67" i="6"/>
  <c r="AY68" i="6"/>
  <c r="AY69" i="6"/>
  <c r="AY70" i="6"/>
  <c r="AY71" i="6"/>
  <c r="AY72" i="6"/>
  <c r="AY73" i="6"/>
  <c r="AY74" i="6"/>
  <c r="AY75" i="6"/>
  <c r="AY76" i="6"/>
  <c r="AY77" i="6"/>
  <c r="AY78" i="6"/>
  <c r="AY79" i="6"/>
  <c r="AY80" i="6"/>
  <c r="AY81" i="6"/>
  <c r="AY82" i="6"/>
  <c r="AY83" i="6"/>
  <c r="AY84" i="6"/>
  <c r="AY85" i="6"/>
  <c r="AY86" i="6"/>
  <c r="AY87" i="6"/>
  <c r="AY88" i="6"/>
  <c r="AY89" i="6"/>
  <c r="AY90" i="6"/>
  <c r="AY91" i="6"/>
  <c r="AY92" i="6"/>
  <c r="AY93" i="6"/>
  <c r="AY94" i="6"/>
  <c r="AY95" i="6"/>
  <c r="AY96" i="6"/>
  <c r="AY97" i="6"/>
  <c r="AY98" i="6"/>
  <c r="AY99" i="6"/>
  <c r="AY100" i="6"/>
  <c r="AY101" i="6"/>
  <c r="AY102" i="6"/>
  <c r="AY103" i="6"/>
  <c r="AY104" i="6"/>
  <c r="AY105" i="6"/>
  <c r="AY106" i="6"/>
  <c r="AY107" i="6"/>
  <c r="AY108" i="6"/>
  <c r="AY109" i="6"/>
  <c r="AY110" i="6"/>
  <c r="AY111" i="6"/>
  <c r="AY112" i="6"/>
  <c r="AY113" i="6"/>
  <c r="AY114" i="6"/>
  <c r="AY115" i="6"/>
  <c r="AY116" i="6"/>
  <c r="AY117" i="6"/>
  <c r="AY118" i="6"/>
  <c r="AY119" i="6"/>
  <c r="AY120" i="6"/>
  <c r="AY121" i="6"/>
  <c r="AY122" i="6"/>
  <c r="AY123" i="6"/>
  <c r="AY124" i="6"/>
  <c r="AY125" i="6"/>
  <c r="AY126" i="6"/>
  <c r="AY127" i="6"/>
  <c r="AY128" i="6"/>
  <c r="AY129" i="6"/>
  <c r="AY130" i="6"/>
  <c r="AY131" i="6"/>
  <c r="AY132" i="6"/>
  <c r="AY133" i="6"/>
  <c r="AY134" i="6"/>
  <c r="AY135" i="6"/>
  <c r="AY136" i="6"/>
  <c r="AY137" i="6"/>
  <c r="AY138" i="6"/>
  <c r="AY139" i="6"/>
  <c r="AY140" i="6"/>
  <c r="AY141" i="6"/>
  <c r="AY142" i="6"/>
  <c r="AY143" i="6"/>
  <c r="AY144" i="6"/>
  <c r="AY145" i="6"/>
  <c r="AY146" i="6"/>
  <c r="AY147" i="6"/>
  <c r="AY148" i="6"/>
  <c r="AY149" i="6"/>
  <c r="AY150" i="6"/>
  <c r="AY151" i="6"/>
  <c r="AY152" i="6"/>
  <c r="AY153" i="6"/>
  <c r="AY154" i="6"/>
  <c r="AY155" i="6"/>
  <c r="AY156" i="6"/>
  <c r="AY157" i="6"/>
  <c r="AY158" i="6"/>
  <c r="AY159" i="6"/>
  <c r="AY160" i="6"/>
  <c r="AY161" i="6"/>
  <c r="AY162" i="6"/>
  <c r="AY163" i="6"/>
  <c r="AY164" i="6"/>
  <c r="AY165" i="6"/>
  <c r="AY166" i="6"/>
  <c r="AY167" i="6"/>
  <c r="AY168" i="6"/>
  <c r="AY169" i="6"/>
  <c r="AY170" i="6"/>
  <c r="AY171" i="6"/>
  <c r="AY172" i="6"/>
  <c r="AY173" i="6"/>
  <c r="AY174" i="6"/>
  <c r="AY175" i="6"/>
  <c r="AY176" i="6"/>
  <c r="AY177" i="6"/>
  <c r="AY178" i="6"/>
  <c r="AY179" i="6"/>
  <c r="AY180" i="6"/>
  <c r="AY181" i="6"/>
  <c r="AY182" i="6"/>
  <c r="AY183" i="6"/>
  <c r="AY184" i="6"/>
  <c r="AY185" i="6"/>
  <c r="AY186" i="6"/>
  <c r="AY187" i="6"/>
  <c r="AY188" i="6"/>
  <c r="AY189" i="6"/>
  <c r="AY190" i="6"/>
  <c r="AY191" i="6"/>
  <c r="AY192" i="6"/>
  <c r="AY193" i="6"/>
  <c r="AY194" i="6"/>
  <c r="AY195" i="6"/>
  <c r="AY196" i="6"/>
  <c r="AY197" i="6"/>
  <c r="AY198" i="6"/>
  <c r="AY199" i="6"/>
  <c r="AY200" i="6"/>
  <c r="AY201" i="6"/>
  <c r="AY202" i="6"/>
  <c r="AY203" i="6"/>
  <c r="AY204" i="6"/>
  <c r="AY205" i="6"/>
  <c r="AY206" i="6"/>
  <c r="AY207" i="6"/>
  <c r="AY2" i="6"/>
  <c r="AT3" i="6"/>
  <c r="AT4" i="6"/>
  <c r="AT5" i="6"/>
  <c r="AT6" i="6"/>
  <c r="AT7" i="6"/>
  <c r="AT8" i="6"/>
  <c r="AT9" i="6"/>
  <c r="AT10" i="6"/>
  <c r="AT11" i="6"/>
  <c r="AT12" i="6"/>
  <c r="AT13" i="6"/>
  <c r="AT14" i="6"/>
  <c r="AT15" i="6"/>
  <c r="AT16" i="6"/>
  <c r="AT17" i="6"/>
  <c r="AT18" i="6"/>
  <c r="AT19" i="6"/>
  <c r="AT20" i="6"/>
  <c r="AT21" i="6"/>
  <c r="AT22" i="6"/>
  <c r="AT23" i="6"/>
  <c r="AT24" i="6"/>
  <c r="AT25" i="6"/>
  <c r="AT26" i="6"/>
  <c r="AT27" i="6"/>
  <c r="AT28" i="6"/>
  <c r="AT29" i="6"/>
  <c r="AT30" i="6"/>
  <c r="AT31" i="6"/>
  <c r="AT32" i="6"/>
  <c r="AT33" i="6"/>
  <c r="AT34" i="6"/>
  <c r="AT35" i="6"/>
  <c r="AT36" i="6"/>
  <c r="AT37" i="6"/>
  <c r="AT38" i="6"/>
  <c r="AT39" i="6"/>
  <c r="AT40" i="6"/>
  <c r="AT41" i="6"/>
  <c r="AT42" i="6"/>
  <c r="AT43" i="6"/>
  <c r="AT44" i="6"/>
  <c r="AT45" i="6"/>
  <c r="AT46" i="6"/>
  <c r="AT47" i="6"/>
  <c r="AT48" i="6"/>
  <c r="AT49" i="6"/>
  <c r="AT50" i="6"/>
  <c r="AT51" i="6"/>
  <c r="AT52" i="6"/>
  <c r="AT53" i="6"/>
  <c r="AT54" i="6"/>
  <c r="AT55" i="6"/>
  <c r="AT56" i="6"/>
  <c r="AT57" i="6"/>
  <c r="AT58" i="6"/>
  <c r="AT59" i="6"/>
  <c r="AT60" i="6"/>
  <c r="AT61" i="6"/>
  <c r="AT62" i="6"/>
  <c r="AT63" i="6"/>
  <c r="AT64" i="6"/>
  <c r="AT65" i="6"/>
  <c r="AT66" i="6"/>
  <c r="AT67" i="6"/>
  <c r="AT68" i="6"/>
  <c r="AT69" i="6"/>
  <c r="AT70" i="6"/>
  <c r="AT71" i="6"/>
  <c r="AT72" i="6"/>
  <c r="AT73" i="6"/>
  <c r="AT74" i="6"/>
  <c r="AT75" i="6"/>
  <c r="AT76" i="6"/>
  <c r="AT77" i="6"/>
  <c r="AT78" i="6"/>
  <c r="AT79" i="6"/>
  <c r="AT80" i="6"/>
  <c r="AT81" i="6"/>
  <c r="AT82" i="6"/>
  <c r="AT83" i="6"/>
  <c r="AT84" i="6"/>
  <c r="AT85" i="6"/>
  <c r="AT86" i="6"/>
  <c r="AT87" i="6"/>
  <c r="AT88" i="6"/>
  <c r="AT89" i="6"/>
  <c r="AT90" i="6"/>
  <c r="AT91" i="6"/>
  <c r="AT92" i="6"/>
  <c r="AT93" i="6"/>
  <c r="AT94" i="6"/>
  <c r="AT95" i="6"/>
  <c r="AT96" i="6"/>
  <c r="AT97" i="6"/>
  <c r="AT98" i="6"/>
  <c r="AT99" i="6"/>
  <c r="AT100" i="6"/>
  <c r="AT101" i="6"/>
  <c r="AT102" i="6"/>
  <c r="AT103" i="6"/>
  <c r="AT104" i="6"/>
  <c r="AT105" i="6"/>
  <c r="AT106" i="6"/>
  <c r="AT107" i="6"/>
  <c r="AT108" i="6"/>
  <c r="AT109" i="6"/>
  <c r="AT110" i="6"/>
  <c r="AT111" i="6"/>
  <c r="AT112" i="6"/>
  <c r="AT113" i="6"/>
  <c r="AT114" i="6"/>
  <c r="AT115" i="6"/>
  <c r="AT116" i="6"/>
  <c r="AT117" i="6"/>
  <c r="AT118" i="6"/>
  <c r="AT119" i="6"/>
  <c r="AT120" i="6"/>
  <c r="AT121" i="6"/>
  <c r="AT122" i="6"/>
  <c r="AT123" i="6"/>
  <c r="AT124" i="6"/>
  <c r="AT125" i="6"/>
  <c r="AT126" i="6"/>
  <c r="AT127" i="6"/>
  <c r="AT128" i="6"/>
  <c r="AT129" i="6"/>
  <c r="AT130" i="6"/>
  <c r="AT131" i="6"/>
  <c r="AT132" i="6"/>
  <c r="AT133" i="6"/>
  <c r="AT134" i="6"/>
  <c r="AT135" i="6"/>
  <c r="AT136" i="6"/>
  <c r="AT137" i="6"/>
  <c r="AT138" i="6"/>
  <c r="AT139" i="6"/>
  <c r="AT140" i="6"/>
  <c r="AT141" i="6"/>
  <c r="AT142" i="6"/>
  <c r="AT143" i="6"/>
  <c r="AT144" i="6"/>
  <c r="AT145" i="6"/>
  <c r="AT146" i="6"/>
  <c r="AT147" i="6"/>
  <c r="AT148" i="6"/>
  <c r="AT149" i="6"/>
  <c r="AT150" i="6"/>
  <c r="AT151" i="6"/>
  <c r="AT152" i="6"/>
  <c r="AT153" i="6"/>
  <c r="AT154" i="6"/>
  <c r="AT155" i="6"/>
  <c r="AT156" i="6"/>
  <c r="AT157" i="6"/>
  <c r="AT158" i="6"/>
  <c r="AT159" i="6"/>
  <c r="AT160" i="6"/>
  <c r="AT161" i="6"/>
  <c r="AT162" i="6"/>
  <c r="AT163" i="6"/>
  <c r="AT164" i="6"/>
  <c r="AT165" i="6"/>
  <c r="AT166" i="6"/>
  <c r="AT167" i="6"/>
  <c r="AT168" i="6"/>
  <c r="AT169" i="6"/>
  <c r="AT170" i="6"/>
  <c r="AT171" i="6"/>
  <c r="AT172" i="6"/>
  <c r="AT173" i="6"/>
  <c r="AT174" i="6"/>
  <c r="AT175" i="6"/>
  <c r="AT176" i="6"/>
  <c r="AT177" i="6"/>
  <c r="AT178" i="6"/>
  <c r="AT179" i="6"/>
  <c r="AT180" i="6"/>
  <c r="AT181" i="6"/>
  <c r="AT182" i="6"/>
  <c r="AT183" i="6"/>
  <c r="AT184" i="6"/>
  <c r="AT185" i="6"/>
  <c r="AT186" i="6"/>
  <c r="AT187" i="6"/>
  <c r="AT188" i="6"/>
  <c r="AT189" i="6"/>
  <c r="AT190" i="6"/>
  <c r="AT191" i="6"/>
  <c r="AT192" i="6"/>
  <c r="AT193" i="6"/>
  <c r="AT194" i="6"/>
  <c r="AT195" i="6"/>
  <c r="AT196" i="6"/>
  <c r="AT197" i="6"/>
  <c r="AT198" i="6"/>
  <c r="AT199" i="6"/>
  <c r="AT200" i="6"/>
  <c r="AT201" i="6"/>
  <c r="AT202" i="6"/>
  <c r="AT203" i="6"/>
  <c r="AT204" i="6"/>
  <c r="AT205" i="6"/>
  <c r="AT206" i="6"/>
  <c r="AT207" i="6"/>
  <c r="AI2" i="6"/>
  <c r="AJ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37" i="6"/>
  <c r="AJ38" i="6"/>
  <c r="AJ39" i="6"/>
  <c r="AJ40" i="6"/>
  <c r="AJ41" i="6"/>
  <c r="AJ42" i="6"/>
  <c r="AJ43" i="6"/>
  <c r="AJ44" i="6"/>
  <c r="AJ45" i="6"/>
  <c r="AJ46" i="6"/>
  <c r="AJ47" i="6"/>
  <c r="AJ48" i="6"/>
  <c r="AJ49" i="6"/>
  <c r="AJ50" i="6"/>
  <c r="AJ51" i="6"/>
  <c r="AJ52" i="6"/>
  <c r="AJ53" i="6"/>
  <c r="AJ54" i="6"/>
  <c r="AJ55" i="6"/>
  <c r="AJ56" i="6"/>
  <c r="AJ57" i="6"/>
  <c r="AJ58" i="6"/>
  <c r="AJ59" i="6"/>
  <c r="AJ60" i="6"/>
  <c r="AJ61" i="6"/>
  <c r="AJ62" i="6"/>
  <c r="AJ63" i="6"/>
  <c r="AJ64" i="6"/>
  <c r="AJ65" i="6"/>
  <c r="AJ66" i="6"/>
  <c r="AJ67" i="6"/>
  <c r="AJ68" i="6"/>
  <c r="AJ69" i="6"/>
  <c r="AJ70" i="6"/>
  <c r="AJ71" i="6"/>
  <c r="AJ72" i="6"/>
  <c r="AJ73" i="6"/>
  <c r="AJ74" i="6"/>
  <c r="AJ75" i="6"/>
  <c r="AJ76" i="6"/>
  <c r="AJ77" i="6"/>
  <c r="AJ78" i="6"/>
  <c r="AJ79" i="6"/>
  <c r="AJ80" i="6"/>
  <c r="AJ81" i="6"/>
  <c r="AJ82" i="6"/>
  <c r="AJ83" i="6"/>
  <c r="AJ84" i="6"/>
  <c r="AJ85" i="6"/>
  <c r="AJ86" i="6"/>
  <c r="AJ87" i="6"/>
  <c r="AJ88" i="6"/>
  <c r="AJ89" i="6"/>
  <c r="AJ90" i="6"/>
  <c r="AJ91" i="6"/>
  <c r="AJ92" i="6"/>
  <c r="AJ93" i="6"/>
  <c r="AJ94" i="6"/>
  <c r="AJ95" i="6"/>
  <c r="AJ96" i="6"/>
  <c r="AJ97" i="6"/>
  <c r="AJ98" i="6"/>
  <c r="AJ99" i="6"/>
  <c r="AJ100" i="6"/>
  <c r="AJ101" i="6"/>
  <c r="AJ102" i="6"/>
  <c r="AJ103" i="6"/>
  <c r="AJ104" i="6"/>
  <c r="AJ105" i="6"/>
  <c r="AJ106" i="6"/>
  <c r="AJ107" i="6"/>
  <c r="AJ108" i="6"/>
  <c r="AJ109" i="6"/>
  <c r="AJ110" i="6"/>
  <c r="AJ111" i="6"/>
  <c r="AJ112" i="6"/>
  <c r="AJ113" i="6"/>
  <c r="AJ114" i="6"/>
  <c r="AJ115" i="6"/>
  <c r="AJ116" i="6"/>
  <c r="AJ117" i="6"/>
  <c r="AJ118" i="6"/>
  <c r="AJ119" i="6"/>
  <c r="AJ120" i="6"/>
  <c r="AJ121" i="6"/>
  <c r="AJ122" i="6"/>
  <c r="AJ123" i="6"/>
  <c r="AJ124" i="6"/>
  <c r="AJ125" i="6"/>
  <c r="AJ126" i="6"/>
  <c r="AJ127" i="6"/>
  <c r="AJ128" i="6"/>
  <c r="AJ129" i="6"/>
  <c r="AJ130" i="6"/>
  <c r="AJ131" i="6"/>
  <c r="AJ132" i="6"/>
  <c r="AJ133" i="6"/>
  <c r="AJ134" i="6"/>
  <c r="AJ135" i="6"/>
  <c r="AJ136" i="6"/>
  <c r="AJ137" i="6"/>
  <c r="AJ138" i="6"/>
  <c r="AJ139" i="6"/>
  <c r="AJ140" i="6"/>
  <c r="AJ141" i="6"/>
  <c r="AJ142" i="6"/>
  <c r="AJ143" i="6"/>
  <c r="AJ144" i="6"/>
  <c r="AJ145" i="6"/>
  <c r="AJ146" i="6"/>
  <c r="AJ147" i="6"/>
  <c r="AJ148" i="6"/>
  <c r="AJ149" i="6"/>
  <c r="AJ150" i="6"/>
  <c r="AJ151" i="6"/>
  <c r="AJ152" i="6"/>
  <c r="AJ153" i="6"/>
  <c r="AJ154" i="6"/>
  <c r="AJ155" i="6"/>
  <c r="AJ156" i="6"/>
  <c r="AJ157" i="6"/>
  <c r="AJ158" i="6"/>
  <c r="AJ159" i="6"/>
  <c r="AJ160" i="6"/>
  <c r="AJ161" i="6"/>
  <c r="AJ162" i="6"/>
  <c r="AJ163" i="6"/>
  <c r="AJ164" i="6"/>
  <c r="AJ165" i="6"/>
  <c r="AJ166" i="6"/>
  <c r="AJ167" i="6"/>
  <c r="AJ168" i="6"/>
  <c r="AJ169" i="6"/>
  <c r="AJ170" i="6"/>
  <c r="AJ171" i="6"/>
  <c r="AJ172" i="6"/>
  <c r="AJ173" i="6"/>
  <c r="AJ174" i="6"/>
  <c r="AJ175" i="6"/>
  <c r="AJ176" i="6"/>
  <c r="AJ177" i="6"/>
  <c r="AJ178" i="6"/>
  <c r="AJ179" i="6"/>
  <c r="AJ180" i="6"/>
  <c r="AJ181" i="6"/>
  <c r="AJ182" i="6"/>
  <c r="AJ183" i="6"/>
  <c r="AJ184" i="6"/>
  <c r="AJ185" i="6"/>
  <c r="AJ186" i="6"/>
  <c r="AJ187" i="6"/>
  <c r="AJ188" i="6"/>
  <c r="AJ189" i="6"/>
  <c r="AJ190" i="6"/>
  <c r="AJ191" i="6"/>
  <c r="AJ192" i="6"/>
  <c r="AJ193" i="6"/>
  <c r="AJ194" i="6"/>
  <c r="AJ195" i="6"/>
  <c r="AJ196" i="6"/>
  <c r="AJ197" i="6"/>
  <c r="AJ198" i="6"/>
  <c r="AJ199" i="6"/>
  <c r="AJ200" i="6"/>
  <c r="AJ201" i="6"/>
  <c r="AJ202" i="6"/>
  <c r="AJ203" i="6"/>
  <c r="AJ204" i="6"/>
  <c r="AJ205" i="6"/>
  <c r="AJ206" i="6"/>
  <c r="AJ207" i="6"/>
  <c r="M2" i="6"/>
  <c r="AI3" i="6"/>
  <c r="AI4" i="6"/>
  <c r="AI5" i="6"/>
  <c r="AI6" i="6"/>
  <c r="AI7" i="6"/>
  <c r="AI8" i="6"/>
  <c r="AI9" i="6"/>
  <c r="AI10" i="6"/>
  <c r="AI11" i="6"/>
  <c r="AI12" i="6"/>
  <c r="AI13" i="6"/>
  <c r="AI14" i="6"/>
  <c r="AI15" i="6"/>
  <c r="AI16" i="6"/>
  <c r="AI17" i="6"/>
  <c r="AI18" i="6"/>
  <c r="AI19" i="6"/>
  <c r="AI20" i="6"/>
  <c r="AI21" i="6"/>
  <c r="AI22" i="6"/>
  <c r="AI23" i="6"/>
  <c r="AI24" i="6"/>
  <c r="AI25" i="6"/>
  <c r="AI26" i="6"/>
  <c r="AI27" i="6"/>
  <c r="AI28" i="6"/>
  <c r="AI29" i="6"/>
  <c r="AI30" i="6"/>
  <c r="AI31" i="6"/>
  <c r="AI32" i="6"/>
  <c r="AI33" i="6"/>
  <c r="AI34" i="6"/>
  <c r="AI35" i="6"/>
  <c r="AI36" i="6"/>
  <c r="AI37" i="6"/>
  <c r="AI38" i="6"/>
  <c r="AI39" i="6"/>
  <c r="AI40" i="6"/>
  <c r="AI41" i="6"/>
  <c r="AI42" i="6"/>
  <c r="AI43" i="6"/>
  <c r="AI44" i="6"/>
  <c r="AI45" i="6"/>
  <c r="AI46" i="6"/>
  <c r="AI47" i="6"/>
  <c r="AI48" i="6"/>
  <c r="AI49" i="6"/>
  <c r="AI50" i="6"/>
  <c r="AI51" i="6"/>
  <c r="AI52" i="6"/>
  <c r="AI53" i="6"/>
  <c r="AI54" i="6"/>
  <c r="AI55" i="6"/>
  <c r="AI56" i="6"/>
  <c r="AI57" i="6"/>
  <c r="AI58" i="6"/>
  <c r="AI59" i="6"/>
  <c r="AI60" i="6"/>
  <c r="AI61" i="6"/>
  <c r="AI62" i="6"/>
  <c r="AI63" i="6"/>
  <c r="AI64" i="6"/>
  <c r="AI65" i="6"/>
  <c r="AI66" i="6"/>
  <c r="AI67" i="6"/>
  <c r="AI68" i="6"/>
  <c r="AI69" i="6"/>
  <c r="AI70" i="6"/>
  <c r="AI71" i="6"/>
  <c r="AI72" i="6"/>
  <c r="AI73" i="6"/>
  <c r="AI74" i="6"/>
  <c r="AI75" i="6"/>
  <c r="AI76" i="6"/>
  <c r="AI77" i="6"/>
  <c r="AI78" i="6"/>
  <c r="AI79" i="6"/>
  <c r="AI80" i="6"/>
  <c r="AI81" i="6"/>
  <c r="AI82" i="6"/>
  <c r="AI83" i="6"/>
  <c r="AI84" i="6"/>
  <c r="AI85" i="6"/>
  <c r="AI86" i="6"/>
  <c r="AI87" i="6"/>
  <c r="AI88" i="6"/>
  <c r="AI89" i="6"/>
  <c r="AI90" i="6"/>
  <c r="AI91" i="6"/>
  <c r="AI92" i="6"/>
  <c r="AI93" i="6"/>
  <c r="AI94" i="6"/>
  <c r="AI95" i="6"/>
  <c r="AI96" i="6"/>
  <c r="AI97" i="6"/>
  <c r="AI98" i="6"/>
  <c r="AI99" i="6"/>
  <c r="AI100" i="6"/>
  <c r="AI101" i="6"/>
  <c r="AI102" i="6"/>
  <c r="AI103" i="6"/>
  <c r="AI104" i="6"/>
  <c r="AI105" i="6"/>
  <c r="AI106" i="6"/>
  <c r="AI107" i="6"/>
  <c r="AI108" i="6"/>
  <c r="AI109" i="6"/>
  <c r="AI110" i="6"/>
  <c r="AI111" i="6"/>
  <c r="AI112" i="6"/>
  <c r="AI113" i="6"/>
  <c r="AI114" i="6"/>
  <c r="AI115" i="6"/>
  <c r="AI116" i="6"/>
  <c r="AI117" i="6"/>
  <c r="AI118" i="6"/>
  <c r="AI119" i="6"/>
  <c r="AI120" i="6"/>
  <c r="AI121" i="6"/>
  <c r="AI122" i="6"/>
  <c r="AI123" i="6"/>
  <c r="AI124" i="6"/>
  <c r="AI125" i="6"/>
  <c r="AI126" i="6"/>
  <c r="AI127" i="6"/>
  <c r="AI128" i="6"/>
  <c r="AI129" i="6"/>
  <c r="AI130" i="6"/>
  <c r="AI131" i="6"/>
  <c r="AI132" i="6"/>
  <c r="AI133" i="6"/>
  <c r="AI134" i="6"/>
  <c r="AI135" i="6"/>
  <c r="AI136" i="6"/>
  <c r="AI137" i="6"/>
  <c r="AI138" i="6"/>
  <c r="AI139" i="6"/>
  <c r="AI140" i="6"/>
  <c r="AI141" i="6"/>
  <c r="AI142" i="6"/>
  <c r="AI143" i="6"/>
  <c r="AI144" i="6"/>
  <c r="AI145" i="6"/>
  <c r="AI146" i="6"/>
  <c r="AI147" i="6"/>
  <c r="AI148" i="6"/>
  <c r="AI149" i="6"/>
  <c r="AI150" i="6"/>
  <c r="AI151" i="6"/>
  <c r="AI152" i="6"/>
  <c r="AI153" i="6"/>
  <c r="AI154" i="6"/>
  <c r="AI155" i="6"/>
  <c r="AI156" i="6"/>
  <c r="AI157" i="6"/>
  <c r="AI158" i="6"/>
  <c r="AI159" i="6"/>
  <c r="AI160" i="6"/>
  <c r="AI161" i="6"/>
  <c r="AI162" i="6"/>
  <c r="AI163" i="6"/>
  <c r="AI164" i="6"/>
  <c r="AI165" i="6"/>
  <c r="AI166" i="6"/>
  <c r="AI167" i="6"/>
  <c r="AI168" i="6"/>
  <c r="AI169" i="6"/>
  <c r="AI170" i="6"/>
  <c r="AI171" i="6"/>
  <c r="AI172" i="6"/>
  <c r="AI173" i="6"/>
  <c r="AI174" i="6"/>
  <c r="AI175" i="6"/>
  <c r="AI176" i="6"/>
  <c r="AI177" i="6"/>
  <c r="AI178" i="6"/>
  <c r="AI179" i="6"/>
  <c r="AI180" i="6"/>
  <c r="AI181" i="6"/>
  <c r="AI182" i="6"/>
  <c r="AI183" i="6"/>
  <c r="AI184" i="6"/>
  <c r="AI185" i="6"/>
  <c r="AI186" i="6"/>
  <c r="AI187" i="6"/>
  <c r="AI188" i="6"/>
  <c r="AI189" i="6"/>
  <c r="AI190" i="6"/>
  <c r="AI191" i="6"/>
  <c r="AI192" i="6"/>
  <c r="AI193" i="6"/>
  <c r="AI194" i="6"/>
  <c r="AI195" i="6"/>
  <c r="AI196" i="6"/>
  <c r="AI197" i="6"/>
  <c r="AI198" i="6"/>
  <c r="AI199" i="6"/>
  <c r="AI200" i="6"/>
  <c r="AI201" i="6"/>
  <c r="AI202" i="6"/>
  <c r="AI203" i="6"/>
  <c r="AI204" i="6"/>
  <c r="AI205" i="6"/>
  <c r="AI206" i="6"/>
  <c r="AI207" i="6"/>
  <c r="L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BE3" i="9"/>
  <c r="BE4" i="9"/>
  <c r="BE5" i="9"/>
  <c r="BE6" i="9"/>
  <c r="BE7" i="9"/>
  <c r="BE8" i="9"/>
  <c r="BE9" i="9"/>
  <c r="BE10" i="9"/>
  <c r="BE11" i="9"/>
  <c r="BE12" i="9"/>
  <c r="BE13" i="9"/>
  <c r="BE14" i="9"/>
  <c r="BE15" i="9"/>
  <c r="BE16" i="9"/>
  <c r="BE17" i="9"/>
  <c r="BE18" i="9"/>
  <c r="BE19" i="9"/>
  <c r="BE20" i="9"/>
  <c r="BE21" i="9"/>
  <c r="BE22" i="9"/>
  <c r="BE23" i="9"/>
  <c r="BE24" i="9"/>
  <c r="BE25" i="9"/>
  <c r="BE26" i="9"/>
  <c r="BE27" i="9"/>
  <c r="BE28" i="9"/>
  <c r="BE29" i="9"/>
  <c r="BE30" i="9"/>
  <c r="BE31" i="9"/>
  <c r="BE32" i="9"/>
  <c r="BE33" i="9"/>
  <c r="BE34" i="9"/>
  <c r="BE35" i="9"/>
  <c r="BE36" i="9"/>
  <c r="BE37" i="9"/>
  <c r="BE38" i="9"/>
  <c r="BE39" i="9"/>
  <c r="BE40" i="9"/>
  <c r="BE41" i="9"/>
  <c r="BE42" i="9"/>
  <c r="BE43" i="9"/>
  <c r="BE44" i="9"/>
  <c r="BE45" i="9"/>
  <c r="BE46" i="9"/>
  <c r="BE47" i="9"/>
  <c r="BE48" i="9"/>
  <c r="BE49" i="9"/>
  <c r="BE50" i="9"/>
  <c r="BE51" i="9"/>
  <c r="BE52" i="9"/>
  <c r="BE53" i="9"/>
  <c r="BE54" i="9"/>
  <c r="BE55" i="9"/>
  <c r="BE56" i="9"/>
  <c r="BE57" i="9"/>
  <c r="BE58" i="9"/>
  <c r="BE59" i="9"/>
  <c r="BE60" i="9"/>
  <c r="BE61" i="9"/>
  <c r="BE62" i="9"/>
  <c r="BE63" i="9"/>
  <c r="BE64" i="9"/>
  <c r="BE65" i="9"/>
  <c r="BE66" i="9"/>
  <c r="BE67" i="9"/>
  <c r="BE68" i="9"/>
  <c r="BE69" i="9"/>
  <c r="BE70" i="9"/>
  <c r="BE71" i="9"/>
  <c r="BE72" i="9"/>
  <c r="BE73" i="9"/>
  <c r="BE74" i="9"/>
  <c r="BE75" i="9"/>
  <c r="BE76" i="9"/>
  <c r="BE77" i="9"/>
  <c r="BE78" i="9"/>
  <c r="BE79" i="9"/>
  <c r="BE80" i="9"/>
  <c r="BE81" i="9"/>
  <c r="BE82" i="9"/>
  <c r="BE83" i="9"/>
  <c r="BE84" i="9"/>
  <c r="BE85" i="9"/>
  <c r="BE86" i="9"/>
  <c r="BE87" i="9"/>
  <c r="BE88" i="9"/>
  <c r="BE89" i="9"/>
  <c r="BE90" i="9"/>
  <c r="BE91" i="9"/>
  <c r="BE92" i="9"/>
  <c r="BE93" i="9"/>
  <c r="BE94" i="9"/>
  <c r="BE95" i="9"/>
  <c r="BE96" i="9"/>
  <c r="BE97" i="9"/>
  <c r="BE98" i="9"/>
  <c r="BE99" i="9"/>
  <c r="BE100" i="9"/>
  <c r="BE101" i="9"/>
  <c r="BE102" i="9"/>
  <c r="BE103" i="9"/>
  <c r="BE104" i="9"/>
  <c r="BE105" i="9"/>
  <c r="BE106" i="9"/>
  <c r="BE107" i="9"/>
  <c r="BE108" i="9"/>
  <c r="BE109" i="9"/>
  <c r="BE110" i="9"/>
  <c r="BE111" i="9"/>
  <c r="BE112" i="9"/>
  <c r="BE113" i="9"/>
  <c r="BE114" i="9"/>
  <c r="BE115" i="9"/>
  <c r="BE116" i="9"/>
  <c r="BE117" i="9"/>
  <c r="BE118" i="9"/>
  <c r="BE119" i="9"/>
  <c r="BE120" i="9"/>
  <c r="BE121" i="9"/>
  <c r="BE122" i="9"/>
  <c r="BE123" i="9"/>
  <c r="BE124" i="9"/>
  <c r="BE125" i="9"/>
  <c r="BE126" i="9"/>
  <c r="BE127" i="9"/>
  <c r="BE128" i="9"/>
  <c r="BE129" i="9"/>
  <c r="BE130" i="9"/>
  <c r="BE131" i="9"/>
  <c r="BE132" i="9"/>
  <c r="BE133" i="9"/>
  <c r="BE134" i="9"/>
  <c r="BE135" i="9"/>
  <c r="BE136" i="9"/>
  <c r="BE137" i="9"/>
  <c r="BE138" i="9"/>
  <c r="BE139" i="9"/>
  <c r="BE140" i="9"/>
  <c r="BE141" i="9"/>
  <c r="BE142" i="9"/>
  <c r="BE143" i="9"/>
  <c r="BE144" i="9"/>
  <c r="BE145" i="9"/>
  <c r="BE146" i="9"/>
  <c r="BE147" i="9"/>
  <c r="BE148" i="9"/>
  <c r="BE149" i="9"/>
  <c r="BE150" i="9"/>
  <c r="BE151" i="9"/>
  <c r="BE152" i="9"/>
  <c r="BE153" i="9"/>
  <c r="BE154" i="9"/>
  <c r="BE155" i="9"/>
  <c r="BE156" i="9"/>
  <c r="BE157" i="9"/>
  <c r="BE158" i="9"/>
  <c r="BE159" i="9"/>
  <c r="BE160" i="9"/>
  <c r="BE161" i="9"/>
  <c r="BE162" i="9"/>
  <c r="BE163" i="9"/>
  <c r="BE164" i="9"/>
  <c r="BE165" i="9"/>
  <c r="BE166" i="9"/>
  <c r="BE167" i="9"/>
  <c r="BE168" i="9"/>
  <c r="BE169" i="9"/>
  <c r="BE170" i="9"/>
  <c r="BE171" i="9"/>
  <c r="BE172" i="9"/>
  <c r="BE173" i="9"/>
  <c r="BE174" i="9"/>
  <c r="BE175" i="9"/>
  <c r="BE176" i="9"/>
  <c r="BE177" i="9"/>
  <c r="BE178" i="9"/>
  <c r="BE179" i="9"/>
  <c r="BE180" i="9"/>
  <c r="BE181" i="9"/>
  <c r="BE182" i="9"/>
  <c r="BE183" i="9"/>
  <c r="BE184" i="9"/>
  <c r="BE185" i="9"/>
  <c r="BE186" i="9"/>
  <c r="BE187" i="9"/>
  <c r="BE188" i="9"/>
  <c r="BE189" i="9"/>
  <c r="BE190" i="9"/>
  <c r="BE191" i="9"/>
  <c r="BE192" i="9"/>
  <c r="BE193" i="9"/>
  <c r="BE194" i="9"/>
  <c r="BE195" i="9"/>
  <c r="BE196" i="9"/>
  <c r="BE197" i="9"/>
  <c r="BE198" i="9"/>
  <c r="BE199" i="9"/>
  <c r="BE201" i="9"/>
  <c r="BE202" i="9"/>
  <c r="BE203" i="9"/>
  <c r="BE204" i="9"/>
  <c r="BE205" i="9"/>
  <c r="BE206" i="9"/>
  <c r="BE207" i="9"/>
  <c r="BE2" i="9"/>
  <c r="AZ2" i="9"/>
  <c r="BD3" i="9"/>
  <c r="BD4" i="9"/>
  <c r="BD5" i="9"/>
  <c r="BD6" i="9"/>
  <c r="BD7" i="9"/>
  <c r="BD8" i="9"/>
  <c r="BD9" i="9"/>
  <c r="BD10" i="9"/>
  <c r="BD11" i="9"/>
  <c r="BD12" i="9"/>
  <c r="BD13" i="9"/>
  <c r="BD14" i="9"/>
  <c r="BD15" i="9"/>
  <c r="BD16" i="9"/>
  <c r="BD17" i="9"/>
  <c r="BD18" i="9"/>
  <c r="BD19" i="9"/>
  <c r="BD20" i="9"/>
  <c r="BD21" i="9"/>
  <c r="BD22" i="9"/>
  <c r="BD23" i="9"/>
  <c r="BD24" i="9"/>
  <c r="BD25" i="9"/>
  <c r="BD26" i="9"/>
  <c r="BD27" i="9"/>
  <c r="BD28" i="9"/>
  <c r="BD29" i="9"/>
  <c r="BD30" i="9"/>
  <c r="BD31" i="9"/>
  <c r="BD32" i="9"/>
  <c r="BD33" i="9"/>
  <c r="BD34" i="9"/>
  <c r="BD35" i="9"/>
  <c r="BD36" i="9"/>
  <c r="BD37" i="9"/>
  <c r="BD38" i="9"/>
  <c r="BD39" i="9"/>
  <c r="BD40" i="9"/>
  <c r="BD41" i="9"/>
  <c r="BD42" i="9"/>
  <c r="BD43" i="9"/>
  <c r="BD44" i="9"/>
  <c r="BD45" i="9"/>
  <c r="BD46" i="9"/>
  <c r="BD47" i="9"/>
  <c r="BD48" i="9"/>
  <c r="BD49" i="9"/>
  <c r="BD50" i="9"/>
  <c r="BD51" i="9"/>
  <c r="BD52" i="9"/>
  <c r="BD53" i="9"/>
  <c r="BD54" i="9"/>
  <c r="BD55" i="9"/>
  <c r="BD56" i="9"/>
  <c r="BD57" i="9"/>
  <c r="BD58" i="9"/>
  <c r="BD59" i="9"/>
  <c r="BD60" i="9"/>
  <c r="BD61" i="9"/>
  <c r="BD62" i="9"/>
  <c r="BD63" i="9"/>
  <c r="BD64" i="9"/>
  <c r="BD65" i="9"/>
  <c r="BD66" i="9"/>
  <c r="BD67" i="9"/>
  <c r="BD68" i="9"/>
  <c r="BD69" i="9"/>
  <c r="BD70" i="9"/>
  <c r="BD71" i="9"/>
  <c r="BD72" i="9"/>
  <c r="BD73" i="9"/>
  <c r="BD74" i="9"/>
  <c r="BD75" i="9"/>
  <c r="BD76" i="9"/>
  <c r="BD77" i="9"/>
  <c r="BD78" i="9"/>
  <c r="BD79" i="9"/>
  <c r="BD80" i="9"/>
  <c r="BD81" i="9"/>
  <c r="BD82" i="9"/>
  <c r="BD83" i="9"/>
  <c r="BD84" i="9"/>
  <c r="BD85" i="9"/>
  <c r="BD86" i="9"/>
  <c r="BD87" i="9"/>
  <c r="BD88" i="9"/>
  <c r="BD89" i="9"/>
  <c r="BD90" i="9"/>
  <c r="BD91" i="9"/>
  <c r="BD92" i="9"/>
  <c r="BD93" i="9"/>
  <c r="BD94" i="9"/>
  <c r="BD95" i="9"/>
  <c r="BD96" i="9"/>
  <c r="BD97" i="9"/>
  <c r="BD98" i="9"/>
  <c r="BD99" i="9"/>
  <c r="BD100" i="9"/>
  <c r="BD101" i="9"/>
  <c r="BD102" i="9"/>
  <c r="BD103" i="9"/>
  <c r="BD104" i="9"/>
  <c r="BD105" i="9"/>
  <c r="BD106" i="9"/>
  <c r="BD107" i="9"/>
  <c r="BD108" i="9"/>
  <c r="BD109" i="9"/>
  <c r="BD110" i="9"/>
  <c r="BD111" i="9"/>
  <c r="BD112" i="9"/>
  <c r="BD113" i="9"/>
  <c r="BD114" i="9"/>
  <c r="BD115" i="9"/>
  <c r="BD116" i="9"/>
  <c r="BD117" i="9"/>
  <c r="BD118" i="9"/>
  <c r="BD119" i="9"/>
  <c r="BD120" i="9"/>
  <c r="BD121" i="9"/>
  <c r="BD122" i="9"/>
  <c r="BD123" i="9"/>
  <c r="BD124" i="9"/>
  <c r="BD125" i="9"/>
  <c r="BD126" i="9"/>
  <c r="BD127" i="9"/>
  <c r="BD128" i="9"/>
  <c r="BD129" i="9"/>
  <c r="BD130" i="9"/>
  <c r="BD131" i="9"/>
  <c r="BD132" i="9"/>
  <c r="BD133" i="9"/>
  <c r="BD134" i="9"/>
  <c r="BD135" i="9"/>
  <c r="BD136" i="9"/>
  <c r="BD137" i="9"/>
  <c r="BD138" i="9"/>
  <c r="BD139" i="9"/>
  <c r="BD140" i="9"/>
  <c r="BD141" i="9"/>
  <c r="BD142" i="9"/>
  <c r="BD143" i="9"/>
  <c r="BD144" i="9"/>
  <c r="BD145" i="9"/>
  <c r="BD146" i="9"/>
  <c r="BD147" i="9"/>
  <c r="BD148" i="9"/>
  <c r="BD149" i="9"/>
  <c r="BD150" i="9"/>
  <c r="BD151" i="9"/>
  <c r="BD152" i="9"/>
  <c r="BD153" i="9"/>
  <c r="BD154" i="9"/>
  <c r="BD155" i="9"/>
  <c r="BD156" i="9"/>
  <c r="BD157" i="9"/>
  <c r="BD158" i="9"/>
  <c r="BD159" i="9"/>
  <c r="BD160" i="9"/>
  <c r="BD161" i="9"/>
  <c r="BD162" i="9"/>
  <c r="BD163" i="9"/>
  <c r="BD164" i="9"/>
  <c r="BD165" i="9"/>
  <c r="BD166" i="9"/>
  <c r="BD167" i="9"/>
  <c r="BD168" i="9"/>
  <c r="BD169" i="9"/>
  <c r="BD170" i="9"/>
  <c r="BD171" i="9"/>
  <c r="BD172" i="9"/>
  <c r="BD173" i="9"/>
  <c r="BD174" i="9"/>
  <c r="BD175" i="9"/>
  <c r="BD176" i="9"/>
  <c r="BD177" i="9"/>
  <c r="BD178" i="9"/>
  <c r="BD179" i="9"/>
  <c r="BD180" i="9"/>
  <c r="BD181" i="9"/>
  <c r="BD182" i="9"/>
  <c r="BD183" i="9"/>
  <c r="BD184" i="9"/>
  <c r="BD185" i="9"/>
  <c r="BD186" i="9"/>
  <c r="BD187" i="9"/>
  <c r="BD188" i="9"/>
  <c r="BD189" i="9"/>
  <c r="BD190" i="9"/>
  <c r="BD191" i="9"/>
  <c r="BD192" i="9"/>
  <c r="BD193" i="9"/>
  <c r="BD194" i="9"/>
  <c r="BD195" i="9"/>
  <c r="BD196" i="9"/>
  <c r="BD197" i="9"/>
  <c r="BD198" i="9"/>
  <c r="BD199" i="9"/>
  <c r="BD201" i="9"/>
  <c r="BD202" i="9"/>
  <c r="BD203" i="9"/>
  <c r="BD204" i="9"/>
  <c r="BD205" i="9"/>
  <c r="BD206" i="9"/>
  <c r="BD207" i="9"/>
  <c r="BD2" i="9"/>
  <c r="AY3" i="9"/>
  <c r="AY4" i="9"/>
  <c r="AY5" i="9"/>
  <c r="AY6" i="9"/>
  <c r="AY7" i="9"/>
  <c r="AY8" i="9"/>
  <c r="AY9" i="9"/>
  <c r="AY10" i="9"/>
  <c r="AY11" i="9"/>
  <c r="AY12" i="9"/>
  <c r="AY13" i="9"/>
  <c r="AY14" i="9"/>
  <c r="AY15" i="9"/>
  <c r="AY16" i="9"/>
  <c r="AY17" i="9"/>
  <c r="AY18" i="9"/>
  <c r="AY19" i="9"/>
  <c r="AY20" i="9"/>
  <c r="AY21" i="9"/>
  <c r="AY22" i="9"/>
  <c r="AY23" i="9"/>
  <c r="AY24" i="9"/>
  <c r="AY25" i="9"/>
  <c r="AY26" i="9"/>
  <c r="AY27" i="9"/>
  <c r="AY28" i="9"/>
  <c r="AY29" i="9"/>
  <c r="AY30" i="9"/>
  <c r="AY31" i="9"/>
  <c r="AY32" i="9"/>
  <c r="AY33" i="9"/>
  <c r="AY34" i="9"/>
  <c r="AY35" i="9"/>
  <c r="AY36" i="9"/>
  <c r="AY37" i="9"/>
  <c r="AY38" i="9"/>
  <c r="AY39" i="9"/>
  <c r="AY40" i="9"/>
  <c r="AY41" i="9"/>
  <c r="AY42" i="9"/>
  <c r="AY43" i="9"/>
  <c r="AY44" i="9"/>
  <c r="AY45" i="9"/>
  <c r="AY46" i="9"/>
  <c r="AY47" i="9"/>
  <c r="AY48" i="9"/>
  <c r="AY49" i="9"/>
  <c r="AY50" i="9"/>
  <c r="AY51" i="9"/>
  <c r="AY52" i="9"/>
  <c r="AY53" i="9"/>
  <c r="AY54" i="9"/>
  <c r="AY55" i="9"/>
  <c r="AY56" i="9"/>
  <c r="AY57" i="9"/>
  <c r="AY58" i="9"/>
  <c r="AY59" i="9"/>
  <c r="AY60" i="9"/>
  <c r="AY61" i="9"/>
  <c r="AY62" i="9"/>
  <c r="AY63" i="9"/>
  <c r="AY64" i="9"/>
  <c r="AY65" i="9"/>
  <c r="AY66" i="9"/>
  <c r="AY67" i="9"/>
  <c r="AY68" i="9"/>
  <c r="AY69" i="9"/>
  <c r="AY70" i="9"/>
  <c r="AY71" i="9"/>
  <c r="AY72" i="9"/>
  <c r="AY73" i="9"/>
  <c r="AY74" i="9"/>
  <c r="AY75" i="9"/>
  <c r="AY76" i="9"/>
  <c r="AY77" i="9"/>
  <c r="AY78" i="9"/>
  <c r="AY79" i="9"/>
  <c r="AY80" i="9"/>
  <c r="AY81" i="9"/>
  <c r="AY82" i="9"/>
  <c r="AY83" i="9"/>
  <c r="AY84" i="9"/>
  <c r="AY85" i="9"/>
  <c r="AY86" i="9"/>
  <c r="AY87" i="9"/>
  <c r="AY88" i="9"/>
  <c r="AY89" i="9"/>
  <c r="AY90" i="9"/>
  <c r="AY91" i="9"/>
  <c r="AY92" i="9"/>
  <c r="AT93" i="9"/>
  <c r="AY94" i="9"/>
  <c r="AY95" i="9"/>
  <c r="AY96" i="9"/>
  <c r="AY97" i="9"/>
  <c r="AY98" i="9"/>
  <c r="AY99" i="9"/>
  <c r="AY100" i="9"/>
  <c r="AY101" i="9"/>
  <c r="AY102" i="9"/>
  <c r="AY103" i="9"/>
  <c r="AY104" i="9"/>
  <c r="AY105" i="9"/>
  <c r="AY106" i="9"/>
  <c r="AY107" i="9"/>
  <c r="AY108" i="9"/>
  <c r="AY109" i="9"/>
  <c r="AY110" i="9"/>
  <c r="AY111" i="9"/>
  <c r="AY112" i="9"/>
  <c r="AY113" i="9"/>
  <c r="AY114" i="9"/>
  <c r="AY115" i="9"/>
  <c r="AY116" i="9"/>
  <c r="AY117" i="9"/>
  <c r="AY118" i="9"/>
  <c r="AY119" i="9"/>
  <c r="AY120" i="9"/>
  <c r="AY121" i="9"/>
  <c r="AY122" i="9"/>
  <c r="AY123" i="9"/>
  <c r="AY124" i="9"/>
  <c r="AY125" i="9"/>
  <c r="AY126" i="9"/>
  <c r="AY127" i="9"/>
  <c r="AY128" i="9"/>
  <c r="AY129" i="9"/>
  <c r="AY130" i="9"/>
  <c r="AY131" i="9"/>
  <c r="AY132" i="9"/>
  <c r="AY133" i="9"/>
  <c r="AY134" i="9"/>
  <c r="AY135" i="9"/>
  <c r="AY136" i="9"/>
  <c r="AY137" i="9"/>
  <c r="AY138" i="9"/>
  <c r="AY139" i="9"/>
  <c r="AY140" i="9"/>
  <c r="AY141" i="9"/>
  <c r="AY142" i="9"/>
  <c r="AY143" i="9"/>
  <c r="AY144" i="9"/>
  <c r="AY145" i="9"/>
  <c r="AY146" i="9"/>
  <c r="AY147" i="9"/>
  <c r="AY148" i="9"/>
  <c r="AY149" i="9"/>
  <c r="AY150" i="9"/>
  <c r="AY151" i="9"/>
  <c r="AY152" i="9"/>
  <c r="AY153" i="9"/>
  <c r="AY154" i="9"/>
  <c r="AY155" i="9"/>
  <c r="AY156" i="9"/>
  <c r="AY157" i="9"/>
  <c r="AY158" i="9"/>
  <c r="AY159" i="9"/>
  <c r="AY160" i="9"/>
  <c r="AY161" i="9"/>
  <c r="AY162" i="9"/>
  <c r="AY163" i="9"/>
  <c r="AY164" i="9"/>
  <c r="AY165" i="9"/>
  <c r="AY166" i="9"/>
  <c r="AY167" i="9"/>
  <c r="AY168" i="9"/>
  <c r="AY169" i="9"/>
  <c r="AY170" i="9"/>
  <c r="AY171" i="9"/>
  <c r="AY172" i="9"/>
  <c r="AY173" i="9"/>
  <c r="AY174" i="9"/>
  <c r="AY175" i="9"/>
  <c r="AY176" i="9"/>
  <c r="AY177" i="9"/>
  <c r="AY178" i="9"/>
  <c r="AY179" i="9"/>
  <c r="AY180" i="9"/>
  <c r="AY181" i="9"/>
  <c r="AY182" i="9"/>
  <c r="AY183" i="9"/>
  <c r="AY184" i="9"/>
  <c r="AY185" i="9"/>
  <c r="AY186" i="9"/>
  <c r="AY187" i="9"/>
  <c r="AY188" i="9"/>
  <c r="AY189" i="9"/>
  <c r="AY190" i="9"/>
  <c r="AY191" i="9"/>
  <c r="AY192" i="9"/>
  <c r="AY193" i="9"/>
  <c r="AY194" i="9"/>
  <c r="AY195" i="9"/>
  <c r="AY196" i="9"/>
  <c r="AY197" i="9"/>
  <c r="AY198" i="9"/>
  <c r="AY199" i="9"/>
  <c r="AY201" i="9"/>
  <c r="AY202" i="9"/>
  <c r="AY203" i="9"/>
  <c r="AY204" i="9"/>
  <c r="AY205" i="9"/>
  <c r="AY206" i="9"/>
  <c r="AY207" i="9"/>
  <c r="AY2" i="9"/>
  <c r="AT2" i="9"/>
  <c r="AZ3" i="9"/>
  <c r="AZ4" i="9"/>
  <c r="AZ5" i="9"/>
  <c r="AZ6" i="9"/>
  <c r="AZ7" i="9"/>
  <c r="AZ8" i="9"/>
  <c r="AZ9" i="9"/>
  <c r="AZ10" i="9"/>
  <c r="AZ11" i="9"/>
  <c r="AZ12" i="9"/>
  <c r="AZ13" i="9"/>
  <c r="AZ14" i="9"/>
  <c r="AZ15" i="9"/>
  <c r="AZ16" i="9"/>
  <c r="AZ17" i="9"/>
  <c r="AZ18" i="9"/>
  <c r="AZ19" i="9"/>
  <c r="AZ20" i="9"/>
  <c r="AZ21" i="9"/>
  <c r="AZ22" i="9"/>
  <c r="AZ23" i="9"/>
  <c r="AZ24" i="9"/>
  <c r="AZ25" i="9"/>
  <c r="AZ26" i="9"/>
  <c r="AZ27" i="9"/>
  <c r="AZ28" i="9"/>
  <c r="AZ29" i="9"/>
  <c r="AZ30" i="9"/>
  <c r="AZ31" i="9"/>
  <c r="AZ32" i="9"/>
  <c r="AZ33" i="9"/>
  <c r="AZ34" i="9"/>
  <c r="AZ35" i="9"/>
  <c r="AZ36" i="9"/>
  <c r="AZ37" i="9"/>
  <c r="AZ38" i="9"/>
  <c r="AZ39" i="9"/>
  <c r="AZ40" i="9"/>
  <c r="AZ41" i="9"/>
  <c r="AZ42" i="9"/>
  <c r="AZ43" i="9"/>
  <c r="AZ44" i="9"/>
  <c r="AZ45" i="9"/>
  <c r="AZ46" i="9"/>
  <c r="AZ47" i="9"/>
  <c r="AZ48" i="9"/>
  <c r="AZ49" i="9"/>
  <c r="AZ50" i="9"/>
  <c r="AZ51" i="9"/>
  <c r="AZ52" i="9"/>
  <c r="AZ53" i="9"/>
  <c r="AZ54" i="9"/>
  <c r="AZ55" i="9"/>
  <c r="AZ56" i="9"/>
  <c r="AZ57" i="9"/>
  <c r="AZ58" i="9"/>
  <c r="AZ59" i="9"/>
  <c r="AZ60" i="9"/>
  <c r="AZ61" i="9"/>
  <c r="AZ62" i="9"/>
  <c r="AZ63" i="9"/>
  <c r="AZ64" i="9"/>
  <c r="AZ65" i="9"/>
  <c r="AZ66" i="9"/>
  <c r="AZ67" i="9"/>
  <c r="AZ68" i="9"/>
  <c r="AZ69" i="9"/>
  <c r="AZ70" i="9"/>
  <c r="AZ71" i="9"/>
  <c r="AZ72" i="9"/>
  <c r="AZ73" i="9"/>
  <c r="AZ74" i="9"/>
  <c r="AZ75" i="9"/>
  <c r="AZ76" i="9"/>
  <c r="AZ77" i="9"/>
  <c r="AZ78" i="9"/>
  <c r="AZ79" i="9"/>
  <c r="AZ80" i="9"/>
  <c r="AZ81" i="9"/>
  <c r="AZ82" i="9"/>
  <c r="AZ83" i="9"/>
  <c r="AZ84" i="9"/>
  <c r="AZ85" i="9"/>
  <c r="AZ86" i="9"/>
  <c r="AZ87" i="9"/>
  <c r="AZ88" i="9"/>
  <c r="AZ89" i="9"/>
  <c r="AZ90" i="9"/>
  <c r="AZ91" i="9"/>
  <c r="AZ92" i="9"/>
  <c r="AU93" i="9"/>
  <c r="AZ94" i="9"/>
  <c r="AZ95" i="9"/>
  <c r="AZ96" i="9"/>
  <c r="AZ97" i="9"/>
  <c r="AZ98" i="9"/>
  <c r="AZ99" i="9"/>
  <c r="AZ100" i="9"/>
  <c r="AZ101" i="9"/>
  <c r="AZ102" i="9"/>
  <c r="AZ103" i="9"/>
  <c r="AZ104" i="9"/>
  <c r="AZ105" i="9"/>
  <c r="AZ106" i="9"/>
  <c r="AZ107" i="9"/>
  <c r="AZ108" i="9"/>
  <c r="AZ109" i="9"/>
  <c r="AZ110" i="9"/>
  <c r="AZ111" i="9"/>
  <c r="AZ112" i="9"/>
  <c r="AZ113" i="9"/>
  <c r="AZ114" i="9"/>
  <c r="AZ115" i="9"/>
  <c r="AZ116" i="9"/>
  <c r="AZ117" i="9"/>
  <c r="AZ118" i="9"/>
  <c r="AZ119" i="9"/>
  <c r="AZ120" i="9"/>
  <c r="AZ121" i="9"/>
  <c r="AZ122" i="9"/>
  <c r="AZ123" i="9"/>
  <c r="AZ124" i="9"/>
  <c r="AZ125" i="9"/>
  <c r="AZ126" i="9"/>
  <c r="AZ127" i="9"/>
  <c r="AZ128" i="9"/>
  <c r="AZ129" i="9"/>
  <c r="AZ130" i="9"/>
  <c r="AZ131" i="9"/>
  <c r="AZ132" i="9"/>
  <c r="AZ133" i="9"/>
  <c r="AZ134" i="9"/>
  <c r="AZ135" i="9"/>
  <c r="AZ136" i="9"/>
  <c r="AZ137" i="9"/>
  <c r="AZ138" i="9"/>
  <c r="AZ139" i="9"/>
  <c r="AZ140" i="9"/>
  <c r="AZ141" i="9"/>
  <c r="AZ142" i="9"/>
  <c r="AZ143" i="9"/>
  <c r="AZ144" i="9"/>
  <c r="AZ145" i="9"/>
  <c r="AZ146" i="9"/>
  <c r="AZ147" i="9"/>
  <c r="AZ148" i="9"/>
  <c r="AZ149" i="9"/>
  <c r="AZ150" i="9"/>
  <c r="AZ151" i="9"/>
  <c r="AZ152" i="9"/>
  <c r="AZ153" i="9"/>
  <c r="AZ154" i="9"/>
  <c r="AZ155" i="9"/>
  <c r="AZ156" i="9"/>
  <c r="AZ157" i="9"/>
  <c r="AZ158" i="9"/>
  <c r="AZ159" i="9"/>
  <c r="AZ160" i="9"/>
  <c r="AZ161" i="9"/>
  <c r="AZ162" i="9"/>
  <c r="AZ163" i="9"/>
  <c r="AZ164" i="9"/>
  <c r="AZ165" i="9"/>
  <c r="AZ166" i="9"/>
  <c r="AZ167" i="9"/>
  <c r="AZ168" i="9"/>
  <c r="AZ169" i="9"/>
  <c r="AZ170" i="9"/>
  <c r="AZ171" i="9"/>
  <c r="AZ172" i="9"/>
  <c r="AZ173" i="9"/>
  <c r="AZ174" i="9"/>
  <c r="AZ175" i="9"/>
  <c r="AZ176" i="9"/>
  <c r="AZ177" i="9"/>
  <c r="AZ178" i="9"/>
  <c r="AZ179" i="9"/>
  <c r="AZ180" i="9"/>
  <c r="AZ181" i="9"/>
  <c r="AZ182" i="9"/>
  <c r="AZ183" i="9"/>
  <c r="AZ184" i="9"/>
  <c r="AZ185" i="9"/>
  <c r="AZ186" i="9"/>
  <c r="AZ187" i="9"/>
  <c r="AZ188" i="9"/>
  <c r="AZ189" i="9"/>
  <c r="AZ190" i="9"/>
  <c r="AZ191" i="9"/>
  <c r="AZ192" i="9"/>
  <c r="AZ193" i="9"/>
  <c r="AZ194" i="9"/>
  <c r="AZ195" i="9"/>
  <c r="AZ196" i="9"/>
  <c r="AZ197" i="9"/>
  <c r="AZ198" i="9"/>
  <c r="AZ199" i="9"/>
  <c r="AZ201" i="9"/>
  <c r="AZ202" i="9"/>
  <c r="AZ203" i="9"/>
  <c r="AZ204" i="9"/>
  <c r="AZ205" i="9"/>
  <c r="AZ206" i="9"/>
  <c r="AZ207" i="9"/>
  <c r="AU2" i="9"/>
  <c r="AU3" i="9"/>
  <c r="AU4" i="9"/>
  <c r="AU5" i="9"/>
  <c r="AU6" i="9"/>
  <c r="AU7" i="9"/>
  <c r="AU8" i="9"/>
  <c r="AU9" i="9"/>
  <c r="AU10" i="9"/>
  <c r="AU11" i="9"/>
  <c r="AU12" i="9"/>
  <c r="AU13" i="9"/>
  <c r="AU14" i="9"/>
  <c r="AU15" i="9"/>
  <c r="AU16" i="9"/>
  <c r="AU17" i="9"/>
  <c r="AU18" i="9"/>
  <c r="AU19" i="9"/>
  <c r="AU20" i="9"/>
  <c r="AU21" i="9"/>
  <c r="AU22" i="9"/>
  <c r="AU23" i="9"/>
  <c r="AU24" i="9"/>
  <c r="AU25" i="9"/>
  <c r="AU26" i="9"/>
  <c r="AU27" i="9"/>
  <c r="AU28" i="9"/>
  <c r="AU29" i="9"/>
  <c r="AU30" i="9"/>
  <c r="AU31" i="9"/>
  <c r="AU32" i="9"/>
  <c r="AU33" i="9"/>
  <c r="AU34" i="9"/>
  <c r="AU35" i="9"/>
  <c r="AU36" i="9"/>
  <c r="AU37" i="9"/>
  <c r="AU38" i="9"/>
  <c r="AU39" i="9"/>
  <c r="AU40" i="9"/>
  <c r="AU41" i="9"/>
  <c r="AU42" i="9"/>
  <c r="AU43" i="9"/>
  <c r="AU44" i="9"/>
  <c r="AU45" i="9"/>
  <c r="AU46" i="9"/>
  <c r="AU47" i="9"/>
  <c r="AU48" i="9"/>
  <c r="AU49" i="9"/>
  <c r="AU50" i="9"/>
  <c r="AU51" i="9"/>
  <c r="AU52" i="9"/>
  <c r="AU53" i="9"/>
  <c r="AU54" i="9"/>
  <c r="AU55" i="9"/>
  <c r="AU56" i="9"/>
  <c r="AU57" i="9"/>
  <c r="AU58" i="9"/>
  <c r="AU59" i="9"/>
  <c r="AU60" i="9"/>
  <c r="AU61" i="9"/>
  <c r="AU62" i="9"/>
  <c r="AU63" i="9"/>
  <c r="AU64" i="9"/>
  <c r="AU65" i="9"/>
  <c r="AU66" i="9"/>
  <c r="AU67" i="9"/>
  <c r="AU68" i="9"/>
  <c r="AU69" i="9"/>
  <c r="AU70" i="9"/>
  <c r="AU71" i="9"/>
  <c r="AU72" i="9"/>
  <c r="AU73" i="9"/>
  <c r="AU74" i="9"/>
  <c r="AU75" i="9"/>
  <c r="AU76" i="9"/>
  <c r="AU77" i="9"/>
  <c r="AU78" i="9"/>
  <c r="AU79" i="9"/>
  <c r="AU80" i="9"/>
  <c r="AU81" i="9"/>
  <c r="AU82" i="9"/>
  <c r="AU83" i="9"/>
  <c r="AU84" i="9"/>
  <c r="AU85" i="9"/>
  <c r="AU86" i="9"/>
  <c r="AU87" i="9"/>
  <c r="AU88" i="9"/>
  <c r="AU89" i="9"/>
  <c r="AU90" i="9"/>
  <c r="AU91" i="9"/>
  <c r="AU92" i="9"/>
  <c r="AU94" i="9"/>
  <c r="AU95" i="9"/>
  <c r="AU96" i="9"/>
  <c r="AU97" i="9"/>
  <c r="AU98" i="9"/>
  <c r="AU99" i="9"/>
  <c r="AU100" i="9"/>
  <c r="AU101" i="9"/>
  <c r="AU102" i="9"/>
  <c r="AU103" i="9"/>
  <c r="AU104" i="9"/>
  <c r="AU105" i="9"/>
  <c r="AU106" i="9"/>
  <c r="AU107" i="9"/>
  <c r="AU108" i="9"/>
  <c r="AU109" i="9"/>
  <c r="AU110" i="9"/>
  <c r="AU111" i="9"/>
  <c r="AU112" i="9"/>
  <c r="AU113" i="9"/>
  <c r="AU114" i="9"/>
  <c r="AU115" i="9"/>
  <c r="AU116" i="9"/>
  <c r="AU117" i="9"/>
  <c r="AU118" i="9"/>
  <c r="AU119" i="9"/>
  <c r="AU120" i="9"/>
  <c r="AU121" i="9"/>
  <c r="AU122" i="9"/>
  <c r="AU123" i="9"/>
  <c r="AU124" i="9"/>
  <c r="AU125" i="9"/>
  <c r="AU126" i="9"/>
  <c r="AU127" i="9"/>
  <c r="AU128" i="9"/>
  <c r="AU129" i="9"/>
  <c r="AU130" i="9"/>
  <c r="AU131" i="9"/>
  <c r="AU132" i="9"/>
  <c r="AU133" i="9"/>
  <c r="AU134" i="9"/>
  <c r="AU135" i="9"/>
  <c r="AU136" i="9"/>
  <c r="AU137" i="9"/>
  <c r="AU138" i="9"/>
  <c r="AU139" i="9"/>
  <c r="AU140" i="9"/>
  <c r="AU141" i="9"/>
  <c r="AU142" i="9"/>
  <c r="AU143" i="9"/>
  <c r="AU144" i="9"/>
  <c r="AU145" i="9"/>
  <c r="AU146" i="9"/>
  <c r="AU147" i="9"/>
  <c r="AU148" i="9"/>
  <c r="AU149" i="9"/>
  <c r="AU150" i="9"/>
  <c r="AU151" i="9"/>
  <c r="AU152" i="9"/>
  <c r="AU153" i="9"/>
  <c r="AU154" i="9"/>
  <c r="AU155" i="9"/>
  <c r="AU156" i="9"/>
  <c r="AU157" i="9"/>
  <c r="AU158" i="9"/>
  <c r="AU159" i="9"/>
  <c r="AU160" i="9"/>
  <c r="AU161" i="9"/>
  <c r="AU162" i="9"/>
  <c r="AU163" i="9"/>
  <c r="AU164" i="9"/>
  <c r="AU165" i="9"/>
  <c r="AU166" i="9"/>
  <c r="AU167" i="9"/>
  <c r="AU168" i="9"/>
  <c r="AU169" i="9"/>
  <c r="AU170" i="9"/>
  <c r="AU171" i="9"/>
  <c r="AU172" i="9"/>
  <c r="AU173" i="9"/>
  <c r="AU174" i="9"/>
  <c r="AU175" i="9"/>
  <c r="AU176" i="9"/>
  <c r="AU177" i="9"/>
  <c r="AU178" i="9"/>
  <c r="AU179" i="9"/>
  <c r="AU180" i="9"/>
  <c r="AU181" i="9"/>
  <c r="AU182" i="9"/>
  <c r="AU183" i="9"/>
  <c r="AU184" i="9"/>
  <c r="AU185" i="9"/>
  <c r="AU186" i="9"/>
  <c r="AU187" i="9"/>
  <c r="AU188" i="9"/>
  <c r="AU189" i="9"/>
  <c r="AU190" i="9"/>
  <c r="AU191" i="9"/>
  <c r="AU192" i="9"/>
  <c r="AU193" i="9"/>
  <c r="AU194" i="9"/>
  <c r="AU195" i="9"/>
  <c r="AU196" i="9"/>
  <c r="AU197" i="9"/>
  <c r="AU198" i="9"/>
  <c r="AU199" i="9"/>
  <c r="AU201" i="9"/>
  <c r="AU202" i="9"/>
  <c r="AU203" i="9"/>
  <c r="AU204" i="9"/>
  <c r="AU205" i="9"/>
  <c r="AU206" i="9"/>
  <c r="AU207" i="9"/>
  <c r="AT3" i="9"/>
  <c r="AT4" i="9"/>
  <c r="AT5" i="9"/>
  <c r="AT6" i="9"/>
  <c r="AT7" i="9"/>
  <c r="AT8" i="9"/>
  <c r="AT9" i="9"/>
  <c r="AT10" i="9"/>
  <c r="AT11" i="9"/>
  <c r="AT12" i="9"/>
  <c r="AT13" i="9"/>
  <c r="AT14" i="9"/>
  <c r="AT15" i="9"/>
  <c r="AT16" i="9"/>
  <c r="AT17" i="9"/>
  <c r="AT18" i="9"/>
  <c r="AT19" i="9"/>
  <c r="AT20" i="9"/>
  <c r="AT21" i="9"/>
  <c r="AT22" i="9"/>
  <c r="AT23" i="9"/>
  <c r="AT24" i="9"/>
  <c r="AT25" i="9"/>
  <c r="AT26" i="9"/>
  <c r="AT27" i="9"/>
  <c r="AT28" i="9"/>
  <c r="AT29" i="9"/>
  <c r="AT30" i="9"/>
  <c r="AT31" i="9"/>
  <c r="AT32" i="9"/>
  <c r="AT33" i="9"/>
  <c r="AT34" i="9"/>
  <c r="AT35" i="9"/>
  <c r="AT36" i="9"/>
  <c r="AT37" i="9"/>
  <c r="AT38" i="9"/>
  <c r="AT39" i="9"/>
  <c r="AT40" i="9"/>
  <c r="AT41" i="9"/>
  <c r="AT42" i="9"/>
  <c r="AT43" i="9"/>
  <c r="AT44" i="9"/>
  <c r="AT45" i="9"/>
  <c r="AT46" i="9"/>
  <c r="AT47" i="9"/>
  <c r="AT48" i="9"/>
  <c r="AT49" i="9"/>
  <c r="AT50" i="9"/>
  <c r="AT51" i="9"/>
  <c r="AT52" i="9"/>
  <c r="AT53" i="9"/>
  <c r="AT54" i="9"/>
  <c r="AT55" i="9"/>
  <c r="AT56" i="9"/>
  <c r="AT57" i="9"/>
  <c r="AT58" i="9"/>
  <c r="AT59" i="9"/>
  <c r="AT60" i="9"/>
  <c r="AT61" i="9"/>
  <c r="AT62" i="9"/>
  <c r="AT63" i="9"/>
  <c r="AT64" i="9"/>
  <c r="AT65" i="9"/>
  <c r="AT66" i="9"/>
  <c r="AT67" i="9"/>
  <c r="AT68" i="9"/>
  <c r="AT69" i="9"/>
  <c r="AT70" i="9"/>
  <c r="AT71" i="9"/>
  <c r="AT72" i="9"/>
  <c r="AT73" i="9"/>
  <c r="AT74" i="9"/>
  <c r="AT75" i="9"/>
  <c r="AT76" i="9"/>
  <c r="AT77" i="9"/>
  <c r="AT78" i="9"/>
  <c r="AT79" i="9"/>
  <c r="AT80" i="9"/>
  <c r="AT81" i="9"/>
  <c r="AT82" i="9"/>
  <c r="AT83" i="9"/>
  <c r="AT84" i="9"/>
  <c r="AT85" i="9"/>
  <c r="AT86" i="9"/>
  <c r="AT87" i="9"/>
  <c r="AT88" i="9"/>
  <c r="AT89" i="9"/>
  <c r="AT90" i="9"/>
  <c r="AT91" i="9"/>
  <c r="AT92" i="9"/>
  <c r="AT94" i="9"/>
  <c r="AT95" i="9"/>
  <c r="AT96" i="9"/>
  <c r="AT97" i="9"/>
  <c r="AT98" i="9"/>
  <c r="AT99" i="9"/>
  <c r="AT100" i="9"/>
  <c r="AT101" i="9"/>
  <c r="AT102" i="9"/>
  <c r="AT103" i="9"/>
  <c r="AT104" i="9"/>
  <c r="AT105" i="9"/>
  <c r="AT106" i="9"/>
  <c r="AT107" i="9"/>
  <c r="AT108" i="9"/>
  <c r="AT109" i="9"/>
  <c r="AT110" i="9"/>
  <c r="AT111" i="9"/>
  <c r="AT112" i="9"/>
  <c r="AT113" i="9"/>
  <c r="AT114" i="9"/>
  <c r="AT115" i="9"/>
  <c r="AT116" i="9"/>
  <c r="AT117" i="9"/>
  <c r="AT118" i="9"/>
  <c r="AT119" i="9"/>
  <c r="AT120" i="9"/>
  <c r="AT121" i="9"/>
  <c r="AT122" i="9"/>
  <c r="AT123" i="9"/>
  <c r="AT124" i="9"/>
  <c r="AT125" i="9"/>
  <c r="AT126" i="9"/>
  <c r="AT127" i="9"/>
  <c r="AT128" i="9"/>
  <c r="AT129" i="9"/>
  <c r="AT130" i="9"/>
  <c r="AT131" i="9"/>
  <c r="AT132" i="9"/>
  <c r="AT133" i="9"/>
  <c r="AT134" i="9"/>
  <c r="AT135" i="9"/>
  <c r="AT136" i="9"/>
  <c r="AT137" i="9"/>
  <c r="AT138" i="9"/>
  <c r="AT139" i="9"/>
  <c r="AT140" i="9"/>
  <c r="AT141" i="9"/>
  <c r="AT142" i="9"/>
  <c r="AT143" i="9"/>
  <c r="AT144" i="9"/>
  <c r="AT145" i="9"/>
  <c r="AT146" i="9"/>
  <c r="AT147" i="9"/>
  <c r="AT148" i="9"/>
  <c r="AT149" i="9"/>
  <c r="AT150" i="9"/>
  <c r="AT151" i="9"/>
  <c r="AT152" i="9"/>
  <c r="AT153" i="9"/>
  <c r="AT154" i="9"/>
  <c r="AT155" i="9"/>
  <c r="AT156" i="9"/>
  <c r="AT157" i="9"/>
  <c r="AT158" i="9"/>
  <c r="AT159" i="9"/>
  <c r="AT160" i="9"/>
  <c r="AT161" i="9"/>
  <c r="AT162" i="9"/>
  <c r="AT163" i="9"/>
  <c r="AT164" i="9"/>
  <c r="AT165" i="9"/>
  <c r="AT166" i="9"/>
  <c r="AT167" i="9"/>
  <c r="AT168" i="9"/>
  <c r="AT169" i="9"/>
  <c r="AT170" i="9"/>
  <c r="AT171" i="9"/>
  <c r="AT172" i="9"/>
  <c r="AT173" i="9"/>
  <c r="AT174" i="9"/>
  <c r="AT175" i="9"/>
  <c r="AT176" i="9"/>
  <c r="AT177" i="9"/>
  <c r="AT178" i="9"/>
  <c r="AT179" i="9"/>
  <c r="AT180" i="9"/>
  <c r="AT181" i="9"/>
  <c r="AT182" i="9"/>
  <c r="AT183" i="9"/>
  <c r="AT184" i="9"/>
  <c r="AT185" i="9"/>
  <c r="AT186" i="9"/>
  <c r="AT187" i="9"/>
  <c r="AT188" i="9"/>
  <c r="AT189" i="9"/>
  <c r="AT190" i="9"/>
  <c r="AT191" i="9"/>
  <c r="AT192" i="9"/>
  <c r="AT193" i="9"/>
  <c r="AT194" i="9"/>
  <c r="AT195" i="9"/>
  <c r="AT196" i="9"/>
  <c r="AT197" i="9"/>
  <c r="AT198" i="9"/>
  <c r="AT199" i="9"/>
  <c r="AT201" i="9"/>
  <c r="AT202" i="9"/>
  <c r="AT203" i="9"/>
  <c r="AT204" i="9"/>
  <c r="AT205" i="9"/>
  <c r="AT206" i="9"/>
  <c r="AT207" i="9"/>
  <c r="L2" i="9"/>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1" i="9"/>
  <c r="AJ202" i="9"/>
  <c r="AJ203" i="9"/>
  <c r="AJ204" i="9"/>
  <c r="AJ205" i="9"/>
  <c r="AJ206" i="9"/>
  <c r="AJ207" i="9"/>
  <c r="AJ2" i="9"/>
  <c r="M2" i="9"/>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1" i="9"/>
  <c r="AI202" i="9"/>
  <c r="AI203" i="9"/>
  <c r="AI204" i="9"/>
  <c r="AI205" i="9"/>
  <c r="AI206" i="9"/>
  <c r="AI207" i="9"/>
  <c r="AI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1" i="9"/>
  <c r="M202" i="9"/>
  <c r="M203" i="9"/>
  <c r="M204" i="9"/>
  <c r="M205" i="9"/>
  <c r="M206" i="9"/>
  <c r="M207"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1" i="9"/>
  <c r="L202" i="9"/>
  <c r="L203" i="9"/>
  <c r="L204" i="9"/>
  <c r="L205" i="9"/>
  <c r="L206" i="9"/>
  <c r="L207" i="9"/>
  <c r="G3" i="8" l="1"/>
  <c r="G2" i="8"/>
  <c r="U3" i="8" l="1"/>
  <c r="G68" i="5"/>
  <c r="G132" i="5"/>
  <c r="G131" i="5"/>
  <c r="G129" i="5"/>
  <c r="G127" i="5"/>
  <c r="G126" i="5"/>
  <c r="G124" i="5"/>
  <c r="G123" i="5"/>
  <c r="G122" i="5"/>
  <c r="G121" i="5"/>
  <c r="G119" i="5"/>
  <c r="G117" i="5"/>
  <c r="G116" i="5"/>
  <c r="G114" i="5"/>
  <c r="G111" i="5"/>
  <c r="G110" i="5"/>
  <c r="G107" i="5"/>
  <c r="G106" i="5"/>
  <c r="G105" i="5"/>
  <c r="G104" i="5"/>
  <c r="G102" i="5"/>
  <c r="G101" i="5"/>
  <c r="G99" i="5"/>
  <c r="G98" i="5"/>
  <c r="G97" i="5"/>
  <c r="G96" i="5"/>
  <c r="G80" i="5"/>
  <c r="G79" i="5"/>
  <c r="G78" i="5"/>
  <c r="G65" i="5"/>
  <c r="G61" i="5"/>
  <c r="G60" i="5"/>
  <c r="G59" i="5"/>
  <c r="G58" i="5"/>
  <c r="G54" i="5"/>
  <c r="G53" i="5"/>
  <c r="G52" i="5"/>
  <c r="G51" i="5"/>
  <c r="G48" i="5"/>
  <c r="G47" i="5"/>
  <c r="G46" i="5"/>
  <c r="G45" i="5"/>
  <c r="G44" i="5"/>
  <c r="G43" i="5"/>
  <c r="G42" i="5"/>
  <c r="G26" i="8" l="1"/>
  <c r="G22" i="8"/>
  <c r="G36" i="8"/>
  <c r="G35" i="8"/>
  <c r="G34" i="8"/>
  <c r="G38" i="8"/>
  <c r="U24" i="8" l="1"/>
  <c r="G24" i="8"/>
  <c r="G15" i="8"/>
  <c r="G11" i="8"/>
  <c r="G10" i="8"/>
  <c r="G9" i="8"/>
  <c r="G8" i="8"/>
  <c r="G5" i="8"/>
  <c r="U4" i="8"/>
  <c r="G4" i="8"/>
  <c r="U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Microsoft Office User</author>
    <author>陳姵伶</author>
    <author>王佳容</author>
    <author>郭捷妮</author>
  </authors>
  <commentList>
    <comment ref="A2" authorId="0" shapeId="0" xr:uid="{00000000-0006-0000-0000-000001000000}">
      <text>
        <r>
          <rPr>
            <b/>
            <sz val="9"/>
            <color rgb="FF000000"/>
            <rFont val="細明體"/>
            <family val="1"/>
            <charset val="136"/>
          </rPr>
          <t>不抽血</t>
        </r>
      </text>
    </comment>
    <comment ref="A3" authorId="0" shapeId="0" xr:uid="{00000000-0006-0000-00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000-000003000000}">
      <text>
        <r>
          <rPr>
            <b/>
            <sz val="9"/>
            <color rgb="FF000000"/>
            <rFont val="Tahoma"/>
            <family val="2"/>
          </rPr>
          <t xml:space="preserve">1. AD (since 3 m/o)
</t>
        </r>
        <r>
          <rPr>
            <b/>
            <sz val="9"/>
            <color rgb="FF000000"/>
            <rFont val="Tahoma"/>
            <family val="2"/>
          </rPr>
          <t>2. AR</t>
        </r>
      </text>
    </comment>
    <comment ref="A14" authorId="0" shapeId="0" xr:uid="{00000000-0006-0000-0000-000004000000}">
      <text>
        <r>
          <rPr>
            <b/>
            <sz val="9"/>
            <color rgb="FF000000"/>
            <rFont val="細明體"/>
            <family val="1"/>
            <charset val="136"/>
          </rPr>
          <t>不抽血</t>
        </r>
        <r>
          <rPr>
            <b/>
            <sz val="9"/>
            <color rgb="FF000000"/>
            <rFont val="細明體"/>
            <family val="1"/>
            <charset val="136"/>
          </rPr>
          <t xml:space="preserve">
</t>
        </r>
        <r>
          <rPr>
            <b/>
            <sz val="9"/>
            <color rgb="FF000000"/>
            <rFont val="細明體"/>
            <family val="1"/>
            <charset val="136"/>
          </rPr>
          <t>1. 12/16-10/13 OPD: AD</t>
        </r>
      </text>
    </comment>
    <comment ref="A17" authorId="0" shapeId="0" xr:uid="{00000000-0006-0000-0000-000005000000}">
      <text>
        <r>
          <rPr>
            <b/>
            <sz val="9"/>
            <color rgb="FF000000"/>
            <rFont val="Tahoma"/>
            <family val="2"/>
          </rPr>
          <t>1. Failure to thrive in newborn</t>
        </r>
      </text>
    </comment>
    <comment ref="P18" authorId="0" shapeId="0" xr:uid="{00000000-0006-0000-0000-000006000000}">
      <text>
        <r>
          <rPr>
            <b/>
            <sz val="10"/>
            <color rgb="FF000000"/>
            <rFont val="細明體"/>
            <family val="1"/>
            <charset val="136"/>
          </rPr>
          <t>不到一匙</t>
        </r>
        <r>
          <rPr>
            <b/>
            <sz val="10"/>
            <color rgb="FF000000"/>
            <rFont val="細明體"/>
            <family val="1"/>
            <charset val="136"/>
          </rPr>
          <t>!!</t>
        </r>
      </text>
    </comment>
    <comment ref="A25" authorId="0" shapeId="0" xr:uid="{00000000-0006-0000-0000-000007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X25" authorId="1" shapeId="0" xr:uid="{00000000-0006-0000-0000-000008000000}">
      <text>
        <r>
          <rPr>
            <b/>
            <sz val="10"/>
            <color rgb="FF000000"/>
            <rFont val="Microsoft JhengHei UI"/>
            <family val="2"/>
            <charset val="136"/>
          </rPr>
          <t>少</t>
        </r>
      </text>
    </comment>
    <comment ref="N29" authorId="0" shapeId="0" xr:uid="{00000000-0006-0000-0000-000009000000}">
      <text>
        <r>
          <rPr>
            <b/>
            <sz val="9"/>
            <color rgb="FF000000"/>
            <rFont val="Tahoma"/>
            <family val="2"/>
          </rPr>
          <t>5/10 700 ul</t>
        </r>
        <r>
          <rPr>
            <sz val="9"/>
            <color rgb="FF000000"/>
            <rFont val="Tahoma"/>
            <family val="2"/>
          </rPr>
          <t xml:space="preserve">
</t>
        </r>
      </text>
    </comment>
    <comment ref="A31" authorId="0" shapeId="0" xr:uid="{00000000-0006-0000-0000-00000A000000}">
      <text>
        <r>
          <rPr>
            <b/>
            <sz val="9"/>
            <color rgb="FF000000"/>
            <rFont val="Tahoma"/>
            <family val="2"/>
          </rPr>
          <t>2/23-3/25 OPD: AD</t>
        </r>
      </text>
    </comment>
    <comment ref="A32" authorId="0" shapeId="0" xr:uid="{00000000-0006-0000-0000-00000B000000}">
      <text>
        <r>
          <rPr>
            <b/>
            <sz val="9"/>
            <color rgb="FF000000"/>
            <rFont val="Tahoma"/>
            <family val="2"/>
          </rPr>
          <t>3/3 OPD: irritant contact dermatitis due to other agents</t>
        </r>
        <r>
          <rPr>
            <sz val="9"/>
            <color rgb="FF000000"/>
            <rFont val="Tahoma"/>
            <family val="2"/>
          </rPr>
          <t xml:space="preserve">
</t>
        </r>
      </text>
    </comment>
    <comment ref="P33" authorId="2" shapeId="0" xr:uid="{00000000-0006-0000-0000-00000C000000}">
      <text>
        <r>
          <rPr>
            <sz val="9"/>
            <color rgb="FF000000"/>
            <rFont val="細明體"/>
            <family val="1"/>
            <charset val="136"/>
          </rPr>
          <t>有兩個，但都只有一湯匙量</t>
        </r>
        <r>
          <rPr>
            <sz val="9"/>
            <color rgb="FF000000"/>
            <rFont val="Tahoma"/>
            <family val="2"/>
          </rPr>
          <t xml:space="preserve">
</t>
        </r>
      </text>
    </comment>
    <comment ref="X36" authorId="0" shapeId="0" xr:uid="{00000000-0006-0000-0000-00000D000000}">
      <text>
        <r>
          <rPr>
            <b/>
            <sz val="9"/>
            <color rgb="FF000000"/>
            <rFont val="細明體"/>
            <family val="1"/>
            <charset val="136"/>
          </rPr>
          <t>中午採、放室溫，</t>
        </r>
        <r>
          <rPr>
            <b/>
            <sz val="9"/>
            <color rgb="FF000000"/>
            <rFont val="細明體"/>
            <family val="1"/>
            <charset val="136"/>
          </rPr>
          <t>16:30</t>
        </r>
        <r>
          <rPr>
            <b/>
            <sz val="9"/>
            <color rgb="FF000000"/>
            <rFont val="細明體"/>
            <family val="1"/>
            <charset val="136"/>
          </rPr>
          <t>交</t>
        </r>
      </text>
    </comment>
    <comment ref="P39" authorId="0" shapeId="0" xr:uid="{00000000-0006-0000-0000-00000E000000}">
      <text>
        <r>
          <rPr>
            <b/>
            <sz val="9"/>
            <color rgb="FF000000"/>
            <rFont val="細明體"/>
            <family val="1"/>
            <charset val="136"/>
          </rPr>
          <t>一匙</t>
        </r>
        <r>
          <rPr>
            <b/>
            <sz val="9"/>
            <color rgb="FF000000"/>
            <rFont val="細明體"/>
            <family val="1"/>
            <charset val="136"/>
          </rPr>
          <t>!</t>
        </r>
      </text>
    </comment>
    <comment ref="N40" authorId="0" shapeId="0" xr:uid="{00000000-0006-0000-0000-00000F000000}">
      <text>
        <r>
          <rPr>
            <b/>
            <sz val="9"/>
            <color indexed="81"/>
            <rFont val="細明體"/>
            <family val="3"/>
            <charset val="136"/>
          </rPr>
          <t>另有</t>
        </r>
        <r>
          <rPr>
            <b/>
            <sz val="9"/>
            <color indexed="81"/>
            <rFont val="Tahoma"/>
            <family val="2"/>
          </rPr>
          <t>2021/7/9 560 ul</t>
        </r>
      </text>
    </comment>
    <comment ref="P40" authorId="0" shapeId="0" xr:uid="{00000000-0006-0000-0000-000010000000}">
      <text>
        <r>
          <rPr>
            <b/>
            <sz val="9"/>
            <color rgb="FF000000"/>
            <rFont val="細明體"/>
            <family val="1"/>
            <charset val="136"/>
          </rPr>
          <t>非無菌</t>
        </r>
        <r>
          <rPr>
            <b/>
            <sz val="9"/>
            <color rgb="FF000000"/>
            <rFont val="細明體"/>
            <family val="1"/>
            <charset val="136"/>
          </rPr>
          <t>!!</t>
        </r>
        <r>
          <rPr>
            <b/>
            <sz val="9"/>
            <color rgb="FF000000"/>
            <rFont val="細明體"/>
            <family val="1"/>
            <charset val="136"/>
          </rPr>
          <t>另外裝在罐子裡帶來</t>
        </r>
      </text>
    </comment>
    <comment ref="N47" authorId="0" shapeId="0" xr:uid="{00000000-0006-0000-0000-000011000000}">
      <text>
        <r>
          <rPr>
            <b/>
            <sz val="9"/>
            <color rgb="FF000000"/>
            <rFont val="Tahoma"/>
            <family val="2"/>
          </rPr>
          <t>10/27-10/29 4'C</t>
        </r>
        <r>
          <rPr>
            <b/>
            <sz val="9"/>
            <color rgb="FF000000"/>
            <rFont val="細明體"/>
            <family val="1"/>
            <charset val="136"/>
          </rPr>
          <t>，</t>
        </r>
        <r>
          <rPr>
            <b/>
            <sz val="9"/>
            <color rgb="FF000000"/>
            <rFont val="Tahoma"/>
            <family val="2"/>
          </rPr>
          <t>1 ml*1+1.5 ml*1+ 2 ml*1+ 4 ml*2</t>
        </r>
      </text>
    </comment>
    <comment ref="T49" authorId="0" shapeId="0" xr:uid="{00000000-0006-0000-0000-000012000000}">
      <text>
        <r>
          <rPr>
            <b/>
            <sz val="9"/>
            <color rgb="FF000000"/>
            <rFont val="細明體"/>
            <family val="1"/>
            <charset val="136"/>
          </rPr>
          <t>抽血失敗，僅留到</t>
        </r>
        <r>
          <rPr>
            <b/>
            <sz val="9"/>
            <color rgb="FF000000"/>
            <rFont val="細明體"/>
            <family val="1"/>
            <charset val="136"/>
          </rPr>
          <t>SST</t>
        </r>
        <r>
          <rPr>
            <b/>
            <sz val="9"/>
            <color rgb="FF000000"/>
            <rFont val="細明體"/>
            <family val="1"/>
            <charset val="136"/>
          </rPr>
          <t>管</t>
        </r>
      </text>
    </comment>
    <comment ref="Z51" authorId="1" shapeId="0" xr:uid="{00000000-0006-0000-0000-000013000000}">
      <text>
        <r>
          <rPr>
            <sz val="10"/>
            <color rgb="FF000000"/>
            <rFont val="Microsoft JhengHei UI"/>
            <family val="2"/>
            <charset val="136"/>
          </rPr>
          <t>未到紅線</t>
        </r>
        <r>
          <rPr>
            <sz val="10"/>
            <color rgb="FF000000"/>
            <rFont val="Microsoft JhengHei UI"/>
            <family val="2"/>
            <charset val="136"/>
          </rPr>
          <t xml:space="preserve"> </t>
        </r>
        <r>
          <rPr>
            <sz val="10"/>
            <color rgb="FF000000"/>
            <rFont val="Microsoft JhengHei UI"/>
            <family val="2"/>
            <charset val="136"/>
          </rPr>
          <t>一半</t>
        </r>
      </text>
    </comment>
    <comment ref="N62" authorId="0" shapeId="0" xr:uid="{00000000-0006-0000-0000-000014000000}">
      <text>
        <r>
          <rPr>
            <b/>
            <sz val="9"/>
            <color indexed="81"/>
            <rFont val="細明體"/>
            <family val="3"/>
            <charset val="136"/>
          </rPr>
          <t>另有3/15 1 ml*1 + 1.5 ml*1 + 390 ul</t>
        </r>
      </text>
    </comment>
    <comment ref="P65" authorId="0" shapeId="0" xr:uid="{00000000-0006-0000-0000-000015000000}">
      <text>
        <r>
          <rPr>
            <b/>
            <sz val="9"/>
            <color indexed="81"/>
            <rFont val="Tahoma"/>
            <family val="2"/>
          </rPr>
          <t>11/13</t>
        </r>
        <r>
          <rPr>
            <b/>
            <sz val="9"/>
            <color indexed="81"/>
            <rFont val="細明體"/>
            <family val="3"/>
            <charset val="136"/>
          </rPr>
          <t>與</t>
        </r>
        <r>
          <rPr>
            <b/>
            <sz val="9"/>
            <color indexed="81"/>
            <rFont val="Tahoma"/>
            <family val="2"/>
          </rPr>
          <t>11/15</t>
        </r>
        <r>
          <rPr>
            <b/>
            <sz val="9"/>
            <color indexed="81"/>
            <rFont val="細明體"/>
            <family val="3"/>
            <charset val="136"/>
          </rPr>
          <t>的</t>
        </r>
        <r>
          <rPr>
            <b/>
            <sz val="9"/>
            <color indexed="81"/>
            <rFont val="Tahoma"/>
            <family val="2"/>
          </rPr>
          <t>stool</t>
        </r>
        <r>
          <rPr>
            <b/>
            <sz val="9"/>
            <color indexed="81"/>
            <rFont val="細明體"/>
            <family val="3"/>
            <charset val="136"/>
          </rPr>
          <t>於</t>
        </r>
        <r>
          <rPr>
            <b/>
            <sz val="9"/>
            <color indexed="81"/>
            <rFont val="Tahoma"/>
            <family val="2"/>
          </rPr>
          <t>-20'C</t>
        </r>
        <r>
          <rPr>
            <b/>
            <sz val="9"/>
            <color indexed="81"/>
            <rFont val="細明體"/>
            <family val="3"/>
            <charset val="136"/>
          </rPr>
          <t>保存至12/10才繳交</t>
        </r>
      </text>
    </comment>
    <comment ref="Z68" authorId="1" shapeId="0" xr:uid="{00000000-0006-0000-0000-000016000000}">
      <text>
        <r>
          <rPr>
            <b/>
            <sz val="10"/>
            <color rgb="FF000000"/>
            <rFont val="Microsoft JhengHei UI"/>
            <family val="2"/>
            <charset val="136"/>
          </rPr>
          <t>未到紅線</t>
        </r>
      </text>
    </comment>
    <comment ref="P70" authorId="0" shapeId="0" xr:uid="{00000000-0006-0000-0000-000017000000}">
      <text>
        <r>
          <rPr>
            <b/>
            <sz val="9"/>
            <color indexed="81"/>
            <rFont val="細明體"/>
            <family val="3"/>
            <charset val="136"/>
          </rPr>
          <t>一匙</t>
        </r>
      </text>
    </comment>
    <comment ref="P71" authorId="0" shapeId="0" xr:uid="{00000000-0006-0000-0000-000018000000}">
      <text>
        <r>
          <rPr>
            <b/>
            <sz val="9"/>
            <color indexed="81"/>
            <rFont val="細明體"/>
            <family val="3"/>
            <charset val="136"/>
          </rPr>
          <t>一匙</t>
        </r>
      </text>
    </comment>
    <comment ref="P72" authorId="0" shapeId="0" xr:uid="{00000000-0006-0000-0000-000019000000}">
      <text>
        <r>
          <rPr>
            <b/>
            <sz val="9"/>
            <color indexed="81"/>
            <rFont val="細明體"/>
            <family val="3"/>
            <charset val="136"/>
          </rPr>
          <t>一匙</t>
        </r>
      </text>
    </comment>
    <comment ref="X72" authorId="1" shapeId="0" xr:uid="{00000000-0006-0000-0000-00001A000000}">
      <text>
        <r>
          <rPr>
            <b/>
            <sz val="10"/>
            <color rgb="FF000000"/>
            <rFont val="新細明體"/>
            <family val="1"/>
            <charset val="136"/>
          </rPr>
          <t>醫院常溫便，存放</t>
        </r>
        <r>
          <rPr>
            <b/>
            <sz val="10"/>
            <color rgb="FF000000"/>
            <rFont val="新細明體"/>
            <family val="1"/>
            <charset val="136"/>
          </rPr>
          <t>11</t>
        </r>
        <r>
          <rPr>
            <b/>
            <sz val="10"/>
            <color rgb="FF000000"/>
            <rFont val="新細明體"/>
            <family val="1"/>
            <charset val="136"/>
          </rPr>
          <t>小時</t>
        </r>
      </text>
    </comment>
    <comment ref="X77" authorId="0" shapeId="0" xr:uid="{00000000-0006-0000-0000-00001B000000}">
      <text>
        <r>
          <rPr>
            <b/>
            <sz val="9"/>
            <color rgb="FF000000"/>
            <rFont val="細明體"/>
            <family val="1"/>
            <charset val="136"/>
          </rPr>
          <t>多</t>
        </r>
      </text>
    </comment>
    <comment ref="Z80" authorId="1" shapeId="0" xr:uid="{00000000-0006-0000-0000-00001C000000}">
      <text>
        <r>
          <rPr>
            <b/>
            <sz val="10"/>
            <color rgb="FF000000"/>
            <rFont val="Microsoft JhengHei UI"/>
            <family val="2"/>
            <charset val="136"/>
          </rPr>
          <t>未到紅線</t>
        </r>
      </text>
    </comment>
    <comment ref="Z92" authorId="1" shapeId="0" xr:uid="{00000000-0006-0000-0000-00001D000000}">
      <text>
        <r>
          <rPr>
            <sz val="10"/>
            <color rgb="FF000000"/>
            <rFont val="Microsoft JhengHei UI"/>
            <family val="2"/>
            <charset val="136"/>
          </rPr>
          <t>大約</t>
        </r>
        <r>
          <rPr>
            <sz val="10"/>
            <color rgb="FF000000"/>
            <rFont val="Microsoft JhengHei UI"/>
            <family val="2"/>
            <charset val="136"/>
          </rPr>
          <t>1/2</t>
        </r>
        <r>
          <rPr>
            <sz val="10"/>
            <color rgb="FF000000"/>
            <rFont val="Microsoft JhengHei UI"/>
            <family val="2"/>
            <charset val="136"/>
          </rPr>
          <t>處</t>
        </r>
      </text>
    </comment>
    <comment ref="P93" authorId="3" shapeId="0" xr:uid="{00000000-0006-0000-0000-00001E000000}">
      <text>
        <r>
          <rPr>
            <b/>
            <sz val="9"/>
            <color rgb="FF000000"/>
            <rFont val="細明體"/>
            <family val="1"/>
            <charset val="136"/>
          </rPr>
          <t>有</t>
        </r>
        <r>
          <rPr>
            <b/>
            <sz val="9"/>
            <color rgb="FF000000"/>
            <rFont val="細明體"/>
            <family val="1"/>
            <charset val="136"/>
          </rPr>
          <t>2</t>
        </r>
        <r>
          <rPr>
            <b/>
            <sz val="9"/>
            <color rgb="FF000000"/>
            <rFont val="細明體"/>
            <family val="1"/>
            <charset val="136"/>
          </rPr>
          <t>個</t>
        </r>
        <r>
          <rPr>
            <b/>
            <sz val="9"/>
            <color rgb="FF000000"/>
            <rFont val="細明體"/>
            <family val="1"/>
            <charset val="136"/>
          </rPr>
          <t>(</t>
        </r>
        <r>
          <rPr>
            <b/>
            <sz val="9"/>
            <color rgb="FF000000"/>
            <rFont val="細明體"/>
            <family val="1"/>
            <charset val="136"/>
          </rPr>
          <t>早上、晚上</t>
        </r>
        <r>
          <rPr>
            <b/>
            <sz val="9"/>
            <color rgb="FF000000"/>
            <rFont val="細明體"/>
            <family val="1"/>
            <charset val="136"/>
          </rPr>
          <t>)</t>
        </r>
        <r>
          <rPr>
            <sz val="9"/>
            <color rgb="FF000000"/>
            <rFont val="Tahoma"/>
            <family val="2"/>
          </rPr>
          <t xml:space="preserve">
</t>
        </r>
      </text>
    </comment>
    <comment ref="Z93" authorId="1" shapeId="0" xr:uid="{00000000-0006-0000-0000-00001F000000}">
      <text>
        <r>
          <rPr>
            <b/>
            <sz val="10"/>
            <color rgb="FF000000"/>
            <rFont val="Microsoft JhengHei UI"/>
            <family val="2"/>
            <charset val="136"/>
          </rPr>
          <t>大約</t>
        </r>
        <r>
          <rPr>
            <b/>
            <sz val="10"/>
            <color rgb="FF000000"/>
            <rFont val="Microsoft JhengHei UI"/>
            <family val="2"/>
            <charset val="136"/>
          </rPr>
          <t>1/2</t>
        </r>
        <r>
          <rPr>
            <b/>
            <sz val="10"/>
            <color rgb="FF000000"/>
            <rFont val="Microsoft JhengHei UI"/>
            <family val="2"/>
            <charset val="136"/>
          </rPr>
          <t>處</t>
        </r>
        <r>
          <rPr>
            <sz val="10"/>
            <color rgb="FF000000"/>
            <rFont val="Microsoft JhengHei UI"/>
            <family val="2"/>
            <charset val="136"/>
          </rPr>
          <t xml:space="preserve">
</t>
        </r>
      </text>
    </comment>
    <comment ref="I99" authorId="0" shapeId="0" xr:uid="{00000000-0006-0000-0000-000020000000}">
      <text>
        <r>
          <rPr>
            <sz val="9"/>
            <color rgb="FF000000"/>
            <rFont val="細明體"/>
            <family val="1"/>
            <charset val="136"/>
          </rPr>
          <t>手冊寫</t>
        </r>
        <r>
          <rPr>
            <sz val="9"/>
            <color rgb="FF000000"/>
            <rFont val="細明體"/>
            <family val="1"/>
            <charset val="136"/>
          </rPr>
          <t>32+2</t>
        </r>
        <r>
          <rPr>
            <sz val="9"/>
            <color rgb="FF000000"/>
            <rFont val="Tahoma"/>
            <family val="2"/>
          </rPr>
          <t xml:space="preserve">
</t>
        </r>
      </text>
    </comment>
    <comment ref="X102" authorId="1" shapeId="0" xr:uid="{00000000-0006-0000-0000-000021000000}">
      <text>
        <r>
          <rPr>
            <b/>
            <sz val="10"/>
            <color rgb="FF000000"/>
            <rFont val="Microsoft JhengHei UI"/>
            <family val="2"/>
            <charset val="136"/>
          </rPr>
          <t>很少</t>
        </r>
      </text>
    </comment>
    <comment ref="Z106" authorId="1" shapeId="0" xr:uid="{00000000-0006-0000-0000-000022000000}">
      <text>
        <r>
          <rPr>
            <sz val="10"/>
            <color rgb="FF000000"/>
            <rFont val="Microsoft JhengHei UI"/>
            <family val="2"/>
            <charset val="136"/>
          </rPr>
          <t>未到紅線</t>
        </r>
        <r>
          <rPr>
            <sz val="10"/>
            <color rgb="FF000000"/>
            <rFont val="Microsoft JhengHei UI"/>
            <family val="2"/>
            <charset val="136"/>
          </rPr>
          <t>1/2</t>
        </r>
      </text>
    </comment>
    <comment ref="N107" authorId="0" shapeId="0" xr:uid="{00000000-0006-0000-0000-000023000000}">
      <text>
        <r>
          <rPr>
            <sz val="9"/>
            <color rgb="FF000000"/>
            <rFont val="細明體"/>
            <family val="1"/>
            <charset val="136"/>
          </rPr>
          <t>另有</t>
        </r>
        <r>
          <rPr>
            <sz val="9"/>
            <color rgb="FF000000"/>
            <rFont val="細明體"/>
            <family val="1"/>
            <charset val="136"/>
          </rPr>
          <t>2022/1/14 1 ml*1+1.5 ml*1+4 ml*3</t>
        </r>
        <r>
          <rPr>
            <sz val="9"/>
            <color rgb="FF000000"/>
            <rFont val="Tahoma"/>
            <family val="2"/>
          </rPr>
          <t xml:space="preserve">
</t>
        </r>
      </text>
    </comment>
    <comment ref="Z107" authorId="1" shapeId="0" xr:uid="{00000000-0006-0000-0000-000024000000}">
      <text>
        <r>
          <rPr>
            <sz val="18"/>
            <color rgb="FF000000"/>
            <rFont val="新細明體"/>
            <family val="1"/>
            <charset val="136"/>
            <scheme val="minor"/>
          </rPr>
          <t>未到紅線</t>
        </r>
        <r>
          <rPr>
            <sz val="18"/>
            <color rgb="FF000000"/>
            <rFont val="新細明體"/>
            <family val="1"/>
            <charset val="136"/>
            <scheme val="minor"/>
          </rPr>
          <t>1/2</t>
        </r>
      </text>
    </comment>
    <comment ref="A108" authorId="0" shapeId="0" xr:uid="{00000000-0006-0000-0000-000025000000}">
      <text>
        <r>
          <rPr>
            <b/>
            <sz val="9"/>
            <color rgb="FF000000"/>
            <rFont val="Tahoma"/>
            <family val="2"/>
          </rPr>
          <t xml:space="preserve">11/16-11/30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Z110" authorId="1" shapeId="0" xr:uid="{00000000-0006-0000-0000-000026000000}">
      <text>
        <r>
          <rPr>
            <b/>
            <sz val="10"/>
            <color rgb="FF000000"/>
            <rFont val="Microsoft JhengHei UI"/>
            <family val="2"/>
            <charset val="136"/>
          </rPr>
          <t>2/3</t>
        </r>
        <r>
          <rPr>
            <sz val="10"/>
            <color rgb="FF000000"/>
            <rFont val="Microsoft JhengHei UI"/>
            <family val="2"/>
            <charset val="136"/>
          </rPr>
          <t xml:space="preserve">
</t>
        </r>
      </text>
    </comment>
    <comment ref="A113" authorId="0" shapeId="0" xr:uid="{00000000-0006-0000-0000-000027000000}">
      <text>
        <r>
          <rPr>
            <sz val="9"/>
            <color rgb="FF000000"/>
            <rFont val="細明體"/>
            <family val="1"/>
            <charset val="136"/>
          </rPr>
          <t>媽媽說小孩有嚴重黑眼圈，醫師建議加入計畫測過敏指數</t>
        </r>
        <r>
          <rPr>
            <sz val="9"/>
            <color rgb="FF000000"/>
            <rFont val="細明體"/>
            <family val="1"/>
            <charset val="136"/>
          </rPr>
          <t xml:space="preserve">
</t>
        </r>
        <r>
          <rPr>
            <sz val="9"/>
            <color rgb="FF000000"/>
            <rFont val="Tahoma"/>
            <family val="2"/>
          </rPr>
          <t xml:space="preserve">
</t>
        </r>
      </text>
    </comment>
    <comment ref="A125" authorId="0" shapeId="0" xr:uid="{00000000-0006-0000-0000-000028000000}">
      <text>
        <r>
          <rPr>
            <b/>
            <sz val="9"/>
            <color rgb="FF000000"/>
            <rFont val="Tahoma"/>
            <family val="2"/>
          </rPr>
          <t>11/2 OPD: AD</t>
        </r>
        <r>
          <rPr>
            <sz val="9"/>
            <color rgb="FF000000"/>
            <rFont val="Tahoma"/>
            <family val="2"/>
          </rPr>
          <t xml:space="preserve">
</t>
        </r>
      </text>
    </comment>
    <comment ref="Z127" authorId="1" shapeId="0" xr:uid="{00000000-0006-0000-0000-000029000000}">
      <text>
        <r>
          <rPr>
            <b/>
            <sz val="10"/>
            <color rgb="FF000000"/>
            <rFont val="Microsoft JhengHei UI"/>
            <family val="2"/>
            <charset val="136"/>
          </rPr>
          <t>1/2</t>
        </r>
      </text>
    </comment>
    <comment ref="A132" authorId="0" shapeId="0" xr:uid="{00000000-0006-0000-0000-00002A000000}">
      <text>
        <r>
          <rPr>
            <b/>
            <sz val="9"/>
            <color rgb="FF000000"/>
            <rFont val="Tahoma"/>
            <family val="2"/>
          </rPr>
          <t>11/18-12/13 OPD: AD</t>
        </r>
      </text>
    </comment>
    <comment ref="A134" authorId="0" shapeId="0" xr:uid="{00000000-0006-0000-0000-00002B000000}">
      <text>
        <r>
          <rPr>
            <b/>
            <sz val="9"/>
            <color rgb="FF000000"/>
            <rFont val="Tahoma"/>
            <family val="2"/>
          </rPr>
          <t xml:space="preserve">11/17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Z134" authorId="1" shapeId="0" xr:uid="{00000000-0006-0000-0000-00002C000000}">
      <text>
        <r>
          <rPr>
            <b/>
            <sz val="10"/>
            <color rgb="FF000000"/>
            <rFont val="Microsoft JhengHei UI"/>
            <family val="2"/>
            <charset val="136"/>
          </rPr>
          <t>1/2</t>
        </r>
      </text>
    </comment>
    <comment ref="Z135" authorId="1" shapeId="0" xr:uid="{00000000-0006-0000-0000-00002D000000}">
      <text>
        <r>
          <rPr>
            <sz val="10"/>
            <color rgb="FF000000"/>
            <rFont val="Microsoft JhengHei UI"/>
            <family val="2"/>
            <charset val="136"/>
          </rPr>
          <t>未到紅線，</t>
        </r>
        <r>
          <rPr>
            <sz val="10"/>
            <color rgb="FF000000"/>
            <rFont val="Microsoft JhengHei UI"/>
            <family val="2"/>
            <charset val="136"/>
          </rPr>
          <t>1/2</t>
        </r>
      </text>
    </comment>
    <comment ref="A137" authorId="0" shapeId="0" xr:uid="{00000000-0006-0000-0000-00002E000000}">
      <text>
        <r>
          <rPr>
            <b/>
            <sz val="9"/>
            <color rgb="FF000000"/>
            <rFont val="Tahoma"/>
            <family val="2"/>
          </rPr>
          <t>11/16 - NOW: AD</t>
        </r>
      </text>
    </comment>
    <comment ref="A142" authorId="0" shapeId="0" xr:uid="{00000000-0006-0000-0000-00002F000000}">
      <text>
        <r>
          <rPr>
            <b/>
            <sz val="9"/>
            <color rgb="FF000000"/>
            <rFont val="Tahoma"/>
            <family val="2"/>
          </rPr>
          <t>11/23-12/28 OPD: AD</t>
        </r>
        <r>
          <rPr>
            <sz val="9"/>
            <color rgb="FF000000"/>
            <rFont val="Tahoma"/>
            <family val="2"/>
          </rPr>
          <t xml:space="preserve">
</t>
        </r>
      </text>
    </comment>
    <comment ref="Z142" authorId="1" shapeId="0" xr:uid="{00000000-0006-0000-0000-000030000000}">
      <text>
        <r>
          <rPr>
            <sz val="10"/>
            <color rgb="FF000000"/>
            <rFont val="Microsoft JhengHei UI"/>
            <family val="2"/>
            <charset val="136"/>
          </rPr>
          <t>插入</t>
        </r>
        <r>
          <rPr>
            <sz val="10"/>
            <color rgb="FF000000"/>
            <rFont val="Microsoft JhengHei UI"/>
            <family val="2"/>
            <charset val="136"/>
          </rPr>
          <t>1/2</t>
        </r>
      </text>
    </comment>
    <comment ref="A149" authorId="0" shapeId="0" xr:uid="{00000000-0006-0000-0000-000031000000}">
      <text>
        <r>
          <rPr>
            <b/>
            <sz val="9"/>
            <color rgb="FF000000"/>
            <rFont val="Tahoma"/>
            <family val="2"/>
          </rPr>
          <t>AD</t>
        </r>
        <r>
          <rPr>
            <b/>
            <sz val="9"/>
            <color rgb="FF000000"/>
            <rFont val="細明體"/>
            <family val="1"/>
            <charset val="136"/>
          </rPr>
          <t>未關，</t>
        </r>
        <r>
          <rPr>
            <b/>
            <sz val="9"/>
            <color rgb="FF000000"/>
            <rFont val="Tahoma"/>
            <family val="2"/>
          </rPr>
          <t>F/U</t>
        </r>
      </text>
    </comment>
    <comment ref="P149" authorId="0" shapeId="0" xr:uid="{00000000-0006-0000-0000-000032000000}">
      <text>
        <r>
          <rPr>
            <b/>
            <sz val="9"/>
            <color rgb="FF000000"/>
            <rFont val="細明體"/>
            <family val="1"/>
            <charset val="136"/>
          </rPr>
          <t>早上</t>
        </r>
      </text>
    </comment>
    <comment ref="V154" authorId="0" shapeId="0" xr:uid="{00000000-0006-0000-0000-000033000000}">
      <text>
        <r>
          <rPr>
            <b/>
            <sz val="9"/>
            <color rgb="FF000000"/>
            <rFont val="Tahoma"/>
            <family val="2"/>
          </rPr>
          <t>12/23</t>
        </r>
        <r>
          <rPr>
            <b/>
            <sz val="9"/>
            <color rgb="FF000000"/>
            <rFont val="細明體"/>
            <family val="1"/>
            <charset val="136"/>
          </rPr>
          <t>晚上貼尿袋，</t>
        </r>
        <r>
          <rPr>
            <b/>
            <sz val="9"/>
            <color rgb="FF000000"/>
            <rFont val="Tahoma"/>
            <family val="2"/>
          </rPr>
          <t>12/24</t>
        </r>
        <r>
          <rPr>
            <b/>
            <sz val="9"/>
            <color rgb="FF000000"/>
            <rFont val="細明體"/>
            <family val="1"/>
            <charset val="136"/>
          </rPr>
          <t>交</t>
        </r>
      </text>
    </comment>
    <comment ref="X154" authorId="0" shapeId="0" xr:uid="{00000000-0006-0000-0000-000034000000}">
      <text>
        <r>
          <rPr>
            <b/>
            <sz val="9"/>
            <color rgb="FF000000"/>
            <rFont val="細明體"/>
            <family val="1"/>
            <charset val="136"/>
          </rPr>
          <t>另有</t>
        </r>
        <r>
          <rPr>
            <b/>
            <sz val="9"/>
            <color rgb="FF000000"/>
            <rFont val="細明體"/>
            <family val="1"/>
            <charset val="136"/>
          </rPr>
          <t xml:space="preserve">2021/12/22 stool*2 </t>
        </r>
        <r>
          <rPr>
            <b/>
            <sz val="9"/>
            <color rgb="FF000000"/>
            <rFont val="細明體"/>
            <family val="1"/>
            <charset val="136"/>
          </rPr>
          <t>都只有一匙，</t>
        </r>
        <r>
          <rPr>
            <b/>
            <sz val="9"/>
            <color rgb="FF000000"/>
            <rFont val="細明體"/>
            <family val="1"/>
            <charset val="136"/>
          </rPr>
          <t>2Y5M28D</t>
        </r>
        <r>
          <rPr>
            <b/>
            <sz val="9"/>
            <color rgb="FF000000"/>
            <rFont val="細明體"/>
            <family val="1"/>
            <charset val="136"/>
          </rPr>
          <t>，矯齡</t>
        </r>
        <r>
          <rPr>
            <b/>
            <sz val="9"/>
            <color rgb="FF000000"/>
            <rFont val="細明體"/>
            <family val="1"/>
            <charset val="136"/>
          </rPr>
          <t>2Y2M14D</t>
        </r>
        <r>
          <rPr>
            <b/>
            <sz val="9"/>
            <color rgb="FF000000"/>
            <rFont val="細明體"/>
            <family val="1"/>
            <charset val="136"/>
          </rPr>
          <t>。</t>
        </r>
      </text>
    </comment>
    <comment ref="N157" authorId="0" shapeId="0" xr:uid="{00000000-0006-0000-0000-000035000000}">
      <text>
        <r>
          <rPr>
            <sz val="9"/>
            <color rgb="FF000000"/>
            <rFont val="細明體"/>
            <family val="1"/>
            <charset val="136"/>
          </rPr>
          <t>另有</t>
        </r>
        <r>
          <rPr>
            <sz val="9"/>
            <color rgb="FF000000"/>
            <rFont val="細明體"/>
            <family val="1"/>
            <charset val="136"/>
          </rPr>
          <t>2022/1/18 320 ul</t>
        </r>
      </text>
    </comment>
    <comment ref="P158" authorId="0" shapeId="0" xr:uid="{00000000-0006-0000-0000-000036000000}">
      <text>
        <r>
          <rPr>
            <b/>
            <sz val="9"/>
            <color rgb="FF000000"/>
            <rFont val="細明體"/>
            <family val="1"/>
            <charset val="136"/>
          </rPr>
          <t>有兩個但只有一匙</t>
        </r>
        <r>
          <rPr>
            <b/>
            <sz val="9"/>
            <color rgb="FF000000"/>
            <rFont val="細明體"/>
            <family val="1"/>
            <charset val="136"/>
          </rPr>
          <t>(</t>
        </r>
        <r>
          <rPr>
            <b/>
            <sz val="9"/>
            <color rgb="FF000000"/>
            <rFont val="細明體"/>
            <family val="1"/>
            <charset val="136"/>
          </rPr>
          <t>因為便便很稀</t>
        </r>
        <r>
          <rPr>
            <b/>
            <sz val="9"/>
            <color rgb="FF000000"/>
            <rFont val="細明體"/>
            <family val="1"/>
            <charset val="136"/>
          </rPr>
          <t>)</t>
        </r>
      </text>
    </comment>
    <comment ref="P159" authorId="3" shapeId="0" xr:uid="{00000000-0006-0000-0000-000037000000}">
      <text>
        <r>
          <rPr>
            <b/>
            <sz val="9"/>
            <color rgb="FF000000"/>
            <rFont val="細明體"/>
            <family val="1"/>
            <charset val="136"/>
          </rPr>
          <t>1/16</t>
        </r>
        <r>
          <rPr>
            <b/>
            <sz val="9"/>
            <color rgb="FF000000"/>
            <rFont val="細明體"/>
            <family val="1"/>
            <charset val="136"/>
          </rPr>
          <t>與</t>
        </r>
        <r>
          <rPr>
            <b/>
            <sz val="9"/>
            <color rgb="FF000000"/>
            <rFont val="細明體"/>
            <family val="1"/>
            <charset val="136"/>
          </rPr>
          <t>1/18</t>
        </r>
        <r>
          <rPr>
            <b/>
            <sz val="9"/>
            <color rgb="FF000000"/>
            <rFont val="細明體"/>
            <family val="1"/>
            <charset val="136"/>
          </rPr>
          <t>各有一個，但都只有一匙</t>
        </r>
      </text>
    </comment>
    <comment ref="Z168" authorId="1" shapeId="0" xr:uid="{00000000-0006-0000-0000-000038000000}">
      <text>
        <r>
          <rPr>
            <b/>
            <sz val="10"/>
            <color rgb="FF000000"/>
            <rFont val="Microsoft JhengHei UI"/>
            <family val="2"/>
            <charset val="136"/>
          </rPr>
          <t>斷掉</t>
        </r>
        <r>
          <rPr>
            <b/>
            <sz val="10"/>
            <color rgb="FF000000"/>
            <rFont val="Microsoft JhengHei UI"/>
            <family val="2"/>
            <charset val="136"/>
          </rPr>
          <t xml:space="preserve"> </t>
        </r>
        <r>
          <rPr>
            <b/>
            <sz val="10"/>
            <color rgb="FF000000"/>
            <rFont val="Microsoft JhengHei UI"/>
            <family val="2"/>
            <charset val="136"/>
          </rPr>
          <t>何醫師折斷</t>
        </r>
      </text>
    </comment>
    <comment ref="P170" authorId="0" shapeId="0" xr:uid="{00000000-0006-0000-0000-000039000000}">
      <text>
        <r>
          <rPr>
            <b/>
            <sz val="9"/>
            <color rgb="FF000000"/>
            <rFont val="細明體"/>
            <family val="1"/>
            <charset val="136"/>
          </rPr>
          <t>一匙多</t>
        </r>
      </text>
    </comment>
    <comment ref="Z174" authorId="1" shapeId="0" xr:uid="{00000000-0006-0000-0000-00003A000000}">
      <text>
        <r>
          <rPr>
            <sz val="10"/>
            <color rgb="FF000000"/>
            <rFont val="Microsoft JhengHei UI"/>
            <family val="2"/>
            <charset val="136"/>
          </rPr>
          <t>插入</t>
        </r>
        <r>
          <rPr>
            <sz val="10"/>
            <color rgb="FF000000"/>
            <rFont val="Microsoft JhengHei UI"/>
            <family val="2"/>
            <charset val="136"/>
          </rPr>
          <t xml:space="preserve">1/2
</t>
        </r>
      </text>
    </comment>
    <comment ref="A177" authorId="0" shapeId="0" xr:uid="{00000000-0006-0000-0000-00003B000000}">
      <text>
        <r>
          <rPr>
            <b/>
            <sz val="9"/>
            <color rgb="FF000000"/>
            <rFont val="Tahoma"/>
            <family val="2"/>
          </rPr>
          <t xml:space="preserve">1. brain F/U
</t>
        </r>
        <r>
          <rPr>
            <b/>
            <sz val="9"/>
            <color rgb="FF000000"/>
            <rFont val="Tahoma"/>
            <family val="2"/>
          </rPr>
          <t>2. 3/15 OPD: skin AD</t>
        </r>
      </text>
    </comment>
    <comment ref="P177" authorId="0" shapeId="0" xr:uid="{00000000-0006-0000-0000-00003C000000}">
      <text>
        <r>
          <rPr>
            <b/>
            <sz val="9"/>
            <color rgb="FF000000"/>
            <rFont val="細明體"/>
            <family val="1"/>
            <charset val="136"/>
          </rPr>
          <t>一匙</t>
        </r>
      </text>
    </comment>
    <comment ref="Z177" authorId="4" shapeId="0" xr:uid="{00000000-0006-0000-0000-00003D000000}">
      <text>
        <r>
          <rPr>
            <sz val="10"/>
            <color rgb="FF000000"/>
            <rFont val="Microsoft JhengHei UI"/>
            <family val="2"/>
            <charset val="136"/>
          </rPr>
          <t>插入</t>
        </r>
        <r>
          <rPr>
            <sz val="10"/>
            <color rgb="FF000000"/>
            <rFont val="Microsoft JhengHei UI"/>
            <family val="2"/>
            <charset val="136"/>
          </rPr>
          <t>1/2</t>
        </r>
        <r>
          <rPr>
            <sz val="10"/>
            <color rgb="FF000000"/>
            <rFont val="Microsoft JhengHei UI"/>
            <family val="2"/>
            <charset val="136"/>
          </rPr>
          <t xml:space="preserve">
</t>
        </r>
      </text>
    </comment>
    <comment ref="A178" authorId="0" shapeId="0" xr:uid="{00000000-0006-0000-0000-00003E000000}">
      <text>
        <r>
          <rPr>
            <b/>
            <sz val="9"/>
            <color rgb="FF000000"/>
            <rFont val="Tahoma"/>
            <family val="2"/>
          </rPr>
          <t>1/27 OPD: irritant contact dermatitis due to other agents</t>
        </r>
      </text>
    </comment>
    <comment ref="N179" authorId="0" shapeId="0" xr:uid="{00000000-0006-0000-0000-00003F000000}">
      <text>
        <r>
          <rPr>
            <b/>
            <sz val="9"/>
            <color indexed="81"/>
            <rFont val="細明體"/>
            <family val="3"/>
            <charset val="136"/>
          </rPr>
          <t>另有2022/4/26 矯5M29D 1 ml*1+1.5 ml*1+4 ml*3，當天尿但媽媽放冷凍，因分裝free-thaw</t>
        </r>
      </text>
    </comment>
    <comment ref="B181" authorId="4" shapeId="0" xr:uid="{00000000-0006-0000-0000-000040000000}">
      <text>
        <r>
          <rPr>
            <sz val="10"/>
            <color rgb="FF000000"/>
            <rFont val="Microsoft JhengHei UI"/>
            <family val="2"/>
            <charset val="136"/>
          </rPr>
          <t xml:space="preserve">2024/05/13 </t>
        </r>
        <r>
          <rPr>
            <sz val="10"/>
            <color rgb="FF000000"/>
            <rFont val="Microsoft JhengHei UI"/>
            <family val="2"/>
            <charset val="136"/>
          </rPr>
          <t>邱醫師觀察到</t>
        </r>
        <r>
          <rPr>
            <sz val="10"/>
            <color rgb="FF000000"/>
            <rFont val="Microsoft JhengHei UI"/>
            <family val="2"/>
            <charset val="136"/>
          </rPr>
          <t>AD</t>
        </r>
      </text>
    </comment>
    <comment ref="A183" authorId="0" shapeId="0" xr:uid="{00000000-0006-0000-0000-000041000000}">
      <text>
        <r>
          <rPr>
            <b/>
            <sz val="9"/>
            <color rgb="FF000000"/>
            <rFont val="Tahoma"/>
            <family val="2"/>
          </rPr>
          <t xml:space="preserve">1. Other respiratory distress of newborn
</t>
        </r>
        <r>
          <rPr>
            <b/>
            <sz val="9"/>
            <color rgb="FF000000"/>
            <rFont val="Tahoma"/>
            <family val="2"/>
          </rPr>
          <t>2. Dermatitis</t>
        </r>
      </text>
    </comment>
    <comment ref="A186" authorId="0" shapeId="0" xr:uid="{00000000-0006-0000-0000-000042000000}">
      <text>
        <r>
          <rPr>
            <b/>
            <sz val="9"/>
            <color rgb="FF000000"/>
            <rFont val="Tahoma"/>
            <family val="2"/>
          </rPr>
          <t>2/19 OPD: intrinsic (allergic) eczema</t>
        </r>
        <r>
          <rPr>
            <sz val="9"/>
            <color rgb="FF000000"/>
            <rFont val="Tahoma"/>
            <family val="2"/>
          </rPr>
          <t xml:space="preserve">
</t>
        </r>
      </text>
    </comment>
    <comment ref="P187" authorId="3" shapeId="0" xr:uid="{00000000-0006-0000-0000-000043000000}">
      <text>
        <r>
          <rPr>
            <b/>
            <sz val="9"/>
            <color rgb="FF000000"/>
            <rFont val="細明體"/>
            <family val="1"/>
            <charset val="136"/>
          </rPr>
          <t>較少</t>
        </r>
        <r>
          <rPr>
            <sz val="9"/>
            <color rgb="FF000000"/>
            <rFont val="Tahoma"/>
            <family val="2"/>
          </rPr>
          <t xml:space="preserve">
</t>
        </r>
      </text>
    </comment>
    <comment ref="Z189" authorId="1" shapeId="0" xr:uid="{00000000-0006-0000-0000-000044000000}">
      <text>
        <r>
          <rPr>
            <b/>
            <sz val="10"/>
            <color rgb="FF000000"/>
            <rFont val="Microsoft JhengHei UI"/>
            <family val="2"/>
            <charset val="136"/>
          </rPr>
          <t>1/3</t>
        </r>
        <r>
          <rPr>
            <sz val="10"/>
            <color rgb="FF000000"/>
            <rFont val="Microsoft JhengHei UI"/>
            <family val="2"/>
            <charset val="136"/>
          </rPr>
          <t xml:space="preserve">
</t>
        </r>
      </text>
    </comment>
    <comment ref="A190" authorId="0" shapeId="0" xr:uid="{00000000-0006-0000-0000-000045000000}">
      <text>
        <r>
          <rPr>
            <b/>
            <sz val="9"/>
            <color rgb="FF000000"/>
            <rFont val="Tahoma"/>
            <family val="2"/>
          </rPr>
          <t>3/21 OPD: AR</t>
        </r>
        <r>
          <rPr>
            <sz val="9"/>
            <color rgb="FF000000"/>
            <rFont val="Tahoma"/>
            <family val="2"/>
          </rPr>
          <t xml:space="preserve">
</t>
        </r>
      </text>
    </comment>
    <comment ref="Z191" authorId="1" shapeId="0" xr:uid="{00000000-0006-0000-0000-000046000000}">
      <text>
        <r>
          <rPr>
            <b/>
            <sz val="10"/>
            <color rgb="FF000000"/>
            <rFont val="Microsoft JhengHei UI"/>
            <family val="2"/>
            <charset val="136"/>
          </rPr>
          <t>1/2</t>
        </r>
      </text>
    </comment>
    <comment ref="P192" authorId="0" shapeId="0" xr:uid="{00000000-0006-0000-0000-000047000000}">
      <text>
        <r>
          <rPr>
            <b/>
            <sz val="9"/>
            <color rgb="FF000000"/>
            <rFont val="細明體"/>
            <family val="1"/>
            <charset val="136"/>
          </rPr>
          <t>另有</t>
        </r>
        <r>
          <rPr>
            <b/>
            <sz val="9"/>
            <color rgb="FF000000"/>
            <rFont val="細明體"/>
            <family val="1"/>
            <charset val="136"/>
          </rPr>
          <t>2022/4/30 4M8D stool*2 (</t>
        </r>
        <r>
          <rPr>
            <b/>
            <sz val="9"/>
            <color rgb="FF000000"/>
            <rFont val="細明體"/>
            <family val="1"/>
            <charset val="136"/>
          </rPr>
          <t>皆不到一匙</t>
        </r>
        <r>
          <rPr>
            <b/>
            <sz val="9"/>
            <color rgb="FF000000"/>
            <rFont val="細明體"/>
            <family val="1"/>
            <charset val="136"/>
          </rPr>
          <t>)</t>
        </r>
        <r>
          <rPr>
            <sz val="9"/>
            <color rgb="FF000000"/>
            <rFont val="Tahoma"/>
            <family val="2"/>
          </rPr>
          <t xml:space="preserve">
</t>
        </r>
      </text>
    </comment>
    <comment ref="Z194" authorId="1" shapeId="0" xr:uid="{00000000-0006-0000-0000-000048000000}">
      <text>
        <r>
          <rPr>
            <sz val="10"/>
            <color rgb="FF000000"/>
            <rFont val="Microsoft JhengHei UI"/>
            <family val="2"/>
            <charset val="136"/>
          </rPr>
          <t xml:space="preserve">1/2
</t>
        </r>
      </text>
    </comment>
    <comment ref="X195" authorId="4" shapeId="0" xr:uid="{00000000-0006-0000-0000-000049000000}">
      <text>
        <r>
          <rPr>
            <b/>
            <sz val="10"/>
            <color rgb="FF000000"/>
            <rFont val="Microsoft JhengHei UI"/>
            <family val="2"/>
            <charset val="1"/>
          </rPr>
          <t>冷藏</t>
        </r>
      </text>
    </comment>
    <comment ref="A197" authorId="0" shapeId="0" xr:uid="{00000000-0006-0000-0000-00004A000000}">
      <text>
        <r>
          <rPr>
            <b/>
            <sz val="9"/>
            <color rgb="FF000000"/>
            <rFont val="Tahoma"/>
            <family val="2"/>
          </rPr>
          <t xml:space="preserve">3/22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Z198" authorId="1" shapeId="0" xr:uid="{00000000-0006-0000-0000-00004B000000}">
      <text>
        <r>
          <rPr>
            <b/>
            <sz val="10"/>
            <color rgb="FF000000"/>
            <rFont val="Microsoft JhengHei UI"/>
            <family val="2"/>
            <charset val="136"/>
          </rPr>
          <t>1/2</t>
        </r>
        <r>
          <rPr>
            <b/>
            <sz val="10"/>
            <color rgb="FF000000"/>
            <rFont val="Microsoft JhengHei UI"/>
            <family val="2"/>
            <charset val="136"/>
          </rPr>
          <t>感冒</t>
        </r>
      </text>
    </comment>
    <comment ref="A203" authorId="0" shapeId="0" xr:uid="{00000000-0006-0000-0000-00004C000000}">
      <text>
        <r>
          <rPr>
            <b/>
            <sz val="9"/>
            <color rgb="FF000000"/>
            <rFont val="細明體"/>
            <family val="1"/>
            <charset val="136"/>
          </rPr>
          <t>骨科</t>
        </r>
        <r>
          <rPr>
            <b/>
            <sz val="9"/>
            <color rgb="FF000000"/>
            <rFont val="Calibri"/>
            <family val="2"/>
          </rPr>
          <t xml:space="preserve">:
</t>
        </r>
        <r>
          <rPr>
            <b/>
            <sz val="9"/>
            <color rgb="FF000000"/>
            <rFont val="Calibri"/>
            <family val="2"/>
          </rPr>
          <t xml:space="preserve">1. Other Specified Congenutal Deformities of Feet
</t>
        </r>
        <r>
          <rPr>
            <b/>
            <sz val="9"/>
            <color rgb="FF000000"/>
            <rFont val="Calibri"/>
            <family val="2"/>
          </rPr>
          <t xml:space="preserve">2. Congenital Deformity of Finger(s) and Hand
</t>
        </r>
        <r>
          <rPr>
            <b/>
            <sz val="9"/>
            <color rgb="FF000000"/>
            <rFont val="Calibri"/>
            <family val="2"/>
          </rPr>
          <t xml:space="preserve">3. Cephalhematoma due to Birth Injury
</t>
        </r>
        <r>
          <rPr>
            <b/>
            <sz val="9"/>
            <color rgb="FF000000"/>
            <rFont val="Calibri"/>
            <family val="2"/>
          </rPr>
          <t xml:space="preserve">4. Other Specified Infections Specific to the Perinatal Period
</t>
        </r>
        <r>
          <rPr>
            <b/>
            <sz val="9"/>
            <color rgb="FF000000"/>
            <rFont val="Calibri"/>
            <family val="2"/>
          </rPr>
          <t xml:space="preserve">5. Congenital Myopathies
</t>
        </r>
        <r>
          <rPr>
            <b/>
            <sz val="9"/>
            <color rgb="FF000000"/>
            <rFont val="細明體"/>
            <family val="1"/>
            <charset val="136"/>
          </rPr>
          <t>復健科</t>
        </r>
        <r>
          <rPr>
            <b/>
            <sz val="9"/>
            <color rgb="FF000000"/>
            <rFont val="細明體"/>
            <family val="1"/>
            <charset val="136"/>
          </rPr>
          <t xml:space="preserve">
</t>
        </r>
        <r>
          <rPr>
            <b/>
            <sz val="9"/>
            <color rgb="FF000000"/>
            <rFont val="Calibri"/>
            <family val="2"/>
          </rPr>
          <t xml:space="preserve">1. Other Disorders of Psychological Developmean
</t>
        </r>
        <r>
          <rPr>
            <b/>
            <sz val="9"/>
            <color rgb="FF000000"/>
            <rFont val="Calibri"/>
            <family val="2"/>
          </rPr>
          <t>2. Specific Developmental Disorder of Motor Function</t>
        </r>
        <r>
          <rPr>
            <sz val="9"/>
            <color rgb="FF000000"/>
            <rFont val="Tahoma"/>
            <family val="2"/>
          </rPr>
          <t xml:space="preserve">
</t>
        </r>
      </text>
    </comment>
    <comment ref="T206" authorId="3" shapeId="0" xr:uid="{00000000-0006-0000-0000-00004D000000}">
      <text>
        <r>
          <rPr>
            <sz val="9"/>
            <color rgb="FF000000"/>
            <rFont val="細明體"/>
            <family val="1"/>
            <charset val="136"/>
          </rPr>
          <t>血管細、沒彈性，只</t>
        </r>
        <r>
          <rPr>
            <sz val="9"/>
            <color rgb="FF000000"/>
            <rFont val="細明體"/>
            <family val="1"/>
            <charset val="136"/>
          </rPr>
          <t>SST 2 ml</t>
        </r>
        <r>
          <rPr>
            <sz val="9"/>
            <color rgb="FF000000"/>
            <rFont val="細明體"/>
            <family val="1"/>
            <charset val="136"/>
          </rPr>
          <t>、</t>
        </r>
        <r>
          <rPr>
            <sz val="9"/>
            <color rgb="FF000000"/>
            <rFont val="細明體"/>
            <family val="1"/>
            <charset val="136"/>
          </rPr>
          <t>EDTA 1 ml</t>
        </r>
        <r>
          <rPr>
            <sz val="9"/>
            <color rgb="FF000000"/>
            <rFont val="細明體"/>
            <family val="1"/>
            <charset val="136"/>
          </rPr>
          <t>、</t>
        </r>
        <r>
          <rPr>
            <sz val="9"/>
            <color rgb="FF000000"/>
            <rFont val="細明體"/>
            <family val="1"/>
            <charset val="136"/>
          </rPr>
          <t>Heparine 0.9 ml</t>
        </r>
        <r>
          <rPr>
            <sz val="9"/>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A2" authorId="0" shapeId="0" xr:uid="{00000000-0006-0000-0100-000001000000}">
      <text>
        <r>
          <rPr>
            <b/>
            <sz val="9"/>
            <color rgb="FF000000"/>
            <rFont val="細明體"/>
            <family val="1"/>
            <charset val="136"/>
          </rPr>
          <t>不抽血</t>
        </r>
      </text>
    </comment>
    <comment ref="A3" authorId="0" shapeId="0" xr:uid="{00000000-0006-0000-01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100-000003000000}">
      <text>
        <r>
          <rPr>
            <b/>
            <sz val="9"/>
            <color indexed="81"/>
            <rFont val="Tahoma"/>
            <family val="2"/>
          </rPr>
          <t>1. AD (since 3 m/o)
2. AR</t>
        </r>
      </text>
    </comment>
    <comment ref="A14" authorId="0" shapeId="0" xr:uid="{00000000-0006-0000-0100-000004000000}">
      <text>
        <r>
          <rPr>
            <b/>
            <sz val="9"/>
            <color indexed="81"/>
            <rFont val="細明體"/>
            <family val="3"/>
            <charset val="136"/>
          </rPr>
          <t>不抽血
1. 12/16-10/13 OPD: AD</t>
        </r>
      </text>
    </comment>
    <comment ref="AT15" authorId="0" shapeId="0" xr:uid="{00000000-0006-0000-0100-000005000000}">
      <text>
        <r>
          <rPr>
            <b/>
            <sz val="9"/>
            <color indexed="81"/>
            <rFont val="細明體"/>
            <family val="3"/>
            <charset val="136"/>
          </rPr>
          <t>天氣變化都很明顯，姚宗杰醫師說是因為早產的關戲</t>
        </r>
        <r>
          <rPr>
            <sz val="9"/>
            <color indexed="81"/>
            <rFont val="Tahoma"/>
            <family val="2"/>
          </rPr>
          <t xml:space="preserve">
</t>
        </r>
      </text>
    </comment>
    <comment ref="AU15" authorId="0" shapeId="0" xr:uid="{00000000-0006-0000-0100-000006000000}">
      <text>
        <r>
          <rPr>
            <b/>
            <sz val="9"/>
            <color indexed="81"/>
            <rFont val="細明體"/>
            <family val="3"/>
            <charset val="136"/>
          </rPr>
          <t>天氣變化都很明顯，姚宗杰醫師說是因為早產的關戲</t>
        </r>
        <r>
          <rPr>
            <sz val="9"/>
            <color indexed="81"/>
            <rFont val="Tahoma"/>
            <family val="2"/>
          </rPr>
          <t xml:space="preserve">
</t>
        </r>
      </text>
    </comment>
    <comment ref="AV15" authorId="0" shapeId="0" xr:uid="{00000000-0006-0000-0100-000007000000}">
      <text>
        <r>
          <rPr>
            <b/>
            <sz val="9"/>
            <color indexed="81"/>
            <rFont val="細明體"/>
            <family val="3"/>
            <charset val="136"/>
          </rPr>
          <t>天氣變化都很明顯，姚宗杰醫師說是因為早產的關戲</t>
        </r>
        <r>
          <rPr>
            <sz val="9"/>
            <color indexed="81"/>
            <rFont val="Tahoma"/>
            <family val="2"/>
          </rPr>
          <t xml:space="preserve">
</t>
        </r>
      </text>
    </comment>
    <comment ref="AW15" authorId="0" shapeId="0" xr:uid="{00000000-0006-0000-0100-000008000000}">
      <text>
        <r>
          <rPr>
            <b/>
            <sz val="9"/>
            <color indexed="81"/>
            <rFont val="細明體"/>
            <family val="3"/>
            <charset val="136"/>
          </rPr>
          <t>天氣變化都很明顯，姚宗杰醫師說是因為早產的關戲</t>
        </r>
        <r>
          <rPr>
            <sz val="9"/>
            <color indexed="81"/>
            <rFont val="Tahoma"/>
            <family val="2"/>
          </rPr>
          <t xml:space="preserve">
</t>
        </r>
      </text>
    </comment>
    <comment ref="A17" authorId="0" shapeId="0" xr:uid="{00000000-0006-0000-0100-000009000000}">
      <text>
        <r>
          <rPr>
            <b/>
            <sz val="9"/>
            <color rgb="FF000000"/>
            <rFont val="Tahoma"/>
            <family val="2"/>
          </rPr>
          <t>1. Failure to thrive in newborn</t>
        </r>
      </text>
    </comment>
    <comment ref="A25" authorId="0" shapeId="0" xr:uid="{00000000-0006-0000-0100-00000A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A31" authorId="0" shapeId="0" xr:uid="{00000000-0006-0000-0100-00000B000000}">
      <text>
        <r>
          <rPr>
            <b/>
            <sz val="9"/>
            <color rgb="FF000000"/>
            <rFont val="Tahoma"/>
            <family val="2"/>
          </rPr>
          <t>2/23-3/25 OPD: AD</t>
        </r>
      </text>
    </comment>
    <comment ref="A32" authorId="0" shapeId="0" xr:uid="{00000000-0006-0000-0100-00000C000000}">
      <text>
        <r>
          <rPr>
            <b/>
            <sz val="9"/>
            <color indexed="81"/>
            <rFont val="Tahoma"/>
            <family val="2"/>
          </rPr>
          <t>3/3 OPD: irritant contact dermatitis due to other agents</t>
        </r>
        <r>
          <rPr>
            <sz val="9"/>
            <color indexed="81"/>
            <rFont val="Tahoma"/>
            <family val="2"/>
          </rPr>
          <t xml:space="preserve">
</t>
        </r>
      </text>
    </comment>
    <comment ref="A108" authorId="0" shapeId="0" xr:uid="{00000000-0006-0000-0100-00000D000000}">
      <text>
        <r>
          <rPr>
            <b/>
            <sz val="9"/>
            <color indexed="81"/>
            <rFont val="Tahoma"/>
            <family val="2"/>
          </rPr>
          <t>11/16-11/30 OPD:
1. AD
2. AR</t>
        </r>
        <r>
          <rPr>
            <sz val="9"/>
            <color indexed="81"/>
            <rFont val="Tahoma"/>
            <family val="2"/>
          </rPr>
          <t xml:space="preserve">
</t>
        </r>
      </text>
    </comment>
    <comment ref="A113" authorId="0" shapeId="0" xr:uid="{00000000-0006-0000-0100-00000E000000}">
      <text>
        <r>
          <rPr>
            <sz val="9"/>
            <color indexed="81"/>
            <rFont val="細明體"/>
            <family val="3"/>
            <charset val="136"/>
          </rPr>
          <t xml:space="preserve">媽媽說小孩有嚴重黑眼圈，醫師建議加入計畫測過敏指數
</t>
        </r>
        <r>
          <rPr>
            <sz val="9"/>
            <color indexed="81"/>
            <rFont val="Tahoma"/>
            <family val="2"/>
          </rPr>
          <t xml:space="preserve">
</t>
        </r>
      </text>
    </comment>
    <comment ref="A125" authorId="0" shapeId="0" xr:uid="{00000000-0006-0000-0100-00000F000000}">
      <text>
        <r>
          <rPr>
            <b/>
            <sz val="9"/>
            <color rgb="FF000000"/>
            <rFont val="Tahoma"/>
            <family val="2"/>
          </rPr>
          <t>11/2 OPD: AD</t>
        </r>
        <r>
          <rPr>
            <sz val="9"/>
            <color rgb="FF000000"/>
            <rFont val="Tahoma"/>
            <family val="2"/>
          </rPr>
          <t xml:space="preserve">
</t>
        </r>
      </text>
    </comment>
    <comment ref="A132" authorId="0" shapeId="0" xr:uid="{00000000-0006-0000-0100-000010000000}">
      <text>
        <r>
          <rPr>
            <b/>
            <sz val="9"/>
            <color rgb="FF000000"/>
            <rFont val="Tahoma"/>
            <family val="2"/>
          </rPr>
          <t>11/18-12/13 OPD: AD</t>
        </r>
      </text>
    </comment>
    <comment ref="A134" authorId="0" shapeId="0" xr:uid="{00000000-0006-0000-0100-000011000000}">
      <text>
        <r>
          <rPr>
            <b/>
            <sz val="9"/>
            <color rgb="FF000000"/>
            <rFont val="Tahoma"/>
            <family val="2"/>
          </rPr>
          <t xml:space="preserve">11/17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137" authorId="0" shapeId="0" xr:uid="{00000000-0006-0000-0100-000012000000}">
      <text>
        <r>
          <rPr>
            <b/>
            <sz val="9"/>
            <color indexed="81"/>
            <rFont val="Tahoma"/>
            <family val="2"/>
          </rPr>
          <t>11/16 - NOW: AD</t>
        </r>
      </text>
    </comment>
    <comment ref="A142" authorId="0" shapeId="0" xr:uid="{00000000-0006-0000-0100-000013000000}">
      <text>
        <r>
          <rPr>
            <b/>
            <sz val="9"/>
            <color indexed="81"/>
            <rFont val="Tahoma"/>
            <family val="2"/>
          </rPr>
          <t>11/23-12/28 OPD: AD</t>
        </r>
        <r>
          <rPr>
            <sz val="9"/>
            <color indexed="81"/>
            <rFont val="Tahoma"/>
            <family val="2"/>
          </rPr>
          <t xml:space="preserve">
</t>
        </r>
      </text>
    </comment>
    <comment ref="A149" authorId="0" shapeId="0" xr:uid="{00000000-0006-0000-0100-000014000000}">
      <text>
        <r>
          <rPr>
            <b/>
            <sz val="9"/>
            <color indexed="81"/>
            <rFont val="Tahoma"/>
            <family val="2"/>
          </rPr>
          <t>AD</t>
        </r>
        <r>
          <rPr>
            <b/>
            <sz val="9"/>
            <color indexed="81"/>
            <rFont val="細明體"/>
            <family val="3"/>
            <charset val="136"/>
          </rPr>
          <t>未關，</t>
        </r>
        <r>
          <rPr>
            <b/>
            <sz val="9"/>
            <color indexed="81"/>
            <rFont val="Tahoma"/>
            <family val="2"/>
          </rPr>
          <t>F/U</t>
        </r>
      </text>
    </comment>
    <comment ref="A177" authorId="0" shapeId="0" xr:uid="{00000000-0006-0000-0100-000015000000}">
      <text>
        <r>
          <rPr>
            <b/>
            <sz val="9"/>
            <color indexed="81"/>
            <rFont val="Tahoma"/>
            <family val="2"/>
          </rPr>
          <t>1. brain F/U
2. 3/15 OPD: skin AD</t>
        </r>
      </text>
    </comment>
    <comment ref="A178" authorId="0" shapeId="0" xr:uid="{00000000-0006-0000-0100-000016000000}">
      <text>
        <r>
          <rPr>
            <b/>
            <sz val="9"/>
            <color indexed="81"/>
            <rFont val="Tahoma"/>
            <family val="2"/>
          </rPr>
          <t>1/27 OPD: irritant contact dermatitis due to other agents</t>
        </r>
      </text>
    </comment>
    <comment ref="A183" authorId="0" shapeId="0" xr:uid="{00000000-0006-0000-0100-000017000000}">
      <text>
        <r>
          <rPr>
            <b/>
            <sz val="9"/>
            <color rgb="FF000000"/>
            <rFont val="Tahoma"/>
            <family val="2"/>
          </rPr>
          <t xml:space="preserve">1. Other respiratory distress of newborn
</t>
        </r>
        <r>
          <rPr>
            <b/>
            <sz val="9"/>
            <color rgb="FF000000"/>
            <rFont val="Tahoma"/>
            <family val="2"/>
          </rPr>
          <t>2. Dermatitis</t>
        </r>
      </text>
    </comment>
    <comment ref="A186" authorId="0" shapeId="0" xr:uid="{00000000-0006-0000-0100-000018000000}">
      <text>
        <r>
          <rPr>
            <b/>
            <sz val="9"/>
            <color indexed="81"/>
            <rFont val="Tahoma"/>
            <family val="2"/>
          </rPr>
          <t>2/19 OPD: intrinsic (allergic) eczema</t>
        </r>
        <r>
          <rPr>
            <sz val="9"/>
            <color indexed="81"/>
            <rFont val="Tahoma"/>
            <family val="2"/>
          </rPr>
          <t xml:space="preserve">
</t>
        </r>
      </text>
    </comment>
    <comment ref="A190" authorId="0" shapeId="0" xr:uid="{00000000-0006-0000-0100-000019000000}">
      <text>
        <r>
          <rPr>
            <b/>
            <sz val="9"/>
            <color indexed="81"/>
            <rFont val="Tahoma"/>
            <family val="2"/>
          </rPr>
          <t>3/21 OPD: AR</t>
        </r>
        <r>
          <rPr>
            <sz val="9"/>
            <color indexed="81"/>
            <rFont val="Tahoma"/>
            <family val="2"/>
          </rPr>
          <t xml:space="preserve">
</t>
        </r>
      </text>
    </comment>
    <comment ref="A197" authorId="0" shapeId="0" xr:uid="{00000000-0006-0000-0100-00001A000000}">
      <text>
        <r>
          <rPr>
            <b/>
            <sz val="9"/>
            <color indexed="81"/>
            <rFont val="Tahoma"/>
            <family val="2"/>
          </rPr>
          <t>3/22 OPD:
1. AD
2. AR</t>
        </r>
        <r>
          <rPr>
            <sz val="9"/>
            <color indexed="81"/>
            <rFont val="Tahoma"/>
            <family val="2"/>
          </rPr>
          <t xml:space="preserve">
</t>
        </r>
      </text>
    </comment>
    <comment ref="A203" authorId="0" shapeId="0" xr:uid="{00000000-0006-0000-0100-00001B000000}">
      <text>
        <r>
          <rPr>
            <b/>
            <sz val="9"/>
            <color indexed="81"/>
            <rFont val="細明體"/>
            <family val="3"/>
            <charset val="136"/>
          </rPr>
          <t>骨科</t>
        </r>
        <r>
          <rPr>
            <b/>
            <sz val="9"/>
            <color indexed="81"/>
            <rFont val="Calibri"/>
            <family val="2"/>
          </rPr>
          <t xml:space="preserve">:
1. Other Specified Congenutal Deformities of Feet
2. Congenital Deformity of Finger(s) and Hand
3. Cephalhematoma due to Birth Injury
4. Other Specified Infections Specific to the Perinatal Period
5. Congenital Myopathies
</t>
        </r>
        <r>
          <rPr>
            <b/>
            <sz val="9"/>
            <color indexed="81"/>
            <rFont val="細明體"/>
            <family val="3"/>
            <charset val="136"/>
          </rPr>
          <t xml:space="preserve">復健科
</t>
        </r>
        <r>
          <rPr>
            <b/>
            <sz val="9"/>
            <color indexed="81"/>
            <rFont val="Calibri"/>
            <family val="2"/>
          </rPr>
          <t>1. Other Disorders of Psychological Developmean
2. Specific Developmental Disorder of Motor Function</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A2" authorId="0" shapeId="0" xr:uid="{00000000-0006-0000-0300-000001000000}">
      <text>
        <r>
          <rPr>
            <b/>
            <sz val="9"/>
            <color rgb="FF000000"/>
            <rFont val="細明體"/>
            <family val="1"/>
            <charset val="136"/>
          </rPr>
          <t>不抽血</t>
        </r>
      </text>
    </comment>
    <comment ref="A3" authorId="0" shapeId="0" xr:uid="{00000000-0006-0000-03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300-000003000000}">
      <text>
        <r>
          <rPr>
            <b/>
            <sz val="9"/>
            <color rgb="FF000000"/>
            <rFont val="Tahoma"/>
            <family val="2"/>
          </rPr>
          <t xml:space="preserve">1. AD (since 3 m/o)
</t>
        </r>
        <r>
          <rPr>
            <b/>
            <sz val="9"/>
            <color rgb="FF000000"/>
            <rFont val="Tahoma"/>
            <family val="2"/>
          </rPr>
          <t>2. AR</t>
        </r>
      </text>
    </comment>
    <comment ref="A14" authorId="0" shapeId="0" xr:uid="{00000000-0006-0000-0300-000004000000}">
      <text>
        <r>
          <rPr>
            <b/>
            <sz val="9"/>
            <color indexed="81"/>
            <rFont val="細明體"/>
            <family val="3"/>
            <charset val="136"/>
          </rPr>
          <t>不抽血
1. 12/16-10/13 OPD: AD</t>
        </r>
      </text>
    </comment>
    <comment ref="A17" authorId="0" shapeId="0" xr:uid="{00000000-0006-0000-0300-000005000000}">
      <text>
        <r>
          <rPr>
            <b/>
            <sz val="9"/>
            <color rgb="FF000000"/>
            <rFont val="Tahoma"/>
            <family val="2"/>
          </rPr>
          <t>1. Failure to thrive in newborn</t>
        </r>
      </text>
    </comment>
    <comment ref="A25" authorId="0" shapeId="0" xr:uid="{00000000-0006-0000-0300-000006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A31" authorId="0" shapeId="0" xr:uid="{00000000-0006-0000-0300-000007000000}">
      <text>
        <r>
          <rPr>
            <b/>
            <sz val="9"/>
            <color rgb="FF000000"/>
            <rFont val="Tahoma"/>
            <family val="2"/>
          </rPr>
          <t>2/23-3/25 OPD: AD</t>
        </r>
      </text>
    </comment>
    <comment ref="A32" authorId="0" shapeId="0" xr:uid="{00000000-0006-0000-0300-000008000000}">
      <text>
        <r>
          <rPr>
            <b/>
            <sz val="9"/>
            <color rgb="FF000000"/>
            <rFont val="Tahoma"/>
            <family val="2"/>
          </rPr>
          <t>3/3 OPD: irritant contact dermatitis due to other agents</t>
        </r>
        <r>
          <rPr>
            <sz val="9"/>
            <color rgb="FF000000"/>
            <rFont val="Tahoma"/>
            <family val="2"/>
          </rPr>
          <t xml:space="preserve">
</t>
        </r>
      </text>
    </comment>
    <comment ref="A108" authorId="0" shapeId="0" xr:uid="{00000000-0006-0000-0300-000009000000}">
      <text>
        <r>
          <rPr>
            <b/>
            <sz val="9"/>
            <color rgb="FF000000"/>
            <rFont val="Tahoma"/>
            <family val="2"/>
          </rPr>
          <t xml:space="preserve">11/16-11/30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113" authorId="0" shapeId="0" xr:uid="{00000000-0006-0000-0300-00000A000000}">
      <text>
        <r>
          <rPr>
            <sz val="9"/>
            <color indexed="81"/>
            <rFont val="細明體"/>
            <family val="3"/>
            <charset val="136"/>
          </rPr>
          <t xml:space="preserve">媽媽說小孩有嚴重黑眼圈，醫師建議加入計畫測過敏指數
</t>
        </r>
        <r>
          <rPr>
            <sz val="9"/>
            <color indexed="81"/>
            <rFont val="Tahoma"/>
            <family val="2"/>
          </rPr>
          <t xml:space="preserve">
</t>
        </r>
      </text>
    </comment>
    <comment ref="A125" authorId="0" shapeId="0" xr:uid="{00000000-0006-0000-0300-00000B000000}">
      <text>
        <r>
          <rPr>
            <b/>
            <sz val="9"/>
            <color rgb="FF000000"/>
            <rFont val="Tahoma"/>
            <family val="2"/>
          </rPr>
          <t>11/2 OPD: AD</t>
        </r>
        <r>
          <rPr>
            <sz val="9"/>
            <color rgb="FF000000"/>
            <rFont val="Tahoma"/>
            <family val="2"/>
          </rPr>
          <t xml:space="preserve">
</t>
        </r>
      </text>
    </comment>
    <comment ref="A132" authorId="0" shapeId="0" xr:uid="{00000000-0006-0000-0300-00000C000000}">
      <text>
        <r>
          <rPr>
            <b/>
            <sz val="9"/>
            <color rgb="FF000000"/>
            <rFont val="Tahoma"/>
            <family val="2"/>
          </rPr>
          <t>11/18-12/13 OPD: AD</t>
        </r>
      </text>
    </comment>
    <comment ref="A134" authorId="0" shapeId="0" xr:uid="{00000000-0006-0000-0300-00000D000000}">
      <text>
        <r>
          <rPr>
            <b/>
            <sz val="9"/>
            <color rgb="FF000000"/>
            <rFont val="Tahoma"/>
            <family val="2"/>
          </rPr>
          <t xml:space="preserve">11/17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137" authorId="0" shapeId="0" xr:uid="{00000000-0006-0000-0300-00000E000000}">
      <text>
        <r>
          <rPr>
            <b/>
            <sz val="9"/>
            <color rgb="FF000000"/>
            <rFont val="Tahoma"/>
            <family val="2"/>
          </rPr>
          <t>11/16 - NOW: AD</t>
        </r>
      </text>
    </comment>
    <comment ref="A142" authorId="0" shapeId="0" xr:uid="{00000000-0006-0000-0300-00000F000000}">
      <text>
        <r>
          <rPr>
            <b/>
            <sz val="9"/>
            <color indexed="81"/>
            <rFont val="Tahoma"/>
            <family val="2"/>
          </rPr>
          <t>11/23-12/28 OPD: AD</t>
        </r>
        <r>
          <rPr>
            <sz val="9"/>
            <color indexed="81"/>
            <rFont val="Tahoma"/>
            <family val="2"/>
          </rPr>
          <t xml:space="preserve">
</t>
        </r>
      </text>
    </comment>
    <comment ref="A149" authorId="0" shapeId="0" xr:uid="{00000000-0006-0000-0300-000010000000}">
      <text>
        <r>
          <rPr>
            <b/>
            <sz val="9"/>
            <color indexed="81"/>
            <rFont val="Tahoma"/>
            <family val="2"/>
          </rPr>
          <t>AD</t>
        </r>
        <r>
          <rPr>
            <b/>
            <sz val="9"/>
            <color indexed="81"/>
            <rFont val="細明體"/>
            <family val="3"/>
            <charset val="136"/>
          </rPr>
          <t>未關，</t>
        </r>
        <r>
          <rPr>
            <b/>
            <sz val="9"/>
            <color indexed="81"/>
            <rFont val="Tahoma"/>
            <family val="2"/>
          </rPr>
          <t>F/U</t>
        </r>
      </text>
    </comment>
    <comment ref="A177" authorId="0" shapeId="0" xr:uid="{00000000-0006-0000-0300-000011000000}">
      <text>
        <r>
          <rPr>
            <b/>
            <sz val="9"/>
            <color indexed="81"/>
            <rFont val="Tahoma"/>
            <family val="2"/>
          </rPr>
          <t>1. brain F/U
2. 3/15 OPD: skin AD</t>
        </r>
      </text>
    </comment>
    <comment ref="A178" authorId="0" shapeId="0" xr:uid="{00000000-0006-0000-0300-000012000000}">
      <text>
        <r>
          <rPr>
            <b/>
            <sz val="9"/>
            <color indexed="81"/>
            <rFont val="Tahoma"/>
            <family val="2"/>
          </rPr>
          <t>1/27 OPD: irritant contact dermatitis due to other agents</t>
        </r>
      </text>
    </comment>
    <comment ref="A183" authorId="0" shapeId="0" xr:uid="{00000000-0006-0000-0300-000013000000}">
      <text>
        <r>
          <rPr>
            <b/>
            <sz val="9"/>
            <color indexed="81"/>
            <rFont val="Tahoma"/>
            <family val="2"/>
          </rPr>
          <t>1. Other respiratory distress of newborn
2. Dermatitis</t>
        </r>
      </text>
    </comment>
    <comment ref="A186" authorId="0" shapeId="0" xr:uid="{00000000-0006-0000-0300-000014000000}">
      <text>
        <r>
          <rPr>
            <b/>
            <sz val="9"/>
            <color indexed="81"/>
            <rFont val="Tahoma"/>
            <family val="2"/>
          </rPr>
          <t>2/19 OPD: intrinsic (allergic) eczema</t>
        </r>
        <r>
          <rPr>
            <sz val="9"/>
            <color indexed="81"/>
            <rFont val="Tahoma"/>
            <family val="2"/>
          </rPr>
          <t xml:space="preserve">
</t>
        </r>
      </text>
    </comment>
    <comment ref="A190" authorId="0" shapeId="0" xr:uid="{00000000-0006-0000-0300-000015000000}">
      <text>
        <r>
          <rPr>
            <b/>
            <sz val="9"/>
            <color indexed="81"/>
            <rFont val="Tahoma"/>
            <family val="2"/>
          </rPr>
          <t>3/21 OPD: AR</t>
        </r>
        <r>
          <rPr>
            <sz val="9"/>
            <color indexed="81"/>
            <rFont val="Tahoma"/>
            <family val="2"/>
          </rPr>
          <t xml:space="preserve">
</t>
        </r>
      </text>
    </comment>
    <comment ref="A197" authorId="0" shapeId="0" xr:uid="{00000000-0006-0000-0300-000016000000}">
      <text>
        <r>
          <rPr>
            <b/>
            <sz val="9"/>
            <color indexed="81"/>
            <rFont val="Tahoma"/>
            <family val="2"/>
          </rPr>
          <t>3/22 OPD:
1. AD
2. AR</t>
        </r>
        <r>
          <rPr>
            <sz val="9"/>
            <color indexed="81"/>
            <rFont val="Tahoma"/>
            <family val="2"/>
          </rPr>
          <t xml:space="preserve">
</t>
        </r>
      </text>
    </comment>
    <comment ref="A203" authorId="0" shapeId="0" xr:uid="{00000000-0006-0000-0300-000017000000}">
      <text>
        <r>
          <rPr>
            <b/>
            <sz val="9"/>
            <color indexed="81"/>
            <rFont val="細明體"/>
            <family val="3"/>
            <charset val="136"/>
          </rPr>
          <t>骨科</t>
        </r>
        <r>
          <rPr>
            <b/>
            <sz val="9"/>
            <color indexed="81"/>
            <rFont val="Calibri"/>
            <family val="2"/>
          </rPr>
          <t xml:space="preserve">:
1. Other Specified Congenutal Deformities of Feet
2. Congenital Deformity of Finger(s) and Hand
3. Cephalhematoma due to Birth Injury
4. Other Specified Infections Specific to the Perinatal Period
5. Congenital Myopathies
</t>
        </r>
        <r>
          <rPr>
            <b/>
            <sz val="9"/>
            <color indexed="81"/>
            <rFont val="細明體"/>
            <family val="3"/>
            <charset val="136"/>
          </rPr>
          <t xml:space="preserve">復健科
</t>
        </r>
        <r>
          <rPr>
            <b/>
            <sz val="9"/>
            <color indexed="81"/>
            <rFont val="Calibri"/>
            <family val="2"/>
          </rPr>
          <t>1. Other Disorders of Psychological Developmean
2. Specific Developmental Disorder of Motor Function</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asus</author>
    <author>Microsoft Office User</author>
    <author>郭捷妮</author>
    <author>王佳容</author>
  </authors>
  <commentList>
    <comment ref="A2" authorId="0" shapeId="0" xr:uid="{00000000-0006-0000-0400-000001000000}">
      <text>
        <r>
          <rPr>
            <sz val="12"/>
            <color rgb="FF000000"/>
            <rFont val="新細明體"/>
            <family val="1"/>
            <charset val="136"/>
          </rPr>
          <t>不抽血</t>
        </r>
      </text>
    </comment>
    <comment ref="A3" authorId="0" shapeId="0" xr:uid="{00000000-0006-0000-04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400-000003000000}">
      <text>
        <r>
          <rPr>
            <b/>
            <sz val="9"/>
            <color indexed="81"/>
            <rFont val="Tahoma"/>
            <family val="2"/>
          </rPr>
          <t>1. AD (since 3 m/o)
2. AR</t>
        </r>
      </text>
    </comment>
    <comment ref="A14" authorId="0" shapeId="0" xr:uid="{00000000-0006-0000-0400-000004000000}">
      <text>
        <r>
          <rPr>
            <b/>
            <sz val="9"/>
            <color rgb="FF000000"/>
            <rFont val="細明體"/>
            <family val="1"/>
            <charset val="136"/>
          </rPr>
          <t>不抽血</t>
        </r>
        <r>
          <rPr>
            <b/>
            <sz val="9"/>
            <color rgb="FF000000"/>
            <rFont val="細明體"/>
            <family val="1"/>
            <charset val="136"/>
          </rPr>
          <t xml:space="preserve">
</t>
        </r>
        <r>
          <rPr>
            <b/>
            <sz val="9"/>
            <color rgb="FF000000"/>
            <rFont val="細明體"/>
            <family val="1"/>
            <charset val="136"/>
          </rPr>
          <t>1. 12/16-10/13 OPD: AD</t>
        </r>
      </text>
    </comment>
    <comment ref="A17" authorId="0" shapeId="0" xr:uid="{00000000-0006-0000-0400-000005000000}">
      <text>
        <r>
          <rPr>
            <sz val="12"/>
            <color rgb="FF808080"/>
            <rFont val="Times New Roman"/>
            <family val="1"/>
          </rPr>
          <t>1. Failure to thrive in newborn</t>
        </r>
      </text>
    </comment>
    <comment ref="A25" authorId="0" shapeId="0" xr:uid="{00000000-0006-0000-0400-000006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BB25" authorId="1" shapeId="0" xr:uid="{00000000-0006-0000-0400-000007000000}">
      <text>
        <r>
          <rPr>
            <b/>
            <sz val="10"/>
            <color rgb="FF000000"/>
            <rFont val="Microsoft JhengHei UI"/>
            <family val="2"/>
            <charset val="136"/>
          </rPr>
          <t>2023/03/26</t>
        </r>
        <r>
          <rPr>
            <b/>
            <sz val="10"/>
            <color rgb="FF000000"/>
            <rFont val="Microsoft JhengHei UI"/>
            <family val="2"/>
            <charset val="136"/>
          </rPr>
          <t>收集後常溫至</t>
        </r>
        <r>
          <rPr>
            <b/>
            <sz val="10"/>
            <color rgb="FF000000"/>
            <rFont val="Microsoft JhengHei UI"/>
            <family val="2"/>
            <charset val="136"/>
          </rPr>
          <t>2023/03/27</t>
        </r>
        <r>
          <rPr>
            <b/>
            <sz val="10"/>
            <color rgb="FF000000"/>
            <rFont val="Microsoft JhengHei UI"/>
            <family val="2"/>
            <charset val="136"/>
          </rPr>
          <t>才冰冷凍</t>
        </r>
      </text>
    </comment>
    <comment ref="A31" authorId="0" shapeId="0" xr:uid="{00000000-0006-0000-0400-000008000000}">
      <text>
        <r>
          <rPr>
            <b/>
            <sz val="9"/>
            <color indexed="81"/>
            <rFont val="Tahoma"/>
            <family val="2"/>
          </rPr>
          <t>2/23-3/25 OPD: AD</t>
        </r>
      </text>
    </comment>
    <comment ref="A32" authorId="0" shapeId="0" xr:uid="{00000000-0006-0000-0400-000009000000}">
      <text>
        <r>
          <rPr>
            <b/>
            <sz val="9"/>
            <color rgb="FF000000"/>
            <rFont val="Tahoma"/>
            <family val="2"/>
          </rPr>
          <t>3/3 OPD: irritant contact dermatitis due to other agents</t>
        </r>
        <r>
          <rPr>
            <sz val="9"/>
            <color rgb="FF000000"/>
            <rFont val="Tahoma"/>
            <family val="2"/>
          </rPr>
          <t xml:space="preserve">
</t>
        </r>
      </text>
    </comment>
    <comment ref="AS36" authorId="0" shapeId="0" xr:uid="{00000000-0006-0000-0400-00000A000000}">
      <text>
        <r>
          <rPr>
            <b/>
            <sz val="9"/>
            <color rgb="FF000000"/>
            <rFont val="細明體"/>
            <family val="1"/>
            <charset val="136"/>
          </rPr>
          <t>中午採、放室溫，</t>
        </r>
        <r>
          <rPr>
            <b/>
            <sz val="9"/>
            <color rgb="FF000000"/>
            <rFont val="細明體"/>
            <family val="1"/>
            <charset val="136"/>
          </rPr>
          <t>16:30</t>
        </r>
        <r>
          <rPr>
            <b/>
            <sz val="9"/>
            <color rgb="FF000000"/>
            <rFont val="細明體"/>
            <family val="1"/>
            <charset val="136"/>
          </rPr>
          <t>交</t>
        </r>
      </text>
    </comment>
    <comment ref="AX36" authorId="0" shapeId="0" xr:uid="{00000000-0006-0000-0400-00000B000000}">
      <text>
        <r>
          <rPr>
            <b/>
            <sz val="9"/>
            <color indexed="81"/>
            <rFont val="細明體"/>
            <family val="3"/>
            <charset val="136"/>
          </rPr>
          <t>中午採、放室溫，16:30交</t>
        </r>
      </text>
    </comment>
    <comment ref="BC46" authorId="1" shapeId="0" xr:uid="{00000000-0006-0000-0400-00000C000000}">
      <text>
        <r>
          <rPr>
            <b/>
            <sz val="10"/>
            <color rgb="FF000000"/>
            <rFont val="Microsoft JhengHei UI"/>
            <family val="2"/>
            <charset val="1"/>
          </rPr>
          <t>一半而已</t>
        </r>
        <r>
          <rPr>
            <b/>
            <sz val="10"/>
            <color rgb="FF000000"/>
            <rFont val="Microsoft JhengHei UI"/>
            <family val="2"/>
            <charset val="1"/>
          </rPr>
          <t xml:space="preserve"> 1/2</t>
        </r>
      </text>
    </comment>
    <comment ref="K49" authorId="0" shapeId="0" xr:uid="{00000000-0006-0000-0400-00000D000000}">
      <text>
        <r>
          <rPr>
            <b/>
            <sz val="9"/>
            <color rgb="FF000000"/>
            <rFont val="細明體"/>
            <family val="1"/>
            <charset val="136"/>
          </rPr>
          <t>抽血失敗，僅留到</t>
        </r>
        <r>
          <rPr>
            <b/>
            <sz val="9"/>
            <color rgb="FF000000"/>
            <rFont val="細明體"/>
            <family val="1"/>
            <charset val="136"/>
          </rPr>
          <t>SST</t>
        </r>
        <r>
          <rPr>
            <b/>
            <sz val="9"/>
            <color rgb="FF000000"/>
            <rFont val="細明體"/>
            <family val="1"/>
            <charset val="136"/>
          </rPr>
          <t>管</t>
        </r>
      </text>
    </comment>
    <comment ref="BG52" authorId="1" shapeId="0" xr:uid="{00000000-0006-0000-0400-00000E000000}">
      <text>
        <r>
          <rPr>
            <sz val="10"/>
            <color rgb="FF000000"/>
            <rFont val="Microsoft JhengHei UI"/>
            <family val="2"/>
            <charset val="136"/>
          </rPr>
          <t>住院醫師</t>
        </r>
        <r>
          <rPr>
            <sz val="10"/>
            <color rgb="FF000000"/>
            <rFont val="Microsoft JhengHei UI"/>
            <family val="2"/>
            <charset val="136"/>
          </rPr>
          <t xml:space="preserve"> </t>
        </r>
        <r>
          <rPr>
            <sz val="10"/>
            <color rgb="FF000000"/>
            <rFont val="Microsoft JhengHei UI"/>
            <family val="2"/>
            <charset val="136"/>
          </rPr>
          <t>馬于婷</t>
        </r>
        <r>
          <rPr>
            <sz val="10"/>
            <color rgb="FF000000"/>
            <rFont val="Microsoft JhengHei UI"/>
            <family val="2"/>
            <charset val="136"/>
          </rPr>
          <t xml:space="preserve">
</t>
        </r>
        <r>
          <rPr>
            <sz val="10"/>
            <color rgb="FF000000"/>
            <rFont val="Microsoft JhengHei UI"/>
            <family val="2"/>
            <charset val="136"/>
          </rPr>
          <t>沒戳到紅線</t>
        </r>
      </text>
    </comment>
    <comment ref="BC68" authorId="1" shapeId="0" xr:uid="{00000000-0006-0000-0400-00000F000000}">
      <text>
        <r>
          <rPr>
            <b/>
            <sz val="10"/>
            <color rgb="FF000000"/>
            <rFont val="Microsoft JhengHei UI"/>
            <family val="2"/>
            <charset val="136"/>
          </rPr>
          <t>未到紅線</t>
        </r>
      </text>
    </comment>
    <comment ref="AS72" authorId="1" shapeId="0" xr:uid="{00000000-0006-0000-0400-000010000000}">
      <text>
        <r>
          <rPr>
            <b/>
            <sz val="10"/>
            <color rgb="FF000000"/>
            <rFont val="Microsoft JhengHei UI"/>
            <family val="2"/>
            <charset val="136"/>
          </rPr>
          <t>醫院常溫便，存放</t>
        </r>
        <r>
          <rPr>
            <b/>
            <sz val="10"/>
            <color rgb="FF000000"/>
            <rFont val="Microsoft JhengHei UI"/>
            <family val="2"/>
            <charset val="136"/>
          </rPr>
          <t>11</t>
        </r>
        <r>
          <rPr>
            <b/>
            <sz val="10"/>
            <color rgb="FF000000"/>
            <rFont val="Microsoft JhengHei UI"/>
            <family val="2"/>
            <charset val="136"/>
          </rPr>
          <t>小時</t>
        </r>
      </text>
    </comment>
    <comment ref="AS77" authorId="0" shapeId="0" xr:uid="{00000000-0006-0000-0400-000011000000}">
      <text>
        <r>
          <rPr>
            <b/>
            <sz val="9"/>
            <color indexed="81"/>
            <rFont val="細明體"/>
            <family val="3"/>
            <charset val="136"/>
          </rPr>
          <t>多</t>
        </r>
      </text>
    </comment>
    <comment ref="AX77" authorId="0" shapeId="0" xr:uid="{00000000-0006-0000-0400-000012000000}">
      <text>
        <r>
          <rPr>
            <b/>
            <sz val="9"/>
            <color indexed="81"/>
            <rFont val="細明體"/>
            <family val="3"/>
            <charset val="136"/>
          </rPr>
          <t>少</t>
        </r>
      </text>
    </comment>
    <comment ref="BC80" authorId="1" shapeId="0" xr:uid="{00000000-0006-0000-0400-000013000000}">
      <text>
        <r>
          <rPr>
            <sz val="10"/>
            <color rgb="FF000000"/>
            <rFont val="Microsoft JhengHei UI"/>
            <family val="2"/>
            <charset val="136"/>
          </rPr>
          <t>未到紅線</t>
        </r>
      </text>
    </comment>
    <comment ref="BG92" authorId="1" shapeId="0" xr:uid="{00000000-0006-0000-0400-000014000000}">
      <text>
        <r>
          <rPr>
            <sz val="10"/>
            <color rgb="FF000000"/>
            <rFont val="Microsoft JhengHei UI"/>
            <family val="2"/>
            <charset val="136"/>
          </rPr>
          <t>約</t>
        </r>
        <r>
          <rPr>
            <sz val="10"/>
            <color rgb="FF000000"/>
            <rFont val="Microsoft JhengHei UI"/>
            <family val="2"/>
            <charset val="136"/>
          </rPr>
          <t>1/2</t>
        </r>
        <r>
          <rPr>
            <sz val="10"/>
            <color rgb="FF000000"/>
            <rFont val="Microsoft JhengHei UI"/>
            <family val="2"/>
            <charset val="136"/>
          </rPr>
          <t>處</t>
        </r>
      </text>
    </comment>
    <comment ref="BC93" authorId="1" shapeId="0" xr:uid="{00000000-0006-0000-0400-000015000000}">
      <text>
        <r>
          <rPr>
            <b/>
            <sz val="10"/>
            <color rgb="FF000000"/>
            <rFont val="Microsoft JhengHei UI"/>
            <family val="2"/>
            <charset val="136"/>
          </rPr>
          <t>插入</t>
        </r>
        <r>
          <rPr>
            <b/>
            <sz val="10"/>
            <color rgb="FF000000"/>
            <rFont val="Microsoft JhengHei UI"/>
            <family val="2"/>
            <charset val="136"/>
          </rPr>
          <t>1/2</t>
        </r>
        <r>
          <rPr>
            <b/>
            <sz val="10"/>
            <color rgb="FF000000"/>
            <rFont val="Microsoft JhengHei UI"/>
            <family val="2"/>
            <charset val="136"/>
          </rPr>
          <t>處</t>
        </r>
      </text>
    </comment>
    <comment ref="BG97" authorId="1" shapeId="0" xr:uid="{00000000-0006-0000-0400-000016000000}">
      <text>
        <r>
          <rPr>
            <sz val="10"/>
            <color rgb="FF000000"/>
            <rFont val="Microsoft JhengHei UI"/>
            <family val="2"/>
            <charset val="136"/>
          </rPr>
          <t>沒有到紅色的位置</t>
        </r>
        <r>
          <rPr>
            <sz val="10"/>
            <color rgb="FF000000"/>
            <rFont val="Microsoft JhengHei UI"/>
            <family val="2"/>
            <charset val="136"/>
          </rPr>
          <t xml:space="preserve"> </t>
        </r>
        <r>
          <rPr>
            <sz val="10"/>
            <color rgb="FF000000"/>
            <rFont val="Microsoft JhengHei UI"/>
            <family val="2"/>
            <charset val="136"/>
          </rPr>
          <t>兩邊</t>
        </r>
      </text>
    </comment>
    <comment ref="F99" authorId="0" shapeId="0" xr:uid="{00000000-0006-0000-0400-000017000000}">
      <text>
        <r>
          <rPr>
            <sz val="9"/>
            <color indexed="81"/>
            <rFont val="細明體"/>
            <family val="3"/>
            <charset val="136"/>
          </rPr>
          <t>手冊寫32+2</t>
        </r>
        <r>
          <rPr>
            <sz val="9"/>
            <color indexed="81"/>
            <rFont val="Tahoma"/>
            <family val="2"/>
          </rPr>
          <t xml:space="preserve">
</t>
        </r>
      </text>
    </comment>
    <comment ref="G99" authorId="0" shapeId="0" xr:uid="{00000000-0006-0000-0400-000018000000}">
      <text>
        <r>
          <rPr>
            <sz val="9"/>
            <color indexed="81"/>
            <rFont val="細明體"/>
            <family val="3"/>
            <charset val="136"/>
          </rPr>
          <t>手冊寫32+2</t>
        </r>
        <r>
          <rPr>
            <sz val="9"/>
            <color indexed="81"/>
            <rFont val="Tahoma"/>
            <family val="2"/>
          </rPr>
          <t xml:space="preserve">
</t>
        </r>
      </text>
    </comment>
    <comment ref="AS102" authorId="1" shapeId="0" xr:uid="{00000000-0006-0000-0400-000019000000}">
      <text>
        <r>
          <rPr>
            <b/>
            <sz val="10"/>
            <color rgb="FF000000"/>
            <rFont val="Microsoft JhengHei UI"/>
            <family val="2"/>
            <charset val="136"/>
          </rPr>
          <t>很少</t>
        </r>
      </text>
    </comment>
    <comment ref="AX102" authorId="1" shapeId="0" xr:uid="{00000000-0006-0000-0400-00001A000000}">
      <text>
        <r>
          <rPr>
            <b/>
            <sz val="10"/>
            <color rgb="FF000000"/>
            <rFont val="Microsoft JhengHei UI"/>
            <family val="2"/>
            <charset val="136"/>
          </rPr>
          <t>很少</t>
        </r>
      </text>
    </comment>
    <comment ref="BC106" authorId="1" shapeId="0" xr:uid="{00000000-0006-0000-0400-00001B000000}">
      <text>
        <r>
          <rPr>
            <b/>
            <sz val="10"/>
            <color rgb="FF000000"/>
            <rFont val="Microsoft JhengHei UI"/>
            <family val="2"/>
            <charset val="136"/>
          </rPr>
          <t>未到紅線</t>
        </r>
        <r>
          <rPr>
            <b/>
            <sz val="10"/>
            <color rgb="FF000000"/>
            <rFont val="Microsoft JhengHei UI"/>
            <family val="2"/>
            <charset val="136"/>
          </rPr>
          <t>1/2</t>
        </r>
        <r>
          <rPr>
            <sz val="10"/>
            <color rgb="FF000000"/>
            <rFont val="Microsoft JhengHei UI"/>
            <family val="2"/>
            <charset val="136"/>
          </rPr>
          <t xml:space="preserve">
</t>
        </r>
      </text>
    </comment>
    <comment ref="BC107" authorId="1" shapeId="0" xr:uid="{00000000-0006-0000-0400-00001C000000}">
      <text>
        <r>
          <rPr>
            <b/>
            <sz val="10"/>
            <color rgb="FF000000"/>
            <rFont val="Microsoft JhengHei UI"/>
            <family val="2"/>
            <charset val="136"/>
          </rPr>
          <t>未到紅線</t>
        </r>
        <r>
          <rPr>
            <b/>
            <sz val="10"/>
            <color rgb="FF000000"/>
            <rFont val="Microsoft JhengHei UI"/>
            <family val="2"/>
            <charset val="136"/>
          </rPr>
          <t>1/2</t>
        </r>
      </text>
    </comment>
    <comment ref="A108" authorId="0" shapeId="0" xr:uid="{00000000-0006-0000-0400-00001D000000}">
      <text>
        <r>
          <rPr>
            <b/>
            <sz val="9"/>
            <color indexed="81"/>
            <rFont val="Tahoma"/>
            <family val="2"/>
          </rPr>
          <t>11/16-11/30 OPD:
1. AD
2. AR</t>
        </r>
        <r>
          <rPr>
            <sz val="9"/>
            <color indexed="81"/>
            <rFont val="Tahoma"/>
            <family val="2"/>
          </rPr>
          <t xml:space="preserve">
</t>
        </r>
      </text>
    </comment>
    <comment ref="BC110" authorId="1" shapeId="0" xr:uid="{00000000-0006-0000-0400-00001E000000}">
      <text>
        <r>
          <rPr>
            <b/>
            <sz val="10"/>
            <color rgb="FF000000"/>
            <rFont val="Microsoft JhengHei UI"/>
            <family val="2"/>
            <charset val="136"/>
          </rPr>
          <t>2/3</t>
        </r>
        <r>
          <rPr>
            <sz val="10"/>
            <color rgb="FF000000"/>
            <rFont val="Microsoft JhengHei UI"/>
            <family val="2"/>
            <charset val="136"/>
          </rPr>
          <t xml:space="preserve">
</t>
        </r>
      </text>
    </comment>
    <comment ref="A113" authorId="0" shapeId="0" xr:uid="{00000000-0006-0000-0400-00001F000000}">
      <text>
        <r>
          <rPr>
            <sz val="9"/>
            <color indexed="81"/>
            <rFont val="細明體"/>
            <family val="3"/>
            <charset val="136"/>
          </rPr>
          <t xml:space="preserve">媽媽說小孩有嚴重黑眼圈，醫師建議加入計畫測過敏指數
</t>
        </r>
        <r>
          <rPr>
            <sz val="9"/>
            <color indexed="81"/>
            <rFont val="Tahoma"/>
            <family val="2"/>
          </rPr>
          <t xml:space="preserve">
</t>
        </r>
      </text>
    </comment>
    <comment ref="AO121" authorId="1" shapeId="0" xr:uid="{00000000-0006-0000-0400-000020000000}">
      <text>
        <r>
          <rPr>
            <b/>
            <sz val="10"/>
            <color rgb="FF000000"/>
            <rFont val="Microsoft JhengHei UI"/>
            <family val="2"/>
            <charset val="136"/>
          </rPr>
          <t>2 ml</t>
        </r>
      </text>
    </comment>
    <comment ref="A125" authorId="0" shapeId="0" xr:uid="{00000000-0006-0000-0400-000021000000}">
      <text>
        <r>
          <rPr>
            <b/>
            <sz val="9"/>
            <color rgb="FF000000"/>
            <rFont val="Tahoma"/>
            <family val="2"/>
          </rPr>
          <t>11/2 OPD: AD</t>
        </r>
        <r>
          <rPr>
            <sz val="9"/>
            <color rgb="FF000000"/>
            <rFont val="Tahoma"/>
            <family val="2"/>
          </rPr>
          <t xml:space="preserve">
</t>
        </r>
      </text>
    </comment>
    <comment ref="BG127" authorId="1" shapeId="0" xr:uid="{00000000-0006-0000-0400-000022000000}">
      <text>
        <r>
          <rPr>
            <sz val="10"/>
            <color rgb="FF000000"/>
            <rFont val="Microsoft JhengHei UI"/>
            <family val="2"/>
            <charset val="136"/>
          </rPr>
          <t>1/2</t>
        </r>
      </text>
    </comment>
    <comment ref="A132" authorId="0" shapeId="0" xr:uid="{00000000-0006-0000-0400-000023000000}">
      <text>
        <r>
          <rPr>
            <b/>
            <sz val="9"/>
            <color rgb="FF000000"/>
            <rFont val="Tahoma"/>
            <family val="2"/>
          </rPr>
          <t>11/18-12/13 OPD: AD</t>
        </r>
      </text>
    </comment>
    <comment ref="A134" authorId="0" shapeId="0" xr:uid="{00000000-0006-0000-0400-000024000000}">
      <text>
        <r>
          <rPr>
            <b/>
            <sz val="9"/>
            <color rgb="FF000000"/>
            <rFont val="Tahoma"/>
            <family val="2"/>
          </rPr>
          <t xml:space="preserve">11/17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BC134" authorId="1" shapeId="0" xr:uid="{00000000-0006-0000-0400-000025000000}">
      <text>
        <r>
          <rPr>
            <b/>
            <sz val="10"/>
            <color rgb="FF000000"/>
            <rFont val="Microsoft JhengHei UI"/>
            <family val="2"/>
            <charset val="136"/>
          </rPr>
          <t xml:space="preserve">1/2
</t>
        </r>
      </text>
    </comment>
    <comment ref="BC135" authorId="1" shapeId="0" xr:uid="{00000000-0006-0000-0400-000026000000}">
      <text>
        <r>
          <rPr>
            <sz val="10"/>
            <color rgb="FF000000"/>
            <rFont val="Microsoft JhengHei UI"/>
            <family val="2"/>
            <charset val="136"/>
          </rPr>
          <t>未到紅線，</t>
        </r>
        <r>
          <rPr>
            <sz val="10"/>
            <color rgb="FF000000"/>
            <rFont val="Microsoft JhengHei UI"/>
            <family val="2"/>
            <charset val="136"/>
          </rPr>
          <t>1/2</t>
        </r>
        <r>
          <rPr>
            <sz val="10"/>
            <color rgb="FF000000"/>
            <rFont val="Microsoft JhengHei UI"/>
            <family val="2"/>
            <charset val="136"/>
          </rPr>
          <t>處</t>
        </r>
      </text>
    </comment>
    <comment ref="A137" authorId="0" shapeId="0" xr:uid="{00000000-0006-0000-0400-000027000000}">
      <text>
        <r>
          <rPr>
            <b/>
            <sz val="9"/>
            <color rgb="FF000000"/>
            <rFont val="Tahoma"/>
            <family val="2"/>
          </rPr>
          <t>11/16 - NOW: AD</t>
        </r>
      </text>
    </comment>
    <comment ref="A142" authorId="0" shapeId="0" xr:uid="{00000000-0006-0000-0400-000028000000}">
      <text>
        <r>
          <rPr>
            <b/>
            <sz val="9"/>
            <color rgb="FF000000"/>
            <rFont val="Tahoma"/>
            <family val="2"/>
          </rPr>
          <t>11/23-12/28 OPD: AD</t>
        </r>
        <r>
          <rPr>
            <sz val="9"/>
            <color rgb="FF000000"/>
            <rFont val="Tahoma"/>
            <family val="2"/>
          </rPr>
          <t xml:space="preserve">
</t>
        </r>
      </text>
    </comment>
    <comment ref="BC142" authorId="1" shapeId="0" xr:uid="{00000000-0006-0000-0400-000029000000}">
      <text>
        <r>
          <rPr>
            <b/>
            <sz val="10"/>
            <color rgb="FF000000"/>
            <rFont val="Microsoft JhengHei UI"/>
            <family val="2"/>
            <charset val="136"/>
          </rPr>
          <t>插入</t>
        </r>
        <r>
          <rPr>
            <b/>
            <sz val="10"/>
            <color rgb="FF000000"/>
            <rFont val="Microsoft JhengHei UI"/>
            <family val="2"/>
            <charset val="136"/>
          </rPr>
          <t>1/2</t>
        </r>
      </text>
    </comment>
    <comment ref="A149" authorId="0" shapeId="0" xr:uid="{00000000-0006-0000-0400-00002A000000}">
      <text>
        <r>
          <rPr>
            <b/>
            <sz val="9"/>
            <color indexed="81"/>
            <rFont val="Tahoma"/>
            <family val="2"/>
          </rPr>
          <t>AD</t>
        </r>
        <r>
          <rPr>
            <b/>
            <sz val="9"/>
            <color indexed="81"/>
            <rFont val="細明體"/>
            <family val="3"/>
            <charset val="136"/>
          </rPr>
          <t>未關，</t>
        </r>
        <r>
          <rPr>
            <b/>
            <sz val="9"/>
            <color indexed="81"/>
            <rFont val="Tahoma"/>
            <family val="2"/>
          </rPr>
          <t>F/U</t>
        </r>
      </text>
    </comment>
    <comment ref="AH154" authorId="0" shapeId="0" xr:uid="{00000000-0006-0000-0400-00002B000000}">
      <text>
        <r>
          <rPr>
            <b/>
            <sz val="9"/>
            <color rgb="FF000000"/>
            <rFont val="Tahoma"/>
            <family val="2"/>
          </rPr>
          <t>12/23</t>
        </r>
        <r>
          <rPr>
            <b/>
            <sz val="9"/>
            <color rgb="FF000000"/>
            <rFont val="細明體"/>
            <family val="1"/>
            <charset val="136"/>
          </rPr>
          <t>晚上貼尿袋，</t>
        </r>
        <r>
          <rPr>
            <b/>
            <sz val="9"/>
            <color rgb="FF000000"/>
            <rFont val="Tahoma"/>
            <family val="2"/>
          </rPr>
          <t>12/24</t>
        </r>
        <r>
          <rPr>
            <b/>
            <sz val="9"/>
            <color rgb="FF000000"/>
            <rFont val="細明體"/>
            <family val="1"/>
            <charset val="136"/>
          </rPr>
          <t>交</t>
        </r>
      </text>
    </comment>
    <comment ref="AS154" authorId="0" shapeId="0" xr:uid="{00000000-0006-0000-0400-00002C000000}">
      <text>
        <r>
          <rPr>
            <b/>
            <sz val="9"/>
            <color rgb="FF000000"/>
            <rFont val="細明體"/>
            <family val="1"/>
            <charset val="136"/>
          </rPr>
          <t>另有</t>
        </r>
        <r>
          <rPr>
            <b/>
            <sz val="9"/>
            <color rgb="FF000000"/>
            <rFont val="細明體"/>
            <family val="1"/>
            <charset val="136"/>
          </rPr>
          <t xml:space="preserve">2021/12/22 stool*2 </t>
        </r>
        <r>
          <rPr>
            <b/>
            <sz val="9"/>
            <color rgb="FF000000"/>
            <rFont val="細明體"/>
            <family val="1"/>
            <charset val="136"/>
          </rPr>
          <t>都只有一匙，</t>
        </r>
        <r>
          <rPr>
            <b/>
            <sz val="9"/>
            <color rgb="FF000000"/>
            <rFont val="細明體"/>
            <family val="1"/>
            <charset val="136"/>
          </rPr>
          <t>2Y5M28D</t>
        </r>
        <r>
          <rPr>
            <b/>
            <sz val="9"/>
            <color rgb="FF000000"/>
            <rFont val="細明體"/>
            <family val="1"/>
            <charset val="136"/>
          </rPr>
          <t>，矯齡</t>
        </r>
        <r>
          <rPr>
            <b/>
            <sz val="9"/>
            <color rgb="FF000000"/>
            <rFont val="細明體"/>
            <family val="1"/>
            <charset val="136"/>
          </rPr>
          <t>2Y2M14D</t>
        </r>
        <r>
          <rPr>
            <b/>
            <sz val="9"/>
            <color rgb="FF000000"/>
            <rFont val="細明體"/>
            <family val="1"/>
            <charset val="136"/>
          </rPr>
          <t>。</t>
        </r>
      </text>
    </comment>
    <comment ref="AX154" authorId="0" shapeId="0" xr:uid="{00000000-0006-0000-0400-00002D000000}">
      <text>
        <r>
          <rPr>
            <b/>
            <sz val="9"/>
            <color rgb="FF000000"/>
            <rFont val="細明體"/>
            <family val="1"/>
            <charset val="136"/>
          </rPr>
          <t>另有</t>
        </r>
        <r>
          <rPr>
            <b/>
            <sz val="9"/>
            <color rgb="FF000000"/>
            <rFont val="細明體"/>
            <family val="1"/>
            <charset val="136"/>
          </rPr>
          <t xml:space="preserve">2021/12/22 stool*2 </t>
        </r>
        <r>
          <rPr>
            <b/>
            <sz val="9"/>
            <color rgb="FF000000"/>
            <rFont val="細明體"/>
            <family val="1"/>
            <charset val="136"/>
          </rPr>
          <t>都只有一匙，</t>
        </r>
        <r>
          <rPr>
            <b/>
            <sz val="9"/>
            <color rgb="FF000000"/>
            <rFont val="細明體"/>
            <family val="1"/>
            <charset val="136"/>
          </rPr>
          <t>2Y5M28D</t>
        </r>
        <r>
          <rPr>
            <b/>
            <sz val="9"/>
            <color rgb="FF000000"/>
            <rFont val="細明體"/>
            <family val="1"/>
            <charset val="136"/>
          </rPr>
          <t>，矯齡</t>
        </r>
        <r>
          <rPr>
            <b/>
            <sz val="9"/>
            <color rgb="FF000000"/>
            <rFont val="細明體"/>
            <family val="1"/>
            <charset val="136"/>
          </rPr>
          <t>2Y2M14D</t>
        </r>
        <r>
          <rPr>
            <b/>
            <sz val="9"/>
            <color rgb="FF000000"/>
            <rFont val="細明體"/>
            <family val="1"/>
            <charset val="136"/>
          </rPr>
          <t>。</t>
        </r>
      </text>
    </comment>
    <comment ref="BC168" authorId="1" shapeId="0" xr:uid="{00000000-0006-0000-0400-00002E000000}">
      <text>
        <r>
          <rPr>
            <b/>
            <sz val="10"/>
            <color rgb="FF000000"/>
            <rFont val="Microsoft JhengHei UI"/>
            <family val="34"/>
            <charset val="136"/>
          </rPr>
          <t>斷掉</t>
        </r>
        <r>
          <rPr>
            <b/>
            <sz val="10"/>
            <color rgb="FF000000"/>
            <rFont val="Microsoft JhengHei UI"/>
            <family val="34"/>
            <charset val="136"/>
          </rPr>
          <t xml:space="preserve"> </t>
        </r>
        <r>
          <rPr>
            <b/>
            <sz val="10"/>
            <color rgb="FF000000"/>
            <rFont val="Microsoft JhengHei UI"/>
            <family val="34"/>
            <charset val="136"/>
          </rPr>
          <t>何醫師折斷</t>
        </r>
      </text>
    </comment>
    <comment ref="A177" authorId="0" shapeId="0" xr:uid="{00000000-0006-0000-0400-00002F000000}">
      <text>
        <r>
          <rPr>
            <b/>
            <sz val="9"/>
            <color indexed="81"/>
            <rFont val="Tahoma"/>
            <family val="2"/>
          </rPr>
          <t>1. brain F/U
2. 3/15 OPD: skin AD</t>
        </r>
      </text>
    </comment>
    <comment ref="BC177" authorId="2" shapeId="0" xr:uid="{00000000-0006-0000-0400-000030000000}">
      <text>
        <r>
          <rPr>
            <b/>
            <sz val="10"/>
            <color rgb="FF000000"/>
            <rFont val="Microsoft JhengHei UI"/>
            <family val="2"/>
            <charset val="136"/>
          </rPr>
          <t>1/2</t>
        </r>
      </text>
    </comment>
    <comment ref="A178" authorId="0" shapeId="0" xr:uid="{00000000-0006-0000-0400-000031000000}">
      <text>
        <r>
          <rPr>
            <b/>
            <sz val="9"/>
            <color rgb="FF000000"/>
            <rFont val="Tahoma"/>
            <family val="2"/>
          </rPr>
          <t>1/27 OPD: irritant contact dermatitis due to other agents</t>
        </r>
      </text>
    </comment>
    <comment ref="A183" authorId="0" shapeId="0" xr:uid="{00000000-0006-0000-0400-000032000000}">
      <text>
        <r>
          <rPr>
            <b/>
            <sz val="9"/>
            <color rgb="FF000000"/>
            <rFont val="Tahoma"/>
            <family val="2"/>
          </rPr>
          <t xml:space="preserve">1. Other respiratory distress of newborn
</t>
        </r>
        <r>
          <rPr>
            <b/>
            <sz val="9"/>
            <color rgb="FF000000"/>
            <rFont val="Tahoma"/>
            <family val="2"/>
          </rPr>
          <t>2. Dermatitis</t>
        </r>
      </text>
    </comment>
    <comment ref="A186" authorId="0" shapeId="0" xr:uid="{00000000-0006-0000-0400-000033000000}">
      <text>
        <r>
          <rPr>
            <b/>
            <sz val="9"/>
            <color rgb="FF000000"/>
            <rFont val="Tahoma"/>
            <family val="2"/>
          </rPr>
          <t>2/19 OPD: intrinsic (allergic) eczema</t>
        </r>
        <r>
          <rPr>
            <sz val="9"/>
            <color rgb="FF000000"/>
            <rFont val="Tahoma"/>
            <family val="2"/>
          </rPr>
          <t xml:space="preserve">
</t>
        </r>
      </text>
    </comment>
    <comment ref="A190" authorId="0" shapeId="0" xr:uid="{00000000-0006-0000-0400-000034000000}">
      <text>
        <r>
          <rPr>
            <b/>
            <sz val="9"/>
            <color indexed="81"/>
            <rFont val="Tahoma"/>
            <family val="2"/>
          </rPr>
          <t>3/21 OPD: AR</t>
        </r>
        <r>
          <rPr>
            <sz val="9"/>
            <color indexed="81"/>
            <rFont val="Tahoma"/>
            <family val="2"/>
          </rPr>
          <t xml:space="preserve">
</t>
        </r>
      </text>
    </comment>
    <comment ref="BC194" authorId="1" shapeId="0" xr:uid="{00000000-0006-0000-0400-000035000000}">
      <text>
        <r>
          <rPr>
            <b/>
            <sz val="10"/>
            <color rgb="FF000000"/>
            <rFont val="Microsoft JhengHei UI"/>
            <family val="2"/>
            <charset val="1"/>
          </rPr>
          <t>1/2</t>
        </r>
        <r>
          <rPr>
            <sz val="10"/>
            <color rgb="FF000000"/>
            <rFont val="Microsoft JhengHei UI"/>
            <family val="2"/>
            <charset val="1"/>
          </rPr>
          <t xml:space="preserve">
</t>
        </r>
      </text>
    </comment>
    <comment ref="A197" authorId="0" shapeId="0" xr:uid="{00000000-0006-0000-0400-000036000000}">
      <text>
        <r>
          <rPr>
            <b/>
            <sz val="9"/>
            <color rgb="FF000000"/>
            <rFont val="Tahoma"/>
            <family val="2"/>
          </rPr>
          <t xml:space="preserve">3/22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BC198" authorId="1" shapeId="0" xr:uid="{00000000-0006-0000-0400-000037000000}">
      <text>
        <r>
          <rPr>
            <b/>
            <sz val="10"/>
            <color rgb="FF000000"/>
            <rFont val="Microsoft JhengHei UI"/>
            <family val="2"/>
            <charset val="136"/>
          </rPr>
          <t>1/2</t>
        </r>
        <r>
          <rPr>
            <b/>
            <sz val="10"/>
            <color rgb="FF000000"/>
            <rFont val="Microsoft JhengHei UI"/>
            <family val="2"/>
            <charset val="136"/>
          </rPr>
          <t>感冒</t>
        </r>
        <r>
          <rPr>
            <sz val="10"/>
            <color rgb="FF000000"/>
            <rFont val="Microsoft JhengHei UI"/>
            <family val="2"/>
            <charset val="136"/>
          </rPr>
          <t xml:space="preserve">
</t>
        </r>
      </text>
    </comment>
    <comment ref="A203" authorId="0" shapeId="0" xr:uid="{00000000-0006-0000-0400-000038000000}">
      <text>
        <r>
          <rPr>
            <b/>
            <sz val="9"/>
            <color rgb="FF000000"/>
            <rFont val="細明體"/>
            <family val="1"/>
            <charset val="136"/>
          </rPr>
          <t>骨科</t>
        </r>
        <r>
          <rPr>
            <b/>
            <sz val="9"/>
            <color rgb="FF000000"/>
            <rFont val="Calibri"/>
            <family val="2"/>
          </rPr>
          <t xml:space="preserve">:
</t>
        </r>
        <r>
          <rPr>
            <b/>
            <sz val="9"/>
            <color rgb="FF000000"/>
            <rFont val="Calibri"/>
            <family val="2"/>
          </rPr>
          <t xml:space="preserve">1. Other Specified Congenutal Deformities of Feet
</t>
        </r>
        <r>
          <rPr>
            <b/>
            <sz val="9"/>
            <color rgb="FF000000"/>
            <rFont val="Calibri"/>
            <family val="2"/>
          </rPr>
          <t xml:space="preserve">2. Congenital Deformity of Finger(s) and Hand
</t>
        </r>
        <r>
          <rPr>
            <b/>
            <sz val="9"/>
            <color rgb="FF000000"/>
            <rFont val="Calibri"/>
            <family val="2"/>
          </rPr>
          <t xml:space="preserve">3. Cephalhematoma due to Birth Injury
</t>
        </r>
        <r>
          <rPr>
            <b/>
            <sz val="9"/>
            <color rgb="FF000000"/>
            <rFont val="Calibri"/>
            <family val="2"/>
          </rPr>
          <t xml:space="preserve">4. Other Specified Infections Specific to the Perinatal Period
</t>
        </r>
        <r>
          <rPr>
            <b/>
            <sz val="9"/>
            <color rgb="FF000000"/>
            <rFont val="Calibri"/>
            <family val="2"/>
          </rPr>
          <t xml:space="preserve">5. Congenital Myopathies
</t>
        </r>
        <r>
          <rPr>
            <b/>
            <sz val="9"/>
            <color rgb="FF000000"/>
            <rFont val="細明體"/>
            <family val="1"/>
            <charset val="136"/>
          </rPr>
          <t>復健科</t>
        </r>
        <r>
          <rPr>
            <b/>
            <sz val="9"/>
            <color rgb="FF000000"/>
            <rFont val="細明體"/>
            <family val="1"/>
            <charset val="136"/>
          </rPr>
          <t xml:space="preserve">
</t>
        </r>
        <r>
          <rPr>
            <b/>
            <sz val="9"/>
            <color rgb="FF000000"/>
            <rFont val="Calibri"/>
            <family val="2"/>
          </rPr>
          <t xml:space="preserve">1. Other Disorders of Psychological Developmean
</t>
        </r>
        <r>
          <rPr>
            <b/>
            <sz val="9"/>
            <color rgb="FF000000"/>
            <rFont val="Calibri"/>
            <family val="2"/>
          </rPr>
          <t>2. Specific Developmental Disorder of Motor Function</t>
        </r>
        <r>
          <rPr>
            <sz val="9"/>
            <color rgb="FF000000"/>
            <rFont val="Tahoma"/>
            <family val="2"/>
          </rPr>
          <t xml:space="preserve">
</t>
        </r>
      </text>
    </comment>
    <comment ref="K206" authorId="3" shapeId="0" xr:uid="{00000000-0006-0000-0400-000039000000}">
      <text>
        <r>
          <rPr>
            <sz val="9"/>
            <color rgb="FF000000"/>
            <rFont val="細明體"/>
            <family val="1"/>
            <charset val="136"/>
          </rPr>
          <t>血管細、沒彈性，只</t>
        </r>
        <r>
          <rPr>
            <sz val="9"/>
            <color rgb="FF000000"/>
            <rFont val="細明體"/>
            <family val="1"/>
            <charset val="136"/>
          </rPr>
          <t>SST 2 ml</t>
        </r>
        <r>
          <rPr>
            <sz val="9"/>
            <color rgb="FF000000"/>
            <rFont val="細明體"/>
            <family val="1"/>
            <charset val="136"/>
          </rPr>
          <t>、</t>
        </r>
        <r>
          <rPr>
            <sz val="9"/>
            <color rgb="FF000000"/>
            <rFont val="細明體"/>
            <family val="1"/>
            <charset val="136"/>
          </rPr>
          <t>EDTA 1 ml</t>
        </r>
        <r>
          <rPr>
            <sz val="9"/>
            <color rgb="FF000000"/>
            <rFont val="細明體"/>
            <family val="1"/>
            <charset val="136"/>
          </rPr>
          <t>、</t>
        </r>
        <r>
          <rPr>
            <sz val="9"/>
            <color rgb="FF000000"/>
            <rFont val="細明體"/>
            <family val="1"/>
            <charset val="136"/>
          </rPr>
          <t>Heparine 0.9 ml</t>
        </r>
        <r>
          <rPr>
            <sz val="9"/>
            <color rgb="FF000000"/>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asus</author>
    <author>王佳容</author>
  </authors>
  <commentList>
    <comment ref="A2" authorId="0" shapeId="0" xr:uid="{00000000-0006-0000-0500-000001000000}">
      <text>
        <r>
          <rPr>
            <b/>
            <sz val="9"/>
            <color rgb="FF000000"/>
            <rFont val="細明體"/>
            <family val="1"/>
            <charset val="136"/>
          </rPr>
          <t>不抽血</t>
        </r>
      </text>
    </comment>
    <comment ref="A3" authorId="0" shapeId="0" xr:uid="{00000000-0006-0000-05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500-000003000000}">
      <text>
        <r>
          <rPr>
            <b/>
            <sz val="9"/>
            <color indexed="81"/>
            <rFont val="Tahoma"/>
            <family val="2"/>
          </rPr>
          <t>1. AD (since 3 m/o)
2. AR</t>
        </r>
      </text>
    </comment>
    <comment ref="A14" authorId="0" shapeId="0" xr:uid="{00000000-0006-0000-0500-000004000000}">
      <text>
        <r>
          <rPr>
            <b/>
            <sz val="9"/>
            <color rgb="FF000000"/>
            <rFont val="細明體"/>
            <family val="1"/>
            <charset val="136"/>
          </rPr>
          <t>不抽血</t>
        </r>
        <r>
          <rPr>
            <b/>
            <sz val="9"/>
            <color rgb="FF000000"/>
            <rFont val="細明體"/>
            <family val="1"/>
            <charset val="136"/>
          </rPr>
          <t xml:space="preserve">
</t>
        </r>
        <r>
          <rPr>
            <b/>
            <sz val="9"/>
            <color rgb="FF000000"/>
            <rFont val="細明體"/>
            <family val="1"/>
            <charset val="136"/>
          </rPr>
          <t>1. 12/16-10/13 OPD: AD</t>
        </r>
      </text>
    </comment>
    <comment ref="A17" authorId="0" shapeId="0" xr:uid="{00000000-0006-0000-0500-000005000000}">
      <text>
        <r>
          <rPr>
            <b/>
            <sz val="9"/>
            <color rgb="FF000000"/>
            <rFont val="Tahoma"/>
            <family val="2"/>
          </rPr>
          <t>1. Failure to thrive in newborn</t>
        </r>
      </text>
    </comment>
    <comment ref="A25" authorId="0" shapeId="0" xr:uid="{00000000-0006-0000-0500-000006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A31" authorId="0" shapeId="0" xr:uid="{00000000-0006-0000-0500-000007000000}">
      <text>
        <r>
          <rPr>
            <b/>
            <sz val="9"/>
            <color rgb="FF000000"/>
            <rFont val="Tahoma"/>
            <family val="2"/>
          </rPr>
          <t>2/23-3/25 OPD: AD</t>
        </r>
      </text>
    </comment>
    <comment ref="A32" authorId="0" shapeId="0" xr:uid="{00000000-0006-0000-0500-000008000000}">
      <text>
        <r>
          <rPr>
            <b/>
            <sz val="9"/>
            <color rgb="FF000000"/>
            <rFont val="Tahoma"/>
            <family val="2"/>
          </rPr>
          <t>3/3 OPD: irritant contact dermatitis due to other agents</t>
        </r>
        <r>
          <rPr>
            <sz val="9"/>
            <color rgb="FF000000"/>
            <rFont val="Tahoma"/>
            <family val="2"/>
          </rPr>
          <t xml:space="preserve">
</t>
        </r>
      </text>
    </comment>
    <comment ref="A35" authorId="0" shapeId="0" xr:uid="{00000000-0006-0000-0500-000009000000}">
      <text>
        <r>
          <rPr>
            <b/>
            <sz val="9"/>
            <color rgb="FF000000"/>
            <rFont val="Tahoma"/>
            <family val="2"/>
          </rPr>
          <t>11/2 OPD: AD</t>
        </r>
        <r>
          <rPr>
            <sz val="9"/>
            <color rgb="FF000000"/>
            <rFont val="Tahoma"/>
            <family val="2"/>
          </rPr>
          <t xml:space="preserve">
</t>
        </r>
      </text>
    </comment>
    <comment ref="I49" authorId="0" shapeId="0" xr:uid="{00000000-0006-0000-0500-00000A000000}">
      <text>
        <r>
          <rPr>
            <b/>
            <sz val="9"/>
            <color rgb="FF000000"/>
            <rFont val="細明體"/>
            <family val="1"/>
            <charset val="136"/>
          </rPr>
          <t>抽血失敗，僅留到</t>
        </r>
        <r>
          <rPr>
            <b/>
            <sz val="9"/>
            <color rgb="FF000000"/>
            <rFont val="細明體"/>
            <family val="1"/>
            <charset val="136"/>
          </rPr>
          <t>SST</t>
        </r>
        <r>
          <rPr>
            <b/>
            <sz val="9"/>
            <color rgb="FF000000"/>
            <rFont val="細明體"/>
            <family val="1"/>
            <charset val="136"/>
          </rPr>
          <t>管</t>
        </r>
      </text>
    </comment>
    <comment ref="A108" authorId="0" shapeId="0" xr:uid="{00000000-0006-0000-0500-00000B000000}">
      <text>
        <r>
          <rPr>
            <b/>
            <sz val="9"/>
            <color indexed="81"/>
            <rFont val="Tahoma"/>
            <family val="2"/>
          </rPr>
          <t>11/16-11/30 OPD:
1. AD
2. AR</t>
        </r>
        <r>
          <rPr>
            <sz val="9"/>
            <color indexed="81"/>
            <rFont val="Tahoma"/>
            <family val="2"/>
          </rPr>
          <t xml:space="preserve">
</t>
        </r>
      </text>
    </comment>
    <comment ref="A113" authorId="0" shapeId="0" xr:uid="{00000000-0006-0000-0500-00000C000000}">
      <text>
        <r>
          <rPr>
            <sz val="9"/>
            <color rgb="FF000000"/>
            <rFont val="細明體"/>
            <family val="1"/>
            <charset val="136"/>
          </rPr>
          <t>媽媽說小孩有嚴重黑眼圈，醫師建議加入計畫測過敏指數</t>
        </r>
        <r>
          <rPr>
            <sz val="9"/>
            <color rgb="FF000000"/>
            <rFont val="細明體"/>
            <family val="1"/>
            <charset val="136"/>
          </rPr>
          <t xml:space="preserve">
</t>
        </r>
        <r>
          <rPr>
            <sz val="9"/>
            <color rgb="FF000000"/>
            <rFont val="Tahoma"/>
            <family val="2"/>
          </rPr>
          <t xml:space="preserve">
</t>
        </r>
      </text>
    </comment>
    <comment ref="A132" authorId="0" shapeId="0" xr:uid="{00000000-0006-0000-0500-00000D000000}">
      <text>
        <r>
          <rPr>
            <b/>
            <sz val="9"/>
            <color rgb="FF000000"/>
            <rFont val="Tahoma"/>
            <family val="2"/>
          </rPr>
          <t>11/18-12/13 OPD: AD</t>
        </r>
      </text>
    </comment>
    <comment ref="A134" authorId="0" shapeId="0" xr:uid="{00000000-0006-0000-0500-00000E000000}">
      <text>
        <r>
          <rPr>
            <b/>
            <sz val="9"/>
            <color indexed="81"/>
            <rFont val="Tahoma"/>
            <family val="2"/>
          </rPr>
          <t>11/17 OPD:
1. AD
2. AR</t>
        </r>
        <r>
          <rPr>
            <sz val="9"/>
            <color indexed="81"/>
            <rFont val="Tahoma"/>
            <family val="2"/>
          </rPr>
          <t xml:space="preserve">
</t>
        </r>
      </text>
    </comment>
    <comment ref="A137" authorId="0" shapeId="0" xr:uid="{00000000-0006-0000-0500-00000F000000}">
      <text>
        <r>
          <rPr>
            <b/>
            <sz val="9"/>
            <color rgb="FF000000"/>
            <rFont val="Tahoma"/>
            <family val="2"/>
          </rPr>
          <t>11/16 - NOW: AD</t>
        </r>
      </text>
    </comment>
    <comment ref="A142" authorId="0" shapeId="0" xr:uid="{00000000-0006-0000-0500-000010000000}">
      <text>
        <r>
          <rPr>
            <b/>
            <sz val="9"/>
            <color indexed="81"/>
            <rFont val="Tahoma"/>
            <family val="2"/>
          </rPr>
          <t>11/23-12/28 OPD: AD</t>
        </r>
        <r>
          <rPr>
            <sz val="9"/>
            <color indexed="81"/>
            <rFont val="Tahoma"/>
            <family val="2"/>
          </rPr>
          <t xml:space="preserve">
</t>
        </r>
      </text>
    </comment>
    <comment ref="A149" authorId="0" shapeId="0" xr:uid="{00000000-0006-0000-0500-000011000000}">
      <text>
        <r>
          <rPr>
            <b/>
            <sz val="9"/>
            <color indexed="81"/>
            <rFont val="Tahoma"/>
            <family val="2"/>
          </rPr>
          <t>AD</t>
        </r>
        <r>
          <rPr>
            <b/>
            <sz val="9"/>
            <color indexed="81"/>
            <rFont val="細明體"/>
            <family val="3"/>
            <charset val="136"/>
          </rPr>
          <t>未關，</t>
        </r>
        <r>
          <rPr>
            <b/>
            <sz val="9"/>
            <color indexed="81"/>
            <rFont val="Tahoma"/>
            <family val="2"/>
          </rPr>
          <t>F/U</t>
        </r>
      </text>
    </comment>
    <comment ref="A177" authorId="0" shapeId="0" xr:uid="{00000000-0006-0000-0500-000012000000}">
      <text>
        <r>
          <rPr>
            <b/>
            <sz val="9"/>
            <color indexed="81"/>
            <rFont val="Tahoma"/>
            <family val="2"/>
          </rPr>
          <t>1. brain F/U
2. 3/15 OPD: skin AD</t>
        </r>
      </text>
    </comment>
    <comment ref="A178" authorId="0" shapeId="0" xr:uid="{00000000-0006-0000-0500-000013000000}">
      <text>
        <r>
          <rPr>
            <b/>
            <sz val="9"/>
            <color indexed="81"/>
            <rFont val="Tahoma"/>
            <family val="2"/>
          </rPr>
          <t>1/27 OPD: irritant contact dermatitis due to other agents</t>
        </r>
      </text>
    </comment>
    <comment ref="A183" authorId="0" shapeId="0" xr:uid="{00000000-0006-0000-0500-000014000000}">
      <text>
        <r>
          <rPr>
            <b/>
            <sz val="9"/>
            <color indexed="81"/>
            <rFont val="Tahoma"/>
            <family val="2"/>
          </rPr>
          <t>1. Other respiratory distress of newborn
2. Dermatitis</t>
        </r>
      </text>
    </comment>
    <comment ref="A186" authorId="0" shapeId="0" xr:uid="{00000000-0006-0000-0500-000015000000}">
      <text>
        <r>
          <rPr>
            <b/>
            <sz val="9"/>
            <color indexed="81"/>
            <rFont val="Tahoma"/>
            <family val="2"/>
          </rPr>
          <t>2/19 OPD: intrinsic (allergic) eczema</t>
        </r>
        <r>
          <rPr>
            <sz val="9"/>
            <color indexed="81"/>
            <rFont val="Tahoma"/>
            <family val="2"/>
          </rPr>
          <t xml:space="preserve">
</t>
        </r>
      </text>
    </comment>
    <comment ref="A190" authorId="0" shapeId="0" xr:uid="{00000000-0006-0000-0500-000016000000}">
      <text>
        <r>
          <rPr>
            <b/>
            <sz val="9"/>
            <color rgb="FF000000"/>
            <rFont val="Tahoma"/>
            <family val="2"/>
          </rPr>
          <t>3/21 OPD: AR</t>
        </r>
        <r>
          <rPr>
            <sz val="9"/>
            <color rgb="FF000000"/>
            <rFont val="Tahoma"/>
            <family val="2"/>
          </rPr>
          <t xml:space="preserve">
</t>
        </r>
      </text>
    </comment>
    <comment ref="A197" authorId="0" shapeId="0" xr:uid="{00000000-0006-0000-0500-000017000000}">
      <text>
        <r>
          <rPr>
            <b/>
            <sz val="9"/>
            <color rgb="FF000000"/>
            <rFont val="Tahoma"/>
            <family val="2"/>
          </rPr>
          <t xml:space="preserve">3/22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203" authorId="0" shapeId="0" xr:uid="{00000000-0006-0000-0500-000018000000}">
      <text>
        <r>
          <rPr>
            <b/>
            <sz val="9"/>
            <color indexed="81"/>
            <rFont val="細明體"/>
            <family val="3"/>
            <charset val="136"/>
          </rPr>
          <t>骨科</t>
        </r>
        <r>
          <rPr>
            <b/>
            <sz val="9"/>
            <color indexed="81"/>
            <rFont val="Calibri"/>
            <family val="2"/>
          </rPr>
          <t xml:space="preserve">:
1. Other Specified Congenutal Deformities of Feet
2. Congenital Deformity of Finger(s) and Hand
3. Cephalhematoma due to Birth Injury
4. Other Specified Infections Specific to the Perinatal Period
5. Congenital Myopathies
</t>
        </r>
        <r>
          <rPr>
            <b/>
            <sz val="9"/>
            <color indexed="81"/>
            <rFont val="細明體"/>
            <family val="3"/>
            <charset val="136"/>
          </rPr>
          <t xml:space="preserve">復健科
</t>
        </r>
        <r>
          <rPr>
            <b/>
            <sz val="9"/>
            <color indexed="81"/>
            <rFont val="Calibri"/>
            <family val="2"/>
          </rPr>
          <t>1. Other Disorders of Psychological Developmean
2. Specific Developmental Disorder of Motor Function</t>
        </r>
        <r>
          <rPr>
            <sz val="9"/>
            <color indexed="81"/>
            <rFont val="Tahoma"/>
            <family val="2"/>
          </rPr>
          <t xml:space="preserve">
</t>
        </r>
      </text>
    </comment>
    <comment ref="I206" authorId="1" shapeId="0" xr:uid="{00000000-0006-0000-0500-000019000000}">
      <text>
        <r>
          <rPr>
            <sz val="9"/>
            <color rgb="FF000000"/>
            <rFont val="細明體"/>
            <family val="1"/>
            <charset val="136"/>
          </rPr>
          <t>血管細、沒彈性，只</t>
        </r>
        <r>
          <rPr>
            <sz val="9"/>
            <color rgb="FF000000"/>
            <rFont val="細明體"/>
            <family val="1"/>
            <charset val="136"/>
          </rPr>
          <t>SST 2 ml</t>
        </r>
        <r>
          <rPr>
            <sz val="9"/>
            <color rgb="FF000000"/>
            <rFont val="細明體"/>
            <family val="1"/>
            <charset val="136"/>
          </rPr>
          <t>、</t>
        </r>
        <r>
          <rPr>
            <sz val="9"/>
            <color rgb="FF000000"/>
            <rFont val="細明體"/>
            <family val="1"/>
            <charset val="136"/>
          </rPr>
          <t>EDTA 1 ml</t>
        </r>
        <r>
          <rPr>
            <sz val="9"/>
            <color rgb="FF000000"/>
            <rFont val="細明體"/>
            <family val="1"/>
            <charset val="136"/>
          </rPr>
          <t>、</t>
        </r>
        <r>
          <rPr>
            <sz val="9"/>
            <color rgb="FF000000"/>
            <rFont val="細明體"/>
            <family val="1"/>
            <charset val="136"/>
          </rPr>
          <t>Heparine 0.9 ml</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A2" authorId="0" shapeId="0" xr:uid="{00000000-0006-0000-0600-000001000000}">
      <text>
        <r>
          <rPr>
            <b/>
            <sz val="9"/>
            <color rgb="FF000000"/>
            <rFont val="細明體"/>
            <family val="1"/>
            <charset val="136"/>
          </rPr>
          <t>不抽血</t>
        </r>
      </text>
    </comment>
    <comment ref="A3" authorId="0" shapeId="0" xr:uid="{00000000-0006-0000-06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600-000003000000}">
      <text>
        <r>
          <rPr>
            <b/>
            <sz val="9"/>
            <color rgb="FF000000"/>
            <rFont val="Tahoma"/>
            <family val="2"/>
          </rPr>
          <t xml:space="preserve">1. AD (since 3 m/o)
</t>
        </r>
        <r>
          <rPr>
            <b/>
            <sz val="9"/>
            <color rgb="FF000000"/>
            <rFont val="Tahoma"/>
            <family val="2"/>
          </rPr>
          <t>2. AR</t>
        </r>
      </text>
    </comment>
    <comment ref="A14" authorId="0" shapeId="0" xr:uid="{00000000-0006-0000-0600-000004000000}">
      <text>
        <r>
          <rPr>
            <b/>
            <sz val="9"/>
            <color rgb="FF000000"/>
            <rFont val="細明體"/>
            <family val="1"/>
            <charset val="136"/>
          </rPr>
          <t>不抽血</t>
        </r>
        <r>
          <rPr>
            <b/>
            <sz val="9"/>
            <color rgb="FF000000"/>
            <rFont val="細明體"/>
            <family val="1"/>
            <charset val="136"/>
          </rPr>
          <t xml:space="preserve">
</t>
        </r>
        <r>
          <rPr>
            <b/>
            <sz val="9"/>
            <color rgb="FF000000"/>
            <rFont val="細明體"/>
            <family val="1"/>
            <charset val="136"/>
          </rPr>
          <t>1. 12/16-10/13 OPD: AD</t>
        </r>
      </text>
    </comment>
    <comment ref="A17" authorId="0" shapeId="0" xr:uid="{00000000-0006-0000-0600-000005000000}">
      <text>
        <r>
          <rPr>
            <b/>
            <sz val="9"/>
            <color indexed="81"/>
            <rFont val="Tahoma"/>
            <family val="2"/>
          </rPr>
          <t>1. Failure to thrive in newborn</t>
        </r>
      </text>
    </comment>
    <comment ref="A25" authorId="0" shapeId="0" xr:uid="{00000000-0006-0000-0600-000006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A31" authorId="0" shapeId="0" xr:uid="{00000000-0006-0000-0600-000007000000}">
      <text>
        <r>
          <rPr>
            <b/>
            <sz val="9"/>
            <color rgb="FF000000"/>
            <rFont val="Tahoma"/>
            <family val="2"/>
          </rPr>
          <t>2/23-3/25 OPD: AD</t>
        </r>
      </text>
    </comment>
    <comment ref="A32" authorId="0" shapeId="0" xr:uid="{00000000-0006-0000-0600-000008000000}">
      <text>
        <r>
          <rPr>
            <b/>
            <sz val="9"/>
            <color rgb="FF000000"/>
            <rFont val="Tahoma"/>
            <family val="2"/>
          </rPr>
          <t>3/3 OPD: irritant contact dermatitis due to other agents</t>
        </r>
        <r>
          <rPr>
            <sz val="9"/>
            <color rgb="FF000000"/>
            <rFont val="Tahoma"/>
            <family val="2"/>
          </rPr>
          <t xml:space="preserve">
</t>
        </r>
      </text>
    </comment>
    <comment ref="A108" authorId="0" shapeId="0" xr:uid="{00000000-0006-0000-0600-000009000000}">
      <text>
        <r>
          <rPr>
            <b/>
            <sz val="9"/>
            <color rgb="FF000000"/>
            <rFont val="Tahoma"/>
            <family val="2"/>
          </rPr>
          <t xml:space="preserve">11/16-11/30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113" authorId="0" shapeId="0" xr:uid="{00000000-0006-0000-0600-00000A000000}">
      <text>
        <r>
          <rPr>
            <sz val="9"/>
            <color rgb="FF000000"/>
            <rFont val="細明體"/>
            <family val="1"/>
            <charset val="136"/>
          </rPr>
          <t>媽媽說小孩有嚴重黑眼圈，醫師建議加入計畫測過敏指數</t>
        </r>
        <r>
          <rPr>
            <sz val="9"/>
            <color rgb="FF000000"/>
            <rFont val="細明體"/>
            <family val="1"/>
            <charset val="136"/>
          </rPr>
          <t xml:space="preserve">
</t>
        </r>
        <r>
          <rPr>
            <sz val="9"/>
            <color rgb="FF000000"/>
            <rFont val="Tahoma"/>
            <family val="2"/>
          </rPr>
          <t xml:space="preserve">
</t>
        </r>
      </text>
    </comment>
    <comment ref="A125" authorId="0" shapeId="0" xr:uid="{00000000-0006-0000-0600-00000B000000}">
      <text>
        <r>
          <rPr>
            <b/>
            <sz val="9"/>
            <color indexed="81"/>
            <rFont val="Tahoma"/>
            <family val="2"/>
          </rPr>
          <t>11/2 OPD: AD</t>
        </r>
        <r>
          <rPr>
            <sz val="9"/>
            <color indexed="81"/>
            <rFont val="Tahoma"/>
            <family val="2"/>
          </rPr>
          <t xml:space="preserve">
</t>
        </r>
      </text>
    </comment>
    <comment ref="A132" authorId="0" shapeId="0" xr:uid="{00000000-0006-0000-0600-00000C000000}">
      <text>
        <r>
          <rPr>
            <b/>
            <sz val="9"/>
            <color indexed="81"/>
            <rFont val="Tahoma"/>
            <family val="2"/>
          </rPr>
          <t>11/18-12/13 OPD: AD</t>
        </r>
      </text>
    </comment>
    <comment ref="A134" authorId="0" shapeId="0" xr:uid="{00000000-0006-0000-0600-00000D000000}">
      <text>
        <r>
          <rPr>
            <b/>
            <sz val="9"/>
            <color indexed="81"/>
            <rFont val="Tahoma"/>
            <family val="2"/>
          </rPr>
          <t>11/17 OPD:
1. AD
2. AR</t>
        </r>
        <r>
          <rPr>
            <sz val="9"/>
            <color indexed="81"/>
            <rFont val="Tahoma"/>
            <family val="2"/>
          </rPr>
          <t xml:space="preserve">
</t>
        </r>
      </text>
    </comment>
    <comment ref="A137" authorId="0" shapeId="0" xr:uid="{00000000-0006-0000-0600-00000E000000}">
      <text>
        <r>
          <rPr>
            <b/>
            <sz val="9"/>
            <color indexed="81"/>
            <rFont val="Tahoma"/>
            <family val="2"/>
          </rPr>
          <t>11/16 - NOW: AD</t>
        </r>
      </text>
    </comment>
    <comment ref="A142" authorId="0" shapeId="0" xr:uid="{00000000-0006-0000-0600-00000F000000}">
      <text>
        <r>
          <rPr>
            <b/>
            <sz val="9"/>
            <color indexed="81"/>
            <rFont val="Tahoma"/>
            <family val="2"/>
          </rPr>
          <t>11/23-12/28 OPD: AD</t>
        </r>
        <r>
          <rPr>
            <sz val="9"/>
            <color indexed="81"/>
            <rFont val="Tahoma"/>
            <family val="2"/>
          </rPr>
          <t xml:space="preserve">
</t>
        </r>
      </text>
    </comment>
    <comment ref="A149" authorId="0" shapeId="0" xr:uid="{00000000-0006-0000-0600-000010000000}">
      <text>
        <r>
          <rPr>
            <b/>
            <sz val="9"/>
            <color indexed="81"/>
            <rFont val="Tahoma"/>
            <family val="2"/>
          </rPr>
          <t>AD</t>
        </r>
        <r>
          <rPr>
            <b/>
            <sz val="9"/>
            <color indexed="81"/>
            <rFont val="細明體"/>
            <family val="3"/>
            <charset val="136"/>
          </rPr>
          <t>未關，</t>
        </r>
        <r>
          <rPr>
            <b/>
            <sz val="9"/>
            <color indexed="81"/>
            <rFont val="Tahoma"/>
            <family val="2"/>
          </rPr>
          <t>F/U</t>
        </r>
      </text>
    </comment>
    <comment ref="A177" authorId="0" shapeId="0" xr:uid="{00000000-0006-0000-0600-000011000000}">
      <text>
        <r>
          <rPr>
            <b/>
            <sz val="9"/>
            <color rgb="FF000000"/>
            <rFont val="Tahoma"/>
            <family val="2"/>
          </rPr>
          <t xml:space="preserve">1. brain F/U
</t>
        </r>
        <r>
          <rPr>
            <b/>
            <sz val="9"/>
            <color rgb="FF000000"/>
            <rFont val="Tahoma"/>
            <family val="2"/>
          </rPr>
          <t>2. 3/15 OPD: skin AD</t>
        </r>
      </text>
    </comment>
    <comment ref="A178" authorId="0" shapeId="0" xr:uid="{00000000-0006-0000-0600-000012000000}">
      <text>
        <r>
          <rPr>
            <b/>
            <sz val="9"/>
            <color indexed="81"/>
            <rFont val="Tahoma"/>
            <family val="2"/>
          </rPr>
          <t>1/27 OPD: irritant contact dermatitis due to other agents</t>
        </r>
      </text>
    </comment>
    <comment ref="A183" authorId="0" shapeId="0" xr:uid="{00000000-0006-0000-0600-000013000000}">
      <text>
        <r>
          <rPr>
            <b/>
            <sz val="9"/>
            <color indexed="81"/>
            <rFont val="Tahoma"/>
            <family val="2"/>
          </rPr>
          <t>1. Other respiratory distress of newborn
2. Dermatitis</t>
        </r>
      </text>
    </comment>
    <comment ref="A186" authorId="0" shapeId="0" xr:uid="{00000000-0006-0000-0600-000014000000}">
      <text>
        <r>
          <rPr>
            <b/>
            <sz val="9"/>
            <color indexed="81"/>
            <rFont val="Tahoma"/>
            <family val="2"/>
          </rPr>
          <t>2/19 OPD: intrinsic (allergic) eczema</t>
        </r>
        <r>
          <rPr>
            <sz val="9"/>
            <color indexed="81"/>
            <rFont val="Tahoma"/>
            <family val="2"/>
          </rPr>
          <t xml:space="preserve">
</t>
        </r>
      </text>
    </comment>
    <comment ref="A190" authorId="0" shapeId="0" xr:uid="{00000000-0006-0000-0600-000015000000}">
      <text>
        <r>
          <rPr>
            <b/>
            <sz val="9"/>
            <color indexed="81"/>
            <rFont val="Tahoma"/>
            <family val="2"/>
          </rPr>
          <t>3/21 OPD: AR</t>
        </r>
        <r>
          <rPr>
            <sz val="9"/>
            <color indexed="81"/>
            <rFont val="Tahoma"/>
            <family val="2"/>
          </rPr>
          <t xml:space="preserve">
</t>
        </r>
      </text>
    </comment>
    <comment ref="A197" authorId="0" shapeId="0" xr:uid="{00000000-0006-0000-0600-000016000000}">
      <text>
        <r>
          <rPr>
            <b/>
            <sz val="9"/>
            <color rgb="FF000000"/>
            <rFont val="Tahoma"/>
            <family val="2"/>
          </rPr>
          <t xml:space="preserve">3/22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203" authorId="0" shapeId="0" xr:uid="{00000000-0006-0000-0600-000017000000}">
      <text>
        <r>
          <rPr>
            <b/>
            <sz val="9"/>
            <color indexed="81"/>
            <rFont val="細明體"/>
            <family val="3"/>
            <charset val="136"/>
          </rPr>
          <t>骨科</t>
        </r>
        <r>
          <rPr>
            <b/>
            <sz val="9"/>
            <color indexed="81"/>
            <rFont val="Calibri"/>
            <family val="2"/>
          </rPr>
          <t xml:space="preserve">:
1. Other Specified Congenutal Deformities of Feet
2. Congenital Deformity of Finger(s) and Hand
3. Cephalhematoma due to Birth Injury
4. Other Specified Infections Specific to the Perinatal Period
5. Congenital Myopathies
</t>
        </r>
        <r>
          <rPr>
            <b/>
            <sz val="9"/>
            <color indexed="81"/>
            <rFont val="細明體"/>
            <family val="3"/>
            <charset val="136"/>
          </rPr>
          <t xml:space="preserve">復健科
</t>
        </r>
        <r>
          <rPr>
            <b/>
            <sz val="9"/>
            <color indexed="81"/>
            <rFont val="Calibri"/>
            <family val="2"/>
          </rPr>
          <t>1. Other Disorders of Psychological Developmean
2. Specific Developmental Disorder of Motor Function</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asus</author>
    <author>陳姵伶</author>
    <author>王佳容</author>
  </authors>
  <commentList>
    <comment ref="A2" authorId="0" shapeId="0" xr:uid="{00000000-0006-0000-0700-000001000000}">
      <text>
        <r>
          <rPr>
            <b/>
            <sz val="9"/>
            <color rgb="FF000000"/>
            <rFont val="細明體"/>
            <family val="1"/>
            <charset val="136"/>
          </rPr>
          <t>不抽血</t>
        </r>
      </text>
    </comment>
    <comment ref="A3" authorId="0" shapeId="0" xr:uid="{00000000-0006-0000-0700-000002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A11" authorId="0" shapeId="0" xr:uid="{00000000-0006-0000-0700-000003000000}">
      <text>
        <r>
          <rPr>
            <b/>
            <sz val="9"/>
            <color rgb="FF000000"/>
            <rFont val="Tahoma"/>
            <family val="2"/>
          </rPr>
          <t xml:space="preserve">1. AD (since 3 m/o)
</t>
        </r>
        <r>
          <rPr>
            <b/>
            <sz val="9"/>
            <color rgb="FF000000"/>
            <rFont val="Tahoma"/>
            <family val="2"/>
          </rPr>
          <t>2. AR</t>
        </r>
      </text>
    </comment>
    <comment ref="A14" authorId="0" shapeId="0" xr:uid="{00000000-0006-0000-0700-000004000000}">
      <text>
        <r>
          <rPr>
            <b/>
            <sz val="9"/>
            <color rgb="FF000000"/>
            <rFont val="細明體"/>
            <family val="1"/>
            <charset val="136"/>
          </rPr>
          <t>不抽血</t>
        </r>
        <r>
          <rPr>
            <b/>
            <sz val="9"/>
            <color rgb="FF000000"/>
            <rFont val="細明體"/>
            <family val="1"/>
            <charset val="136"/>
          </rPr>
          <t xml:space="preserve">
</t>
        </r>
        <r>
          <rPr>
            <b/>
            <sz val="9"/>
            <color rgb="FF000000"/>
            <rFont val="細明體"/>
            <family val="1"/>
            <charset val="136"/>
          </rPr>
          <t>1. 12/16-10/13 OPD: AD</t>
        </r>
      </text>
    </comment>
    <comment ref="A17" authorId="0" shapeId="0" xr:uid="{00000000-0006-0000-0700-000005000000}">
      <text>
        <r>
          <rPr>
            <b/>
            <sz val="9"/>
            <color indexed="81"/>
            <rFont val="Tahoma"/>
            <family val="2"/>
          </rPr>
          <t>1. Failure to thrive in newborn</t>
        </r>
      </text>
    </comment>
    <comment ref="AS18" authorId="0" shapeId="0" xr:uid="{00000000-0006-0000-0700-000006000000}">
      <text>
        <r>
          <rPr>
            <b/>
            <sz val="10"/>
            <color indexed="81"/>
            <rFont val="細明體"/>
            <family val="3"/>
            <charset val="136"/>
          </rPr>
          <t>不到一匙!!</t>
        </r>
      </text>
    </comment>
    <comment ref="AX18" authorId="0" shapeId="0" xr:uid="{00000000-0006-0000-0700-000007000000}">
      <text>
        <r>
          <rPr>
            <b/>
            <sz val="10"/>
            <color indexed="81"/>
            <rFont val="細明體"/>
            <family val="3"/>
            <charset val="136"/>
          </rPr>
          <t>不到一匙!!</t>
        </r>
      </text>
    </comment>
    <comment ref="A25" authorId="0" shapeId="0" xr:uid="{00000000-0006-0000-0700-000008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AX28" authorId="0" shapeId="0" xr:uid="{00000000-0006-0000-0700-000009000000}">
      <text>
        <r>
          <rPr>
            <b/>
            <sz val="9"/>
            <color indexed="81"/>
            <rFont val="Tahoma"/>
            <family val="2"/>
          </rPr>
          <t>5/6-5/9 4'C</t>
        </r>
      </text>
    </comment>
    <comment ref="AH29" authorId="0" shapeId="0" xr:uid="{00000000-0006-0000-0700-00000A000000}">
      <text>
        <r>
          <rPr>
            <b/>
            <sz val="9"/>
            <color indexed="81"/>
            <rFont val="Tahoma"/>
            <family val="2"/>
          </rPr>
          <t>5/10 700 ul</t>
        </r>
        <r>
          <rPr>
            <sz val="9"/>
            <color indexed="81"/>
            <rFont val="Tahoma"/>
            <family val="2"/>
          </rPr>
          <t xml:space="preserve">
</t>
        </r>
      </text>
    </comment>
    <comment ref="AX29" authorId="0" shapeId="0" xr:uid="{00000000-0006-0000-0700-00000B000000}">
      <text>
        <r>
          <rPr>
            <b/>
            <sz val="9"/>
            <color indexed="81"/>
            <rFont val="Tahoma"/>
            <family val="2"/>
          </rPr>
          <t>5/7-5/9 4'C</t>
        </r>
      </text>
    </comment>
    <comment ref="A31" authorId="0" shapeId="0" xr:uid="{00000000-0006-0000-0700-00000C000000}">
      <text>
        <r>
          <rPr>
            <b/>
            <sz val="9"/>
            <color rgb="FF000000"/>
            <rFont val="Tahoma"/>
            <family val="2"/>
          </rPr>
          <t>2/23-3/25 OPD: AD</t>
        </r>
      </text>
    </comment>
    <comment ref="A32" authorId="0" shapeId="0" xr:uid="{00000000-0006-0000-0700-00000D000000}">
      <text>
        <r>
          <rPr>
            <b/>
            <sz val="9"/>
            <color rgb="FF000000"/>
            <rFont val="Tahoma"/>
            <family val="2"/>
          </rPr>
          <t>3/3 OPD: irritant contact dermatitis due to other agents</t>
        </r>
        <r>
          <rPr>
            <sz val="9"/>
            <color rgb="FF000000"/>
            <rFont val="Tahoma"/>
            <family val="2"/>
          </rPr>
          <t xml:space="preserve">
</t>
        </r>
      </text>
    </comment>
    <comment ref="J32" authorId="0" shapeId="0" xr:uid="{00000000-0006-0000-0700-00000E000000}">
      <text>
        <r>
          <rPr>
            <b/>
            <sz val="9"/>
            <color rgb="FF000000"/>
            <rFont val="Tahoma"/>
            <family val="2"/>
          </rPr>
          <t>8/17</t>
        </r>
        <r>
          <rPr>
            <b/>
            <sz val="9"/>
            <color rgb="FF000000"/>
            <rFont val="細明體"/>
            <family val="1"/>
            <charset val="136"/>
          </rPr>
          <t>抽血失敗嬤嬤退回禮券，已簽收據。</t>
        </r>
        <r>
          <rPr>
            <b/>
            <sz val="9"/>
            <color rgb="FF000000"/>
            <rFont val="細明體"/>
            <family val="1"/>
            <charset val="136"/>
          </rPr>
          <t>12/1</t>
        </r>
        <r>
          <rPr>
            <b/>
            <sz val="9"/>
            <color rgb="FF000000"/>
            <rFont val="細明體"/>
            <family val="1"/>
            <charset val="136"/>
          </rPr>
          <t>表示不拿、給更需要的人。</t>
        </r>
      </text>
    </comment>
    <comment ref="AS33" authorId="1" shapeId="0" xr:uid="{00000000-0006-0000-0700-00000F000000}">
      <text>
        <r>
          <rPr>
            <sz val="9"/>
            <color rgb="FF000000"/>
            <rFont val="細明體"/>
            <family val="1"/>
            <charset val="136"/>
          </rPr>
          <t>有兩個，但都只有一湯匙量</t>
        </r>
        <r>
          <rPr>
            <sz val="9"/>
            <color rgb="FF000000"/>
            <rFont val="Tahoma"/>
            <family val="2"/>
          </rPr>
          <t xml:space="preserve">
</t>
        </r>
      </text>
    </comment>
    <comment ref="AX33" authorId="0" shapeId="0" xr:uid="{00000000-0006-0000-0700-000010000000}">
      <text>
        <r>
          <rPr>
            <b/>
            <sz val="9"/>
            <color rgb="FF000000"/>
            <rFont val="細明體"/>
            <family val="1"/>
            <charset val="136"/>
          </rPr>
          <t>有</t>
        </r>
        <r>
          <rPr>
            <b/>
            <sz val="9"/>
            <color rgb="FF000000"/>
            <rFont val="Tahoma"/>
            <family val="2"/>
          </rPr>
          <t>2</t>
        </r>
        <r>
          <rPr>
            <b/>
            <sz val="9"/>
            <color rgb="FF000000"/>
            <rFont val="細明體"/>
            <family val="1"/>
            <charset val="136"/>
          </rPr>
          <t>個</t>
        </r>
      </text>
    </comment>
    <comment ref="AS39" authorId="0" shapeId="0" xr:uid="{00000000-0006-0000-0700-000011000000}">
      <text>
        <r>
          <rPr>
            <b/>
            <sz val="9"/>
            <color rgb="FF000000"/>
            <rFont val="細明體"/>
            <family val="1"/>
            <charset val="136"/>
          </rPr>
          <t>一匙</t>
        </r>
        <r>
          <rPr>
            <b/>
            <sz val="9"/>
            <color rgb="FF000000"/>
            <rFont val="細明體"/>
            <family val="1"/>
            <charset val="136"/>
          </rPr>
          <t>!</t>
        </r>
      </text>
    </comment>
    <comment ref="AH40" authorId="0" shapeId="0" xr:uid="{00000000-0006-0000-0700-000012000000}">
      <text>
        <r>
          <rPr>
            <b/>
            <sz val="9"/>
            <color indexed="81"/>
            <rFont val="細明體"/>
            <family val="3"/>
            <charset val="136"/>
          </rPr>
          <t>另有</t>
        </r>
        <r>
          <rPr>
            <b/>
            <sz val="9"/>
            <color indexed="81"/>
            <rFont val="Tahoma"/>
            <family val="2"/>
          </rPr>
          <t>2021/7/9 560 ul</t>
        </r>
      </text>
    </comment>
    <comment ref="AS40" authorId="0" shapeId="0" xr:uid="{00000000-0006-0000-0700-000013000000}">
      <text>
        <r>
          <rPr>
            <b/>
            <sz val="9"/>
            <color rgb="FF000000"/>
            <rFont val="細明體"/>
            <family val="1"/>
            <charset val="136"/>
          </rPr>
          <t>非無菌</t>
        </r>
        <r>
          <rPr>
            <b/>
            <sz val="9"/>
            <color rgb="FF000000"/>
            <rFont val="細明體"/>
            <family val="1"/>
            <charset val="136"/>
          </rPr>
          <t>!!</t>
        </r>
        <r>
          <rPr>
            <b/>
            <sz val="9"/>
            <color rgb="FF000000"/>
            <rFont val="細明體"/>
            <family val="1"/>
            <charset val="136"/>
          </rPr>
          <t>另外裝在罐子裡帶來</t>
        </r>
      </text>
    </comment>
    <comment ref="AX40" authorId="0" shapeId="0" xr:uid="{00000000-0006-0000-0700-000014000000}">
      <text>
        <r>
          <rPr>
            <b/>
            <sz val="9"/>
            <color indexed="81"/>
            <rFont val="細明體"/>
            <family val="3"/>
            <charset val="136"/>
          </rPr>
          <t>另有</t>
        </r>
        <r>
          <rPr>
            <b/>
            <sz val="9"/>
            <color indexed="81"/>
            <rFont val="Tahoma"/>
            <family val="2"/>
          </rPr>
          <t>2021/7/7</t>
        </r>
        <r>
          <rPr>
            <sz val="9"/>
            <color indexed="81"/>
            <rFont val="Tahoma"/>
            <family val="2"/>
          </rPr>
          <t xml:space="preserve">
</t>
        </r>
      </text>
    </comment>
    <comment ref="AX42" authorId="0" shapeId="0" xr:uid="{00000000-0006-0000-0700-000015000000}">
      <text>
        <r>
          <rPr>
            <b/>
            <sz val="9"/>
            <color indexed="81"/>
            <rFont val="細明體"/>
            <family val="3"/>
            <charset val="136"/>
          </rPr>
          <t>一匙!</t>
        </r>
      </text>
    </comment>
    <comment ref="AH47" authorId="0" shapeId="0" xr:uid="{00000000-0006-0000-0700-000016000000}">
      <text>
        <r>
          <rPr>
            <b/>
            <sz val="9"/>
            <color indexed="81"/>
            <rFont val="Tahoma"/>
            <family val="2"/>
          </rPr>
          <t>10/27-10/29 4'C</t>
        </r>
        <r>
          <rPr>
            <b/>
            <sz val="9"/>
            <color indexed="81"/>
            <rFont val="細明體"/>
            <family val="3"/>
            <charset val="136"/>
          </rPr>
          <t>，</t>
        </r>
        <r>
          <rPr>
            <b/>
            <sz val="9"/>
            <color indexed="81"/>
            <rFont val="Tahoma"/>
            <family val="2"/>
          </rPr>
          <t>1 ml*1+1.5 ml*1+ 2 ml*1+ 4 ml*2</t>
        </r>
      </text>
    </comment>
    <comment ref="AH62" authorId="0" shapeId="0" xr:uid="{00000000-0006-0000-0700-000017000000}">
      <text>
        <r>
          <rPr>
            <b/>
            <sz val="9"/>
            <color rgb="FF000000"/>
            <rFont val="細明體"/>
            <family val="1"/>
            <charset val="136"/>
          </rPr>
          <t>另有</t>
        </r>
        <r>
          <rPr>
            <b/>
            <sz val="9"/>
            <color rgb="FF000000"/>
            <rFont val="細明體"/>
            <family val="1"/>
            <charset val="136"/>
          </rPr>
          <t>3/15 1 ml*1 + 1.5 ml*1 + 390 ul</t>
        </r>
      </text>
    </comment>
    <comment ref="AS65" authorId="0" shapeId="0" xr:uid="{00000000-0006-0000-0700-000018000000}">
      <text>
        <r>
          <rPr>
            <b/>
            <sz val="9"/>
            <color indexed="81"/>
            <rFont val="Tahoma"/>
            <family val="2"/>
          </rPr>
          <t>11/13</t>
        </r>
        <r>
          <rPr>
            <b/>
            <sz val="9"/>
            <color indexed="81"/>
            <rFont val="細明體"/>
            <family val="3"/>
            <charset val="136"/>
          </rPr>
          <t>與</t>
        </r>
        <r>
          <rPr>
            <b/>
            <sz val="9"/>
            <color indexed="81"/>
            <rFont val="Tahoma"/>
            <family val="2"/>
          </rPr>
          <t>11/15</t>
        </r>
        <r>
          <rPr>
            <b/>
            <sz val="9"/>
            <color indexed="81"/>
            <rFont val="細明體"/>
            <family val="3"/>
            <charset val="136"/>
          </rPr>
          <t>的</t>
        </r>
        <r>
          <rPr>
            <b/>
            <sz val="9"/>
            <color indexed="81"/>
            <rFont val="Tahoma"/>
            <family val="2"/>
          </rPr>
          <t>stool</t>
        </r>
        <r>
          <rPr>
            <b/>
            <sz val="9"/>
            <color indexed="81"/>
            <rFont val="細明體"/>
            <family val="3"/>
            <charset val="136"/>
          </rPr>
          <t>於</t>
        </r>
        <r>
          <rPr>
            <b/>
            <sz val="9"/>
            <color indexed="81"/>
            <rFont val="Tahoma"/>
            <family val="2"/>
          </rPr>
          <t>-20'C</t>
        </r>
        <r>
          <rPr>
            <b/>
            <sz val="9"/>
            <color indexed="81"/>
            <rFont val="細明體"/>
            <family val="3"/>
            <charset val="136"/>
          </rPr>
          <t>保存至12/10才繳交</t>
        </r>
      </text>
    </comment>
    <comment ref="AX65" authorId="0" shapeId="0" xr:uid="{00000000-0006-0000-0700-000019000000}">
      <text>
        <r>
          <rPr>
            <b/>
            <sz val="9"/>
            <color indexed="81"/>
            <rFont val="細明體"/>
            <family val="3"/>
            <charset val="136"/>
          </rPr>
          <t>另有2個(量皆1~2匙)，採檢日分別為9/28及10/3，於-20'C保存至11/11</t>
        </r>
        <r>
          <rPr>
            <sz val="9"/>
            <color indexed="81"/>
            <rFont val="Tahoma"/>
            <family val="2"/>
          </rPr>
          <t xml:space="preserve">
</t>
        </r>
      </text>
    </comment>
    <comment ref="AS70" authorId="0" shapeId="0" xr:uid="{00000000-0006-0000-0700-00001A000000}">
      <text>
        <r>
          <rPr>
            <b/>
            <sz val="9"/>
            <color indexed="81"/>
            <rFont val="細明體"/>
            <family val="3"/>
            <charset val="136"/>
          </rPr>
          <t>一匙</t>
        </r>
      </text>
    </comment>
    <comment ref="AS71" authorId="0" shapeId="0" xr:uid="{00000000-0006-0000-0700-00001B000000}">
      <text>
        <r>
          <rPr>
            <b/>
            <sz val="9"/>
            <color indexed="81"/>
            <rFont val="細明體"/>
            <family val="3"/>
            <charset val="136"/>
          </rPr>
          <t>一匙</t>
        </r>
      </text>
    </comment>
    <comment ref="AS72" authorId="0" shapeId="0" xr:uid="{00000000-0006-0000-0700-00001C000000}">
      <text>
        <r>
          <rPr>
            <b/>
            <sz val="9"/>
            <color indexed="81"/>
            <rFont val="細明體"/>
            <family val="3"/>
            <charset val="136"/>
          </rPr>
          <t>一匙</t>
        </r>
      </text>
    </comment>
    <comment ref="AX88" authorId="0" shapeId="0" xr:uid="{00000000-0006-0000-0700-00001D000000}">
      <text>
        <r>
          <rPr>
            <b/>
            <sz val="9"/>
            <color indexed="81"/>
            <rFont val="細明體"/>
            <family val="3"/>
            <charset val="136"/>
          </rPr>
          <t>混合兩次便便且未冰</t>
        </r>
      </text>
    </comment>
    <comment ref="AS93" authorId="2" shapeId="0" xr:uid="{00000000-0006-0000-0700-00001E000000}">
      <text>
        <r>
          <rPr>
            <b/>
            <sz val="9"/>
            <color indexed="81"/>
            <rFont val="細明體"/>
            <family val="3"/>
            <charset val="136"/>
          </rPr>
          <t>有2個(早上、晚上)</t>
        </r>
        <r>
          <rPr>
            <sz val="9"/>
            <color indexed="81"/>
            <rFont val="Tahoma"/>
            <family val="2"/>
          </rPr>
          <t xml:space="preserve">
</t>
        </r>
      </text>
    </comment>
    <comment ref="G99" authorId="0" shapeId="0" xr:uid="{00000000-0006-0000-0700-00001F000000}">
      <text>
        <r>
          <rPr>
            <sz val="9"/>
            <color indexed="81"/>
            <rFont val="細明體"/>
            <family val="3"/>
            <charset val="136"/>
          </rPr>
          <t>手冊寫32+2</t>
        </r>
        <r>
          <rPr>
            <sz val="9"/>
            <color indexed="81"/>
            <rFont val="Tahoma"/>
            <family val="2"/>
          </rPr>
          <t xml:space="preserve">
</t>
        </r>
      </text>
    </comment>
    <comment ref="AH107" authorId="0" shapeId="0" xr:uid="{00000000-0006-0000-0700-000020000000}">
      <text>
        <r>
          <rPr>
            <sz val="9"/>
            <color indexed="81"/>
            <rFont val="細明體"/>
            <family val="3"/>
            <charset val="136"/>
          </rPr>
          <t>另有2022/1/14 1 ml*1+1.5 ml*1+4 ml*3</t>
        </r>
        <r>
          <rPr>
            <sz val="9"/>
            <color indexed="81"/>
            <rFont val="Tahoma"/>
            <family val="2"/>
          </rPr>
          <t xml:space="preserve">
</t>
        </r>
      </text>
    </comment>
    <comment ref="A108" authorId="0" shapeId="0" xr:uid="{00000000-0006-0000-0700-000021000000}">
      <text>
        <r>
          <rPr>
            <b/>
            <sz val="9"/>
            <color rgb="FF000000"/>
            <rFont val="Tahoma"/>
            <family val="2"/>
          </rPr>
          <t xml:space="preserve">11/16-11/30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113" authorId="0" shapeId="0" xr:uid="{00000000-0006-0000-0700-000022000000}">
      <text>
        <r>
          <rPr>
            <sz val="9"/>
            <color indexed="81"/>
            <rFont val="細明體"/>
            <family val="3"/>
            <charset val="136"/>
          </rPr>
          <t xml:space="preserve">媽媽說小孩有嚴重黑眼圈，醫師建議加入計畫測過敏指數
</t>
        </r>
        <r>
          <rPr>
            <sz val="9"/>
            <color indexed="81"/>
            <rFont val="Tahoma"/>
            <family val="2"/>
          </rPr>
          <t xml:space="preserve">
</t>
        </r>
      </text>
    </comment>
    <comment ref="AX116" authorId="0" shapeId="0" xr:uid="{00000000-0006-0000-0700-000023000000}">
      <text>
        <r>
          <rPr>
            <b/>
            <sz val="9"/>
            <color indexed="81"/>
            <rFont val="細明體"/>
            <family val="3"/>
            <charset val="136"/>
          </rPr>
          <t>一匙，有兩個</t>
        </r>
      </text>
    </comment>
    <comment ref="A125" authorId="0" shapeId="0" xr:uid="{00000000-0006-0000-0700-000024000000}">
      <text>
        <r>
          <rPr>
            <b/>
            <sz val="9"/>
            <color rgb="FF000000"/>
            <rFont val="Tahoma"/>
            <family val="2"/>
          </rPr>
          <t>11/2 OPD: AD</t>
        </r>
        <r>
          <rPr>
            <sz val="9"/>
            <color rgb="FF000000"/>
            <rFont val="Tahoma"/>
            <family val="2"/>
          </rPr>
          <t xml:space="preserve">
</t>
        </r>
      </text>
    </comment>
    <comment ref="AX127" authorId="0" shapeId="0" xr:uid="{00000000-0006-0000-0700-000025000000}">
      <text>
        <r>
          <rPr>
            <b/>
            <sz val="9"/>
            <color indexed="81"/>
            <rFont val="細明體"/>
            <family val="3"/>
            <charset val="136"/>
          </rPr>
          <t>媽媽說有沾到一點凡士林和屁屁膏</t>
        </r>
        <r>
          <rPr>
            <sz val="9"/>
            <color indexed="81"/>
            <rFont val="Tahoma"/>
            <family val="2"/>
          </rPr>
          <t xml:space="preserve">
</t>
        </r>
      </text>
    </comment>
    <comment ref="A132" authorId="0" shapeId="0" xr:uid="{00000000-0006-0000-0700-000026000000}">
      <text>
        <r>
          <rPr>
            <b/>
            <sz val="9"/>
            <color indexed="81"/>
            <rFont val="Tahoma"/>
            <family val="2"/>
          </rPr>
          <t>11/18-12/13 OPD: AD</t>
        </r>
      </text>
    </comment>
    <comment ref="A134" authorId="0" shapeId="0" xr:uid="{00000000-0006-0000-0700-000027000000}">
      <text>
        <r>
          <rPr>
            <b/>
            <sz val="9"/>
            <color indexed="81"/>
            <rFont val="Tahoma"/>
            <family val="2"/>
          </rPr>
          <t>11/17 OPD:
1. AD
2. AR</t>
        </r>
        <r>
          <rPr>
            <sz val="9"/>
            <color indexed="81"/>
            <rFont val="Tahoma"/>
            <family val="2"/>
          </rPr>
          <t xml:space="preserve">
</t>
        </r>
      </text>
    </comment>
    <comment ref="A137" authorId="0" shapeId="0" xr:uid="{00000000-0006-0000-0700-000028000000}">
      <text>
        <r>
          <rPr>
            <b/>
            <sz val="9"/>
            <color indexed="81"/>
            <rFont val="Tahoma"/>
            <family val="2"/>
          </rPr>
          <t>11/16 - NOW: AD</t>
        </r>
      </text>
    </comment>
    <comment ref="A142" authorId="0" shapeId="0" xr:uid="{00000000-0006-0000-0700-000029000000}">
      <text>
        <r>
          <rPr>
            <b/>
            <sz val="9"/>
            <color rgb="FF000000"/>
            <rFont val="Tahoma"/>
            <family val="2"/>
          </rPr>
          <t>11/23-12/28 OPD: AD</t>
        </r>
        <r>
          <rPr>
            <sz val="9"/>
            <color rgb="FF000000"/>
            <rFont val="Tahoma"/>
            <family val="2"/>
          </rPr>
          <t xml:space="preserve">
</t>
        </r>
      </text>
    </comment>
    <comment ref="A149" authorId="0" shapeId="0" xr:uid="{00000000-0006-0000-0700-00002A000000}">
      <text>
        <r>
          <rPr>
            <b/>
            <sz val="9"/>
            <color rgb="FF000000"/>
            <rFont val="Tahoma"/>
            <family val="2"/>
          </rPr>
          <t>AD</t>
        </r>
        <r>
          <rPr>
            <b/>
            <sz val="9"/>
            <color rgb="FF000000"/>
            <rFont val="細明體"/>
            <family val="1"/>
            <charset val="136"/>
          </rPr>
          <t>未關，</t>
        </r>
        <r>
          <rPr>
            <b/>
            <sz val="9"/>
            <color rgb="FF000000"/>
            <rFont val="Tahoma"/>
            <family val="2"/>
          </rPr>
          <t>F/U</t>
        </r>
      </text>
    </comment>
    <comment ref="AS149" authorId="0" shapeId="0" xr:uid="{00000000-0006-0000-0700-00002B000000}">
      <text>
        <r>
          <rPr>
            <b/>
            <sz val="9"/>
            <color indexed="81"/>
            <rFont val="細明體"/>
            <family val="3"/>
            <charset val="136"/>
          </rPr>
          <t>早上</t>
        </r>
      </text>
    </comment>
    <comment ref="AX149" authorId="0" shapeId="0" xr:uid="{00000000-0006-0000-0700-00002C000000}">
      <text>
        <r>
          <rPr>
            <b/>
            <sz val="9"/>
            <color indexed="81"/>
            <rFont val="細明體"/>
            <family val="3"/>
            <charset val="136"/>
          </rPr>
          <t>下午</t>
        </r>
      </text>
    </comment>
    <comment ref="AH157" authorId="0" shapeId="0" xr:uid="{00000000-0006-0000-0700-00002D000000}">
      <text>
        <r>
          <rPr>
            <sz val="9"/>
            <color rgb="FF000000"/>
            <rFont val="細明體"/>
            <family val="1"/>
            <charset val="136"/>
          </rPr>
          <t>另有</t>
        </r>
        <r>
          <rPr>
            <sz val="9"/>
            <color rgb="FF000000"/>
            <rFont val="細明體"/>
            <family val="1"/>
            <charset val="136"/>
          </rPr>
          <t>2022/1/18 320 ul</t>
        </r>
      </text>
    </comment>
    <comment ref="AL157" authorId="0" shapeId="0" xr:uid="{00000000-0006-0000-0700-00002E000000}">
      <text>
        <r>
          <rPr>
            <b/>
            <sz val="9"/>
            <color indexed="81"/>
            <rFont val="Tahoma"/>
            <family val="2"/>
          </rPr>
          <t>2022/1/18</t>
        </r>
      </text>
    </comment>
    <comment ref="AM157" authorId="0" shapeId="0" xr:uid="{00000000-0006-0000-0700-00002F000000}">
      <text>
        <r>
          <rPr>
            <b/>
            <sz val="9"/>
            <color indexed="81"/>
            <rFont val="Tahoma"/>
            <family val="2"/>
          </rPr>
          <t>2022/1/18</t>
        </r>
      </text>
    </comment>
    <comment ref="AN157" authorId="0" shapeId="0" xr:uid="{00000000-0006-0000-0700-000030000000}">
      <text>
        <r>
          <rPr>
            <b/>
            <sz val="9"/>
            <color rgb="FF000000"/>
            <rFont val="Tahoma"/>
            <family val="2"/>
          </rPr>
          <t>2022/3/10</t>
        </r>
      </text>
    </comment>
    <comment ref="AO157" authorId="0" shapeId="0" xr:uid="{00000000-0006-0000-0700-000031000000}">
      <text>
        <r>
          <rPr>
            <b/>
            <sz val="9"/>
            <color rgb="FF000000"/>
            <rFont val="Tahoma"/>
            <family val="2"/>
          </rPr>
          <t>2022/3/10</t>
        </r>
      </text>
    </comment>
    <comment ref="AS158" authorId="0" shapeId="0" xr:uid="{00000000-0006-0000-0700-000032000000}">
      <text>
        <r>
          <rPr>
            <b/>
            <sz val="9"/>
            <color rgb="FF000000"/>
            <rFont val="細明體"/>
            <family val="1"/>
            <charset val="136"/>
          </rPr>
          <t>有兩個但只有一匙</t>
        </r>
        <r>
          <rPr>
            <b/>
            <sz val="9"/>
            <color rgb="FF000000"/>
            <rFont val="細明體"/>
            <family val="1"/>
            <charset val="136"/>
          </rPr>
          <t>(</t>
        </r>
        <r>
          <rPr>
            <b/>
            <sz val="9"/>
            <color rgb="FF000000"/>
            <rFont val="細明體"/>
            <family val="1"/>
            <charset val="136"/>
          </rPr>
          <t>因為便便很稀</t>
        </r>
        <r>
          <rPr>
            <b/>
            <sz val="9"/>
            <color rgb="FF000000"/>
            <rFont val="細明體"/>
            <family val="1"/>
            <charset val="136"/>
          </rPr>
          <t>)</t>
        </r>
      </text>
    </comment>
    <comment ref="AS159" authorId="2" shapeId="0" xr:uid="{00000000-0006-0000-0700-000033000000}">
      <text>
        <r>
          <rPr>
            <b/>
            <sz val="9"/>
            <color rgb="FF000000"/>
            <rFont val="細明體"/>
            <family val="1"/>
            <charset val="136"/>
          </rPr>
          <t>1/16</t>
        </r>
        <r>
          <rPr>
            <b/>
            <sz val="9"/>
            <color rgb="FF000000"/>
            <rFont val="細明體"/>
            <family val="1"/>
            <charset val="136"/>
          </rPr>
          <t>與</t>
        </r>
        <r>
          <rPr>
            <b/>
            <sz val="9"/>
            <color rgb="FF000000"/>
            <rFont val="細明體"/>
            <family val="1"/>
            <charset val="136"/>
          </rPr>
          <t>1/18</t>
        </r>
        <r>
          <rPr>
            <b/>
            <sz val="9"/>
            <color rgb="FF000000"/>
            <rFont val="細明體"/>
            <family val="1"/>
            <charset val="136"/>
          </rPr>
          <t>各有一個，但都只有一匙</t>
        </r>
      </text>
    </comment>
    <comment ref="AS170" authorId="0" shapeId="0" xr:uid="{00000000-0006-0000-0700-000034000000}">
      <text>
        <r>
          <rPr>
            <b/>
            <sz val="9"/>
            <color indexed="81"/>
            <rFont val="細明體"/>
            <family val="3"/>
            <charset val="136"/>
          </rPr>
          <t>一匙多</t>
        </r>
      </text>
    </comment>
    <comment ref="A177" authorId="0" shapeId="0" xr:uid="{00000000-0006-0000-0700-000035000000}">
      <text>
        <r>
          <rPr>
            <b/>
            <sz val="9"/>
            <color rgb="FF000000"/>
            <rFont val="Tahoma"/>
            <family val="2"/>
          </rPr>
          <t xml:space="preserve">1. brain F/U
</t>
        </r>
        <r>
          <rPr>
            <b/>
            <sz val="9"/>
            <color rgb="FF000000"/>
            <rFont val="Tahoma"/>
            <family val="2"/>
          </rPr>
          <t>2. 3/15 OPD: skin AD</t>
        </r>
      </text>
    </comment>
    <comment ref="AS177" authorId="0" shapeId="0" xr:uid="{00000000-0006-0000-0700-000036000000}">
      <text>
        <r>
          <rPr>
            <b/>
            <sz val="9"/>
            <color indexed="81"/>
            <rFont val="細明體"/>
            <family val="3"/>
            <charset val="136"/>
          </rPr>
          <t>一匙</t>
        </r>
      </text>
    </comment>
    <comment ref="A178" authorId="0" shapeId="0" xr:uid="{00000000-0006-0000-0700-000037000000}">
      <text>
        <r>
          <rPr>
            <b/>
            <sz val="9"/>
            <color indexed="81"/>
            <rFont val="Tahoma"/>
            <family val="2"/>
          </rPr>
          <t>1/27 OPD: irritant contact dermatitis due to other agents</t>
        </r>
      </text>
    </comment>
    <comment ref="AX178" authorId="0" shapeId="0" xr:uid="{00000000-0006-0000-0700-000038000000}">
      <text>
        <r>
          <rPr>
            <b/>
            <sz val="9"/>
            <color indexed="81"/>
            <rFont val="Tahoma"/>
            <family val="2"/>
          </rPr>
          <t>RT 2hr</t>
        </r>
        <r>
          <rPr>
            <b/>
            <sz val="9"/>
            <color indexed="81"/>
            <rFont val="細明體"/>
            <family val="3"/>
            <charset val="136"/>
          </rPr>
          <t>後才放冷凍庫</t>
        </r>
        <r>
          <rPr>
            <sz val="9"/>
            <color indexed="81"/>
            <rFont val="Tahoma"/>
            <family val="2"/>
          </rPr>
          <t xml:space="preserve">
</t>
        </r>
      </text>
    </comment>
    <comment ref="AH179" authorId="0" shapeId="0" xr:uid="{00000000-0006-0000-0700-000039000000}">
      <text>
        <r>
          <rPr>
            <b/>
            <sz val="9"/>
            <color indexed="81"/>
            <rFont val="細明體"/>
            <family val="3"/>
            <charset val="136"/>
          </rPr>
          <t>另有2022/4/26 矯5M29D 1 ml*1+1.5 ml*1+4 ml*3，當天尿但媽媽放冷凍，因分裝free-thaw</t>
        </r>
      </text>
    </comment>
    <comment ref="AX181" authorId="2" shapeId="0" xr:uid="{00000000-0006-0000-0700-00003A000000}">
      <text>
        <r>
          <rPr>
            <b/>
            <sz val="9"/>
            <color rgb="FF000000"/>
            <rFont val="細明體"/>
            <family val="1"/>
            <charset val="136"/>
          </rPr>
          <t>不到一匙</t>
        </r>
      </text>
    </comment>
    <comment ref="A183" authorId="0" shapeId="0" xr:uid="{00000000-0006-0000-0700-00003B000000}">
      <text>
        <r>
          <rPr>
            <b/>
            <sz val="9"/>
            <color indexed="81"/>
            <rFont val="Tahoma"/>
            <family val="2"/>
          </rPr>
          <t>1. Other respiratory distress of newborn
2. Dermatitis</t>
        </r>
      </text>
    </comment>
    <comment ref="A186" authorId="0" shapeId="0" xr:uid="{00000000-0006-0000-0700-00003C000000}">
      <text>
        <r>
          <rPr>
            <b/>
            <sz val="9"/>
            <color rgb="FF000000"/>
            <rFont val="Tahoma"/>
            <family val="2"/>
          </rPr>
          <t>2/19 OPD: intrinsic (allergic) eczema</t>
        </r>
        <r>
          <rPr>
            <sz val="9"/>
            <color rgb="FF000000"/>
            <rFont val="Tahoma"/>
            <family val="2"/>
          </rPr>
          <t xml:space="preserve">
</t>
        </r>
      </text>
    </comment>
    <comment ref="AS187" authorId="2" shapeId="0" xr:uid="{00000000-0006-0000-0700-00003D000000}">
      <text>
        <r>
          <rPr>
            <b/>
            <sz val="9"/>
            <color indexed="81"/>
            <rFont val="細明體"/>
            <family val="3"/>
            <charset val="136"/>
          </rPr>
          <t>較少</t>
        </r>
        <r>
          <rPr>
            <sz val="9"/>
            <color indexed="81"/>
            <rFont val="Tahoma"/>
            <family val="2"/>
          </rPr>
          <t xml:space="preserve">
</t>
        </r>
      </text>
    </comment>
    <comment ref="AX187" authorId="2" shapeId="0" xr:uid="{00000000-0006-0000-0700-00003E000000}">
      <text>
        <r>
          <rPr>
            <b/>
            <sz val="9"/>
            <color indexed="81"/>
            <rFont val="細明體"/>
            <family val="3"/>
            <charset val="136"/>
          </rPr>
          <t>較多</t>
        </r>
        <r>
          <rPr>
            <sz val="9"/>
            <color indexed="81"/>
            <rFont val="Tahoma"/>
            <family val="2"/>
          </rPr>
          <t xml:space="preserve">
</t>
        </r>
      </text>
    </comment>
    <comment ref="A190" authorId="0" shapeId="0" xr:uid="{00000000-0006-0000-0700-00003F000000}">
      <text>
        <r>
          <rPr>
            <b/>
            <sz val="9"/>
            <color rgb="FF000000"/>
            <rFont val="Tahoma"/>
            <family val="2"/>
          </rPr>
          <t>3/21 OPD: AR</t>
        </r>
        <r>
          <rPr>
            <sz val="9"/>
            <color rgb="FF000000"/>
            <rFont val="Tahoma"/>
            <family val="2"/>
          </rPr>
          <t xml:space="preserve">
</t>
        </r>
      </text>
    </comment>
    <comment ref="AS192" authorId="0" shapeId="0" xr:uid="{00000000-0006-0000-0700-000040000000}">
      <text>
        <r>
          <rPr>
            <b/>
            <sz val="9"/>
            <color rgb="FF000000"/>
            <rFont val="細明體"/>
            <family val="1"/>
            <charset val="136"/>
          </rPr>
          <t>另有</t>
        </r>
        <r>
          <rPr>
            <b/>
            <sz val="9"/>
            <color rgb="FF000000"/>
            <rFont val="細明體"/>
            <family val="1"/>
            <charset val="136"/>
          </rPr>
          <t>2022/4/30 4M8D stool*2 (</t>
        </r>
        <r>
          <rPr>
            <b/>
            <sz val="9"/>
            <color rgb="FF000000"/>
            <rFont val="細明體"/>
            <family val="1"/>
            <charset val="136"/>
          </rPr>
          <t>皆不到一匙</t>
        </r>
        <r>
          <rPr>
            <b/>
            <sz val="9"/>
            <color rgb="FF000000"/>
            <rFont val="細明體"/>
            <family val="1"/>
            <charset val="136"/>
          </rPr>
          <t>)</t>
        </r>
        <r>
          <rPr>
            <sz val="9"/>
            <color rgb="FF000000"/>
            <rFont val="Tahoma"/>
            <family val="2"/>
          </rPr>
          <t xml:space="preserve">
</t>
        </r>
      </text>
    </comment>
    <comment ref="A197" authorId="0" shapeId="0" xr:uid="{00000000-0006-0000-0700-000041000000}">
      <text>
        <r>
          <rPr>
            <b/>
            <sz val="9"/>
            <color rgb="FF000000"/>
            <rFont val="Tahoma"/>
            <family val="2"/>
          </rPr>
          <t xml:space="preserve">3/22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203" authorId="0" shapeId="0" xr:uid="{00000000-0006-0000-0700-000042000000}">
      <text>
        <r>
          <rPr>
            <b/>
            <sz val="9"/>
            <color indexed="81"/>
            <rFont val="細明體"/>
            <family val="3"/>
            <charset val="136"/>
          </rPr>
          <t>骨科</t>
        </r>
        <r>
          <rPr>
            <b/>
            <sz val="9"/>
            <color indexed="81"/>
            <rFont val="Calibri"/>
            <family val="2"/>
          </rPr>
          <t xml:space="preserve">:
1. Other Specified Congenutal Deformities of Feet
2. Congenital Deformity of Finger(s) and Hand
3. Cephalhematoma due to Birth Injury
4. Other Specified Infections Specific to the Perinatal Period
5. Congenital Myopathies
</t>
        </r>
        <r>
          <rPr>
            <b/>
            <sz val="9"/>
            <color indexed="81"/>
            <rFont val="細明體"/>
            <family val="3"/>
            <charset val="136"/>
          </rPr>
          <t xml:space="preserve">復健科
</t>
        </r>
        <r>
          <rPr>
            <b/>
            <sz val="9"/>
            <color indexed="81"/>
            <rFont val="Calibri"/>
            <family val="2"/>
          </rPr>
          <t>1. Other Disorders of Psychological Developmean
2. Specific Developmental Disorder of Motor Function</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J1" authorId="0" shapeId="0" xr:uid="{00000000-0006-0000-0800-000001000000}">
      <text>
        <r>
          <rPr>
            <b/>
            <sz val="12"/>
            <color rgb="FF000000"/>
            <rFont val="Times New Roman"/>
            <family val="1"/>
          </rPr>
          <t>0-6M 51-84%</t>
        </r>
        <r>
          <rPr>
            <b/>
            <sz val="12"/>
            <color rgb="FF000000"/>
            <rFont val="細明體"/>
            <family val="1"/>
            <charset val="136"/>
          </rPr>
          <t>；</t>
        </r>
        <r>
          <rPr>
            <b/>
            <sz val="12"/>
            <color rgb="FF000000"/>
            <rFont val="Times New Roman"/>
            <family val="1"/>
          </rPr>
          <t>6M-2Y 49-76%</t>
        </r>
        <r>
          <rPr>
            <b/>
            <sz val="12"/>
            <color rgb="FF000000"/>
            <rFont val="細明體"/>
            <family val="1"/>
            <charset val="136"/>
          </rPr>
          <t>；</t>
        </r>
        <r>
          <rPr>
            <b/>
            <sz val="12"/>
            <color rgb="FF000000"/>
            <rFont val="Times New Roman"/>
            <family val="1"/>
          </rPr>
          <t>2Y-6Y 56-75%</t>
        </r>
      </text>
    </comment>
    <comment ref="K1" authorId="0" shapeId="0" xr:uid="{00000000-0006-0000-0800-000002000000}">
      <text>
        <r>
          <rPr>
            <b/>
            <sz val="12"/>
            <color rgb="FF000000"/>
            <rFont val="Times New Roman"/>
            <family val="1"/>
          </rPr>
          <t>0-6M 6-41%</t>
        </r>
        <r>
          <rPr>
            <b/>
            <sz val="12"/>
            <color rgb="FF000000"/>
            <rFont val="細明體"/>
            <family val="1"/>
            <charset val="136"/>
          </rPr>
          <t>；</t>
        </r>
        <r>
          <rPr>
            <b/>
            <sz val="12"/>
            <color rgb="FF000000"/>
            <rFont val="Times New Roman"/>
            <family val="1"/>
          </rPr>
          <t>6M-2Y 14-37%</t>
        </r>
        <r>
          <rPr>
            <b/>
            <sz val="12"/>
            <color rgb="FF000000"/>
            <rFont val="細明體"/>
            <family val="1"/>
            <charset val="136"/>
          </rPr>
          <t>；</t>
        </r>
        <r>
          <rPr>
            <b/>
            <sz val="12"/>
            <color rgb="FF000000"/>
            <rFont val="Times New Roman"/>
            <family val="1"/>
          </rPr>
          <t>2Y-6Y 14-33%</t>
        </r>
      </text>
    </comment>
    <comment ref="N1" authorId="0" shapeId="0" xr:uid="{00000000-0006-0000-0800-000003000000}">
      <text>
        <r>
          <rPr>
            <b/>
            <sz val="12"/>
            <color rgb="FF000000"/>
            <rFont val="Times New Roman"/>
            <family val="1"/>
          </rPr>
          <t>0-6M 35-64%</t>
        </r>
        <r>
          <rPr>
            <b/>
            <sz val="12"/>
            <color rgb="FF000000"/>
            <rFont val="細明體"/>
            <family val="1"/>
            <charset val="136"/>
          </rPr>
          <t>；</t>
        </r>
        <r>
          <rPr>
            <b/>
            <sz val="12"/>
            <color rgb="FF000000"/>
            <rFont val="Times New Roman"/>
            <family val="1"/>
          </rPr>
          <t>6M-2Y 31-56%</t>
        </r>
        <r>
          <rPr>
            <b/>
            <sz val="12"/>
            <color rgb="FF000000"/>
            <rFont val="細明體"/>
            <family val="1"/>
            <charset val="136"/>
          </rPr>
          <t>；</t>
        </r>
        <r>
          <rPr>
            <b/>
            <sz val="12"/>
            <color rgb="FF000000"/>
            <rFont val="Times New Roman"/>
            <family val="1"/>
          </rPr>
          <t>2Y-6Y 28-47%</t>
        </r>
      </text>
    </comment>
    <comment ref="P1" authorId="0" shapeId="0" xr:uid="{00000000-0006-0000-0800-000004000000}">
      <text>
        <r>
          <rPr>
            <b/>
            <sz val="12"/>
            <color rgb="FF000000"/>
            <rFont val="Times New Roman"/>
            <family val="1"/>
          </rPr>
          <t>0-6M 12-28%</t>
        </r>
        <r>
          <rPr>
            <b/>
            <sz val="12"/>
            <color rgb="FF000000"/>
            <rFont val="新細明體"/>
            <family val="1"/>
            <charset val="136"/>
          </rPr>
          <t>；</t>
        </r>
        <r>
          <rPr>
            <b/>
            <sz val="12"/>
            <color rgb="FF000000"/>
            <rFont val="Times New Roman"/>
            <family val="1"/>
          </rPr>
          <t>6M-2Y 12-30%</t>
        </r>
        <r>
          <rPr>
            <b/>
            <sz val="12"/>
            <color rgb="FF000000"/>
            <rFont val="新細明體"/>
            <family val="1"/>
            <charset val="136"/>
          </rPr>
          <t>；</t>
        </r>
        <r>
          <rPr>
            <b/>
            <sz val="12"/>
            <color rgb="FF000000"/>
            <rFont val="Times New Roman"/>
            <family val="1"/>
          </rPr>
          <t>2Y-6Y 16-30%</t>
        </r>
      </text>
    </comment>
    <comment ref="S1" authorId="0" shapeId="0" xr:uid="{00000000-0006-0000-0800-000005000000}">
      <text>
        <r>
          <rPr>
            <b/>
            <sz val="12"/>
            <color rgb="FF000000"/>
            <rFont val="Times New Roman"/>
            <family val="1"/>
          </rPr>
          <t>0-6M 3-18%</t>
        </r>
        <r>
          <rPr>
            <b/>
            <sz val="12"/>
            <color rgb="FF000000"/>
            <rFont val="新細明體"/>
            <family val="1"/>
            <charset val="136"/>
          </rPr>
          <t>；</t>
        </r>
        <r>
          <rPr>
            <b/>
            <sz val="12"/>
            <color rgb="FF000000"/>
            <rFont val="Times New Roman"/>
            <family val="1"/>
          </rPr>
          <t>6M-2Y 3-15%</t>
        </r>
        <r>
          <rPr>
            <b/>
            <sz val="12"/>
            <color rgb="FF000000"/>
            <rFont val="新細明體"/>
            <family val="1"/>
            <charset val="136"/>
          </rPr>
          <t>；</t>
        </r>
        <r>
          <rPr>
            <b/>
            <sz val="12"/>
            <color rgb="FF000000"/>
            <rFont val="Times New Roman"/>
            <family val="1"/>
          </rPr>
          <t>2Y-6Y 4-17%</t>
        </r>
      </text>
    </comment>
    <comment ref="A2" authorId="0" shapeId="0" xr:uid="{00000000-0006-0000-0800-000006000000}">
      <text>
        <r>
          <rPr>
            <b/>
            <sz val="9"/>
            <color rgb="FF000000"/>
            <rFont val="細明體"/>
            <family val="1"/>
            <charset val="136"/>
          </rPr>
          <t>不抽血</t>
        </r>
      </text>
    </comment>
    <comment ref="A3" authorId="0" shapeId="0" xr:uid="{00000000-0006-0000-0800-000007000000}">
      <text>
        <r>
          <rPr>
            <b/>
            <sz val="9"/>
            <color rgb="FF000000"/>
            <rFont val="Tahoma"/>
            <family val="2"/>
          </rPr>
          <t xml:space="preserve">1. ASD
</t>
        </r>
        <r>
          <rPr>
            <b/>
            <sz val="9"/>
            <color rgb="FF000000"/>
            <rFont val="Tahoma"/>
            <family val="2"/>
          </rPr>
          <t xml:space="preserve">2. Stenosis of pulmonary artery
</t>
        </r>
        <r>
          <rPr>
            <b/>
            <sz val="9"/>
            <color rgb="FF000000"/>
            <rFont val="Tahoma"/>
            <family val="2"/>
          </rPr>
          <t xml:space="preserve">3. Congenital malformation of heart
</t>
        </r>
        <r>
          <rPr>
            <b/>
            <sz val="9"/>
            <color rgb="FF000000"/>
            <rFont val="Tahoma"/>
            <family val="2"/>
          </rPr>
          <t xml:space="preserve">4. Congenital hypotonia failure to thrive
</t>
        </r>
        <r>
          <rPr>
            <b/>
            <sz val="9"/>
            <color rgb="FF000000"/>
            <rFont val="Tahoma"/>
            <family val="2"/>
          </rPr>
          <t xml:space="preserve">5. Other disorder of psychological development
</t>
        </r>
        <r>
          <rPr>
            <b/>
            <sz val="9"/>
            <color rgb="FF000000"/>
            <rFont val="Tahoma"/>
            <family val="2"/>
          </rPr>
          <t>6. Other developmental disorders of speech and language</t>
        </r>
      </text>
    </comment>
    <comment ref="D6" authorId="0" shapeId="0" xr:uid="{00000000-0006-0000-0800-000008000000}">
      <text>
        <r>
          <rPr>
            <b/>
            <sz val="9"/>
            <color rgb="FF000000"/>
            <rFont val="Tahoma"/>
            <family val="2"/>
          </rPr>
          <t xml:space="preserve">2021/12/1 </t>
        </r>
        <r>
          <rPr>
            <b/>
            <sz val="9"/>
            <color rgb="FF000000"/>
            <rFont val="細明體"/>
            <family val="1"/>
            <charset val="136"/>
          </rPr>
          <t>口頭解釋報告並與爸爸約</t>
        </r>
        <r>
          <rPr>
            <b/>
            <sz val="9"/>
            <color rgb="FF000000"/>
            <rFont val="細明體"/>
            <family val="1"/>
            <charset val="136"/>
          </rPr>
          <t>2022/3/23</t>
        </r>
        <r>
          <rPr>
            <b/>
            <sz val="9"/>
            <color rgb="FF000000"/>
            <rFont val="細明體"/>
            <family val="1"/>
            <charset val="136"/>
          </rPr>
          <t>回診時要簽新版同意書</t>
        </r>
        <r>
          <rPr>
            <b/>
            <sz val="9"/>
            <color rgb="FF000000"/>
            <rFont val="細明體"/>
            <family val="1"/>
            <charset val="136"/>
          </rPr>
          <t>/</t>
        </r>
        <r>
          <rPr>
            <b/>
            <sz val="9"/>
            <color rgb="FF000000"/>
            <rFont val="細明體"/>
            <family val="1"/>
            <charset val="136"/>
          </rPr>
          <t>領</t>
        </r>
        <r>
          <rPr>
            <b/>
            <sz val="9"/>
            <color rgb="FF000000"/>
            <rFont val="細明體"/>
            <family val="1"/>
            <charset val="136"/>
          </rPr>
          <t>500</t>
        </r>
        <r>
          <rPr>
            <b/>
            <sz val="9"/>
            <color rgb="FF000000"/>
            <rFont val="細明體"/>
            <family val="1"/>
            <charset val="136"/>
          </rPr>
          <t>元</t>
        </r>
      </text>
    </comment>
    <comment ref="A11" authorId="0" shapeId="0" xr:uid="{00000000-0006-0000-0800-000009000000}">
      <text>
        <r>
          <rPr>
            <b/>
            <sz val="9"/>
            <color rgb="FF000000"/>
            <rFont val="Tahoma"/>
            <family val="2"/>
          </rPr>
          <t xml:space="preserve">1. AD (since 3 m/o)
</t>
        </r>
        <r>
          <rPr>
            <b/>
            <sz val="9"/>
            <color rgb="FF000000"/>
            <rFont val="Tahoma"/>
            <family val="2"/>
          </rPr>
          <t>2. AR</t>
        </r>
      </text>
    </comment>
    <comment ref="A14" authorId="0" shapeId="0" xr:uid="{00000000-0006-0000-0800-00000A000000}">
      <text>
        <r>
          <rPr>
            <b/>
            <sz val="9"/>
            <color rgb="FF000000"/>
            <rFont val="細明體"/>
            <family val="1"/>
            <charset val="136"/>
          </rPr>
          <t>不抽血</t>
        </r>
        <r>
          <rPr>
            <b/>
            <sz val="9"/>
            <color rgb="FF000000"/>
            <rFont val="細明體"/>
            <family val="1"/>
            <charset val="136"/>
          </rPr>
          <t xml:space="preserve">
</t>
        </r>
        <r>
          <rPr>
            <b/>
            <sz val="9"/>
            <color rgb="FF000000"/>
            <rFont val="細明體"/>
            <family val="1"/>
            <charset val="136"/>
          </rPr>
          <t>1. 12/16-10/13 OPD: AD</t>
        </r>
      </text>
    </comment>
    <comment ref="A17" authorId="0" shapeId="0" xr:uid="{00000000-0006-0000-0800-00000B000000}">
      <text>
        <r>
          <rPr>
            <b/>
            <sz val="9"/>
            <color rgb="FF000000"/>
            <rFont val="Tahoma"/>
            <family val="2"/>
          </rPr>
          <t>1. Failure to thrive in newborn</t>
        </r>
      </text>
    </comment>
    <comment ref="A25" authorId="0" shapeId="0" xr:uid="{00000000-0006-0000-0800-00000C000000}">
      <text>
        <r>
          <rPr>
            <b/>
            <sz val="9"/>
            <color rgb="FF000000"/>
            <rFont val="Tahoma"/>
            <family val="2"/>
          </rPr>
          <t xml:space="preserve">5/12- now : Developmental delay
</t>
        </r>
        <r>
          <rPr>
            <b/>
            <sz val="9"/>
            <color rgb="FF000000"/>
            <rFont val="Tahoma"/>
            <family val="2"/>
          </rPr>
          <t xml:space="preserve">1. Other disorders of psychological development
</t>
        </r>
        <r>
          <rPr>
            <b/>
            <sz val="9"/>
            <color rgb="FF000000"/>
            <rFont val="Tahoma"/>
            <family val="2"/>
          </rPr>
          <t>2. Specific developmental disorder of motor function</t>
        </r>
      </text>
    </comment>
    <comment ref="A31" authorId="0" shapeId="0" xr:uid="{00000000-0006-0000-0800-00000D000000}">
      <text>
        <r>
          <rPr>
            <b/>
            <sz val="9"/>
            <color rgb="FF000000"/>
            <rFont val="Tahoma"/>
            <family val="2"/>
          </rPr>
          <t>2/23-3/25 OPD: AD</t>
        </r>
      </text>
    </comment>
    <comment ref="A32" authorId="0" shapeId="0" xr:uid="{00000000-0006-0000-0800-00000E000000}">
      <text>
        <r>
          <rPr>
            <b/>
            <sz val="9"/>
            <color rgb="FF000000"/>
            <rFont val="Tahoma"/>
            <family val="2"/>
          </rPr>
          <t>3/3 OPD: irritant contact dermatitis due to other agents</t>
        </r>
        <r>
          <rPr>
            <sz val="9"/>
            <color rgb="FF000000"/>
            <rFont val="Tahoma"/>
            <family val="2"/>
          </rPr>
          <t xml:space="preserve">
</t>
        </r>
      </text>
    </comment>
    <comment ref="A108" authorId="0" shapeId="0" xr:uid="{00000000-0006-0000-0800-00000F000000}">
      <text>
        <r>
          <rPr>
            <b/>
            <sz val="9"/>
            <color indexed="81"/>
            <rFont val="Tahoma"/>
            <family val="2"/>
          </rPr>
          <t>11/16-11/30 OPD:
1. AD
2. AR</t>
        </r>
        <r>
          <rPr>
            <sz val="9"/>
            <color indexed="81"/>
            <rFont val="Tahoma"/>
            <family val="2"/>
          </rPr>
          <t xml:space="preserve">
</t>
        </r>
      </text>
    </comment>
    <comment ref="A113" authorId="0" shapeId="0" xr:uid="{00000000-0006-0000-0800-000010000000}">
      <text>
        <r>
          <rPr>
            <sz val="9"/>
            <color rgb="FF000000"/>
            <rFont val="細明體"/>
            <family val="1"/>
            <charset val="136"/>
          </rPr>
          <t>媽媽說小孩有嚴重黑眼圈，醫師建議加入計畫測過敏指數</t>
        </r>
        <r>
          <rPr>
            <sz val="9"/>
            <color rgb="FF000000"/>
            <rFont val="細明體"/>
            <family val="1"/>
            <charset val="136"/>
          </rPr>
          <t xml:space="preserve">
</t>
        </r>
        <r>
          <rPr>
            <sz val="9"/>
            <color rgb="FF000000"/>
            <rFont val="Tahoma"/>
            <family val="2"/>
          </rPr>
          <t xml:space="preserve">
</t>
        </r>
      </text>
    </comment>
    <comment ref="A125" authorId="0" shapeId="0" xr:uid="{00000000-0006-0000-0800-000011000000}">
      <text>
        <r>
          <rPr>
            <b/>
            <sz val="9"/>
            <color indexed="81"/>
            <rFont val="Tahoma"/>
            <family val="2"/>
          </rPr>
          <t>11/2 OPD: AD</t>
        </r>
        <r>
          <rPr>
            <sz val="9"/>
            <color indexed="81"/>
            <rFont val="Tahoma"/>
            <family val="2"/>
          </rPr>
          <t xml:space="preserve">
</t>
        </r>
      </text>
    </comment>
    <comment ref="A132" authorId="0" shapeId="0" xr:uid="{00000000-0006-0000-0800-000012000000}">
      <text>
        <r>
          <rPr>
            <b/>
            <sz val="9"/>
            <color indexed="81"/>
            <rFont val="Tahoma"/>
            <family val="2"/>
          </rPr>
          <t>11/18-12/13 OPD: AD</t>
        </r>
      </text>
    </comment>
    <comment ref="A134" authorId="0" shapeId="0" xr:uid="{00000000-0006-0000-0800-000013000000}">
      <text>
        <r>
          <rPr>
            <b/>
            <sz val="9"/>
            <color indexed="81"/>
            <rFont val="Tahoma"/>
            <family val="2"/>
          </rPr>
          <t>11/17 OPD:
1. AD
2. AR</t>
        </r>
        <r>
          <rPr>
            <sz val="9"/>
            <color indexed="81"/>
            <rFont val="Tahoma"/>
            <family val="2"/>
          </rPr>
          <t xml:space="preserve">
</t>
        </r>
      </text>
    </comment>
    <comment ref="A137" authorId="0" shapeId="0" xr:uid="{00000000-0006-0000-0800-000014000000}">
      <text>
        <r>
          <rPr>
            <b/>
            <sz val="9"/>
            <color rgb="FF000000"/>
            <rFont val="Tahoma"/>
            <family val="2"/>
          </rPr>
          <t>11/16 - NOW: AD</t>
        </r>
      </text>
    </comment>
    <comment ref="A142" authorId="0" shapeId="0" xr:uid="{00000000-0006-0000-0800-000015000000}">
      <text>
        <r>
          <rPr>
            <b/>
            <sz val="9"/>
            <color indexed="81"/>
            <rFont val="Tahoma"/>
            <family val="2"/>
          </rPr>
          <t>11/23-12/28 OPD: AD</t>
        </r>
        <r>
          <rPr>
            <sz val="9"/>
            <color indexed="81"/>
            <rFont val="Tahoma"/>
            <family val="2"/>
          </rPr>
          <t xml:space="preserve">
</t>
        </r>
      </text>
    </comment>
    <comment ref="A149" authorId="0" shapeId="0" xr:uid="{00000000-0006-0000-0800-000016000000}">
      <text>
        <r>
          <rPr>
            <b/>
            <sz val="9"/>
            <color indexed="81"/>
            <rFont val="Tahoma"/>
            <family val="2"/>
          </rPr>
          <t>AD</t>
        </r>
        <r>
          <rPr>
            <b/>
            <sz val="9"/>
            <color indexed="81"/>
            <rFont val="細明體"/>
            <family val="3"/>
            <charset val="136"/>
          </rPr>
          <t>未關，</t>
        </r>
        <r>
          <rPr>
            <b/>
            <sz val="9"/>
            <color indexed="81"/>
            <rFont val="Tahoma"/>
            <family val="2"/>
          </rPr>
          <t>F/U</t>
        </r>
      </text>
    </comment>
    <comment ref="A177" authorId="0" shapeId="0" xr:uid="{00000000-0006-0000-0800-000017000000}">
      <text>
        <r>
          <rPr>
            <b/>
            <sz val="9"/>
            <color rgb="FF000000"/>
            <rFont val="Tahoma"/>
            <family val="2"/>
          </rPr>
          <t xml:space="preserve">1. brain F/U
</t>
        </r>
        <r>
          <rPr>
            <b/>
            <sz val="9"/>
            <color rgb="FF000000"/>
            <rFont val="Tahoma"/>
            <family val="2"/>
          </rPr>
          <t>2. 3/15 OPD: skin AD</t>
        </r>
      </text>
    </comment>
    <comment ref="A178" authorId="0" shapeId="0" xr:uid="{00000000-0006-0000-0800-000018000000}">
      <text>
        <r>
          <rPr>
            <b/>
            <sz val="9"/>
            <color indexed="81"/>
            <rFont val="Tahoma"/>
            <family val="2"/>
          </rPr>
          <t>1/27 OPD: irritant contact dermatitis due to other agents</t>
        </r>
      </text>
    </comment>
    <comment ref="A183" authorId="0" shapeId="0" xr:uid="{00000000-0006-0000-0800-000019000000}">
      <text>
        <r>
          <rPr>
            <b/>
            <sz val="9"/>
            <color indexed="81"/>
            <rFont val="Tahoma"/>
            <family val="2"/>
          </rPr>
          <t>1. Other respiratory distress of newborn
2. Dermatitis</t>
        </r>
      </text>
    </comment>
    <comment ref="A186" authorId="0" shapeId="0" xr:uid="{00000000-0006-0000-0800-00001A000000}">
      <text>
        <r>
          <rPr>
            <b/>
            <sz val="9"/>
            <color indexed="81"/>
            <rFont val="Tahoma"/>
            <family val="2"/>
          </rPr>
          <t>2/19 OPD: intrinsic (allergic) eczema</t>
        </r>
        <r>
          <rPr>
            <sz val="9"/>
            <color indexed="81"/>
            <rFont val="Tahoma"/>
            <family val="2"/>
          </rPr>
          <t xml:space="preserve">
</t>
        </r>
      </text>
    </comment>
    <comment ref="A190" authorId="0" shapeId="0" xr:uid="{00000000-0006-0000-0800-00001B000000}">
      <text>
        <r>
          <rPr>
            <b/>
            <sz val="9"/>
            <color indexed="81"/>
            <rFont val="Tahoma"/>
            <family val="2"/>
          </rPr>
          <t>3/21 OPD: AR</t>
        </r>
        <r>
          <rPr>
            <sz val="9"/>
            <color indexed="81"/>
            <rFont val="Tahoma"/>
            <family val="2"/>
          </rPr>
          <t xml:space="preserve">
</t>
        </r>
      </text>
    </comment>
    <comment ref="A197" authorId="0" shapeId="0" xr:uid="{00000000-0006-0000-0800-00001C000000}">
      <text>
        <r>
          <rPr>
            <b/>
            <sz val="9"/>
            <color rgb="FF000000"/>
            <rFont val="Tahoma"/>
            <family val="2"/>
          </rPr>
          <t xml:space="preserve">3/22 OPD:
</t>
        </r>
        <r>
          <rPr>
            <b/>
            <sz val="9"/>
            <color rgb="FF000000"/>
            <rFont val="Tahoma"/>
            <family val="2"/>
          </rPr>
          <t xml:space="preserve">1. AD
</t>
        </r>
        <r>
          <rPr>
            <b/>
            <sz val="9"/>
            <color rgb="FF000000"/>
            <rFont val="Tahoma"/>
            <family val="2"/>
          </rPr>
          <t>2. AR</t>
        </r>
        <r>
          <rPr>
            <sz val="9"/>
            <color rgb="FF000000"/>
            <rFont val="Tahoma"/>
            <family val="2"/>
          </rPr>
          <t xml:space="preserve">
</t>
        </r>
      </text>
    </comment>
    <comment ref="A203" authorId="0" shapeId="0" xr:uid="{00000000-0006-0000-0800-00001D000000}">
      <text>
        <r>
          <rPr>
            <b/>
            <sz val="9"/>
            <color indexed="81"/>
            <rFont val="細明體"/>
            <family val="3"/>
            <charset val="136"/>
          </rPr>
          <t>骨科</t>
        </r>
        <r>
          <rPr>
            <b/>
            <sz val="9"/>
            <color indexed="81"/>
            <rFont val="Calibri"/>
            <family val="2"/>
          </rPr>
          <t xml:space="preserve">:
1. Other Specified Congenutal Deformities of Feet
2. Congenital Deformity of Finger(s) and Hand
3. Cephalhematoma due to Birth Injury
4. Other Specified Infections Specific to the Perinatal Period
5. Congenital Myopathies
</t>
        </r>
        <r>
          <rPr>
            <b/>
            <sz val="9"/>
            <color indexed="81"/>
            <rFont val="細明體"/>
            <family val="3"/>
            <charset val="136"/>
          </rPr>
          <t xml:space="preserve">復健科
</t>
        </r>
        <r>
          <rPr>
            <b/>
            <sz val="9"/>
            <color indexed="81"/>
            <rFont val="Calibri"/>
            <family val="2"/>
          </rPr>
          <t>1. Other Disorders of Psychological Developmean
2. Specific Developmental Disorder of Motor Function</t>
        </r>
        <r>
          <rPr>
            <sz val="9"/>
            <color indexed="81"/>
            <rFont val="Tahoma"/>
            <family val="2"/>
          </rPr>
          <t xml:space="preserve">
</t>
        </r>
      </text>
    </comment>
  </commentList>
</comments>
</file>

<file path=xl/sharedStrings.xml><?xml version="1.0" encoding="utf-8"?>
<sst xmlns="http://schemas.openxmlformats.org/spreadsheetml/2006/main" count="10242" uniqueCount="2740">
  <si>
    <t>case no.</t>
    <phoneticPr fontId="3" type="noConversion"/>
  </si>
  <si>
    <t>chart no.</t>
    <phoneticPr fontId="3" type="noConversion"/>
  </si>
  <si>
    <t>name</t>
    <phoneticPr fontId="3" type="noConversion"/>
  </si>
  <si>
    <t>eng. name</t>
    <phoneticPr fontId="3" type="noConversion"/>
  </si>
  <si>
    <t>sex</t>
    <phoneticPr fontId="3" type="noConversion"/>
  </si>
  <si>
    <t>birth date</t>
    <phoneticPr fontId="3" type="noConversion"/>
  </si>
  <si>
    <t>EDC</t>
    <phoneticPr fontId="3" type="noConversion"/>
  </si>
  <si>
    <t>矯正5M</t>
  </si>
  <si>
    <t>矯正1Y</t>
  </si>
  <si>
    <t>矯正1Y11M</t>
  </si>
  <si>
    <t>矯正2Y5M</t>
  </si>
  <si>
    <t>Term</t>
    <phoneticPr fontId="3" type="noConversion"/>
  </si>
  <si>
    <t>GA</t>
    <phoneticPr fontId="3" type="noConversion"/>
  </si>
  <si>
    <t>BWt</t>
    <phoneticPr fontId="3" type="noConversion"/>
  </si>
  <si>
    <r>
      <rPr>
        <sz val="12"/>
        <color theme="1"/>
        <rFont val="新細明體"/>
        <family val="2"/>
        <charset val="136"/>
      </rPr>
      <t>電話</t>
    </r>
    <phoneticPr fontId="3" type="noConversion"/>
  </si>
  <si>
    <t>BP001</t>
    <phoneticPr fontId="3" type="noConversion"/>
  </si>
  <si>
    <r>
      <rPr>
        <sz val="12"/>
        <color theme="1"/>
        <rFont val="新細明體"/>
        <family val="2"/>
        <charset val="136"/>
      </rPr>
      <t>謝雨言</t>
    </r>
    <phoneticPr fontId="3" type="noConversion"/>
  </si>
  <si>
    <t>HYY</t>
    <phoneticPr fontId="3" type="noConversion"/>
  </si>
  <si>
    <t>-</t>
    <phoneticPr fontId="3" type="noConversion"/>
  </si>
  <si>
    <t>39+3</t>
    <phoneticPr fontId="3" type="noConversion"/>
  </si>
  <si>
    <t>0917-958997</t>
    <phoneticPr fontId="3" type="noConversion"/>
  </si>
  <si>
    <t>BP002</t>
    <phoneticPr fontId="3" type="noConversion"/>
  </si>
  <si>
    <r>
      <rPr>
        <sz val="12"/>
        <color theme="1"/>
        <rFont val="新細明體"/>
        <family val="2"/>
        <charset val="136"/>
      </rPr>
      <t>陳彥安</t>
    </r>
    <r>
      <rPr>
        <sz val="12"/>
        <color theme="1"/>
        <rFont val="Times New Roman"/>
        <family val="1"/>
      </rPr>
      <t>(</t>
    </r>
    <r>
      <rPr>
        <sz val="12"/>
        <color theme="1"/>
        <rFont val="新細明體"/>
        <family val="2"/>
        <charset val="136"/>
      </rPr>
      <t>陳靖仁</t>
    </r>
    <r>
      <rPr>
        <sz val="12"/>
        <color theme="1"/>
        <rFont val="Times New Roman"/>
        <family val="1"/>
      </rPr>
      <t>)</t>
    </r>
    <phoneticPr fontId="3" type="noConversion"/>
  </si>
  <si>
    <t>CCJ</t>
    <phoneticPr fontId="3" type="noConversion"/>
  </si>
  <si>
    <t>38+0</t>
    <phoneticPr fontId="3" type="noConversion"/>
  </si>
  <si>
    <t>0983-582923</t>
    <phoneticPr fontId="3" type="noConversion"/>
  </si>
  <si>
    <t>BP003</t>
    <phoneticPr fontId="3" type="noConversion"/>
  </si>
  <si>
    <r>
      <rPr>
        <sz val="12"/>
        <color theme="1"/>
        <rFont val="細明體"/>
        <family val="3"/>
        <charset val="136"/>
      </rPr>
      <t>陳筠諦</t>
    </r>
    <phoneticPr fontId="3" type="noConversion"/>
  </si>
  <si>
    <t>CYT</t>
    <phoneticPr fontId="3" type="noConversion"/>
  </si>
  <si>
    <t>40+2</t>
    <phoneticPr fontId="3" type="noConversion"/>
  </si>
  <si>
    <t>0968-186273</t>
    <phoneticPr fontId="3" type="noConversion"/>
  </si>
  <si>
    <t>BP004</t>
  </si>
  <si>
    <r>
      <rPr>
        <sz val="12"/>
        <color theme="1"/>
        <rFont val="細明體"/>
        <family val="3"/>
        <charset val="136"/>
      </rPr>
      <t>胡恩綺</t>
    </r>
    <phoneticPr fontId="3" type="noConversion"/>
  </si>
  <si>
    <t>HEC</t>
    <phoneticPr fontId="3" type="noConversion"/>
  </si>
  <si>
    <t>24+1</t>
    <phoneticPr fontId="3" type="noConversion"/>
  </si>
  <si>
    <t>0953-981828</t>
    <phoneticPr fontId="3" type="noConversion"/>
  </si>
  <si>
    <t>BP005</t>
  </si>
  <si>
    <r>
      <rPr>
        <sz val="12"/>
        <color theme="1"/>
        <rFont val="細明體"/>
        <family val="3"/>
        <charset val="136"/>
      </rPr>
      <t>林囿順</t>
    </r>
    <phoneticPr fontId="3" type="noConversion"/>
  </si>
  <si>
    <t>LYS</t>
    <phoneticPr fontId="3" type="noConversion"/>
  </si>
  <si>
    <t>40+1</t>
    <phoneticPr fontId="3" type="noConversion"/>
  </si>
  <si>
    <t>0922-347808</t>
    <phoneticPr fontId="3" type="noConversion"/>
  </si>
  <si>
    <t>BP006</t>
  </si>
  <si>
    <r>
      <rPr>
        <sz val="12"/>
        <color theme="0" tint="-0.499984740745262"/>
        <rFont val="細明體"/>
        <family val="3"/>
        <charset val="136"/>
      </rPr>
      <t>林承諺</t>
    </r>
    <phoneticPr fontId="3" type="noConversion"/>
  </si>
  <si>
    <t>LCY</t>
    <phoneticPr fontId="3" type="noConversion"/>
  </si>
  <si>
    <t>30+0</t>
    <phoneticPr fontId="3" type="noConversion"/>
  </si>
  <si>
    <t>0919-973602</t>
    <phoneticPr fontId="3" type="noConversion"/>
  </si>
  <si>
    <t>BP007</t>
  </si>
  <si>
    <r>
      <rPr>
        <sz val="12"/>
        <color theme="1"/>
        <rFont val="細明體"/>
        <family val="3"/>
        <charset val="136"/>
      </rPr>
      <t>尤妍安</t>
    </r>
    <phoneticPr fontId="3" type="noConversion"/>
  </si>
  <si>
    <t>YYA</t>
    <phoneticPr fontId="3" type="noConversion"/>
  </si>
  <si>
    <t>28+0</t>
    <phoneticPr fontId="3" type="noConversion"/>
  </si>
  <si>
    <t>03-3650388//0982989525</t>
    <phoneticPr fontId="3" type="noConversion"/>
  </si>
  <si>
    <t>BP008</t>
  </si>
  <si>
    <r>
      <rPr>
        <sz val="12"/>
        <color theme="1"/>
        <rFont val="細明體"/>
        <family val="3"/>
        <charset val="136"/>
      </rPr>
      <t>尤善立</t>
    </r>
    <phoneticPr fontId="3" type="noConversion"/>
  </si>
  <si>
    <t>YSL</t>
    <phoneticPr fontId="3" type="noConversion"/>
  </si>
  <si>
    <t>BP009</t>
  </si>
  <si>
    <r>
      <rPr>
        <sz val="12"/>
        <color theme="1"/>
        <rFont val="細明體"/>
        <family val="3"/>
        <charset val="136"/>
      </rPr>
      <t>戴妤潔</t>
    </r>
    <phoneticPr fontId="3" type="noConversion"/>
  </si>
  <si>
    <t>TYC</t>
    <phoneticPr fontId="3" type="noConversion"/>
  </si>
  <si>
    <t>40+5</t>
    <phoneticPr fontId="3" type="noConversion"/>
  </si>
  <si>
    <t>0936-965080/0932-333418</t>
    <phoneticPr fontId="3" type="noConversion"/>
  </si>
  <si>
    <t>BP010</t>
  </si>
  <si>
    <r>
      <rPr>
        <sz val="12"/>
        <color theme="1"/>
        <rFont val="細明體"/>
        <family val="3"/>
        <charset val="136"/>
      </rPr>
      <t>王詠安</t>
    </r>
    <phoneticPr fontId="3" type="noConversion"/>
  </si>
  <si>
    <t>WYA</t>
    <phoneticPr fontId="3" type="noConversion"/>
  </si>
  <si>
    <t>0975-366308</t>
    <phoneticPr fontId="3" type="noConversion"/>
  </si>
  <si>
    <t>BP011</t>
  </si>
  <si>
    <r>
      <rPr>
        <sz val="12"/>
        <color theme="0" tint="-0.499984740745262"/>
        <rFont val="細明體"/>
        <family val="3"/>
        <charset val="136"/>
      </rPr>
      <t>林蕭允嫣</t>
    </r>
    <phoneticPr fontId="3" type="noConversion"/>
  </si>
  <si>
    <t>LHYY</t>
    <phoneticPr fontId="3" type="noConversion"/>
  </si>
  <si>
    <t>31+2</t>
    <phoneticPr fontId="3" type="noConversion"/>
  </si>
  <si>
    <t>0985-017708</t>
    <phoneticPr fontId="3" type="noConversion"/>
  </si>
  <si>
    <t>BP012</t>
  </si>
  <si>
    <r>
      <rPr>
        <sz val="12"/>
        <color theme="0" tint="-0.499984740745262"/>
        <rFont val="細明體"/>
        <family val="3"/>
        <charset val="136"/>
      </rPr>
      <t>林蕭允嬡</t>
    </r>
    <phoneticPr fontId="3" type="noConversion"/>
  </si>
  <si>
    <t>LHYA</t>
    <phoneticPr fontId="3" type="noConversion"/>
  </si>
  <si>
    <t>BP013</t>
    <phoneticPr fontId="3" type="noConversion"/>
  </si>
  <si>
    <r>
      <rPr>
        <sz val="12"/>
        <color theme="1"/>
        <rFont val="細明體"/>
        <family val="3"/>
        <charset val="136"/>
      </rPr>
      <t>周子芮</t>
    </r>
    <phoneticPr fontId="3" type="noConversion"/>
  </si>
  <si>
    <t>CTJ</t>
    <phoneticPr fontId="3" type="noConversion"/>
  </si>
  <si>
    <t>4M</t>
    <phoneticPr fontId="3" type="noConversion"/>
  </si>
  <si>
    <t>38+2</t>
    <phoneticPr fontId="3" type="noConversion"/>
  </si>
  <si>
    <t>0930-990852</t>
    <phoneticPr fontId="3" type="noConversion"/>
  </si>
  <si>
    <t>BP014</t>
  </si>
  <si>
    <r>
      <rPr>
        <sz val="12"/>
        <color theme="1"/>
        <rFont val="細明體"/>
        <family val="3"/>
        <charset val="136"/>
      </rPr>
      <t>黃陳允睿</t>
    </r>
    <phoneticPr fontId="3" type="noConversion"/>
  </si>
  <si>
    <t>HCYJ</t>
    <phoneticPr fontId="3" type="noConversion"/>
  </si>
  <si>
    <t>26+0</t>
    <phoneticPr fontId="3" type="noConversion"/>
  </si>
  <si>
    <t>0903-760725</t>
    <phoneticPr fontId="3" type="noConversion"/>
  </si>
  <si>
    <t>BP015</t>
  </si>
  <si>
    <r>
      <rPr>
        <sz val="12"/>
        <color theme="1"/>
        <rFont val="細明體"/>
        <family val="3"/>
        <charset val="136"/>
      </rPr>
      <t>林郁恩</t>
    </r>
    <phoneticPr fontId="3" type="noConversion"/>
  </si>
  <si>
    <t>LYE</t>
    <phoneticPr fontId="3" type="noConversion"/>
  </si>
  <si>
    <t>31+4</t>
    <phoneticPr fontId="3" type="noConversion"/>
  </si>
  <si>
    <t>0921-360023</t>
    <phoneticPr fontId="3" type="noConversion"/>
  </si>
  <si>
    <t>BP016</t>
  </si>
  <si>
    <r>
      <rPr>
        <sz val="12"/>
        <color theme="0" tint="-0.499984740745262"/>
        <rFont val="細明體"/>
        <family val="3"/>
        <charset val="136"/>
      </rPr>
      <t>張凱玲</t>
    </r>
    <phoneticPr fontId="3" type="noConversion"/>
  </si>
  <si>
    <t>CKL</t>
    <phoneticPr fontId="3" type="noConversion"/>
  </si>
  <si>
    <t>38+6</t>
    <phoneticPr fontId="3" type="noConversion"/>
  </si>
  <si>
    <t>0912-260188</t>
    <phoneticPr fontId="3" type="noConversion"/>
  </si>
  <si>
    <t>BP017</t>
  </si>
  <si>
    <r>
      <rPr>
        <sz val="12"/>
        <color theme="1"/>
        <rFont val="細明體"/>
        <family val="3"/>
        <charset val="136"/>
      </rPr>
      <t>謝子星</t>
    </r>
    <phoneticPr fontId="3" type="noConversion"/>
  </si>
  <si>
    <t>HTH</t>
    <phoneticPr fontId="3" type="noConversion"/>
  </si>
  <si>
    <t>29+0</t>
    <phoneticPr fontId="3" type="noConversion"/>
  </si>
  <si>
    <t>0910-217939</t>
    <phoneticPr fontId="3" type="noConversion"/>
  </si>
  <si>
    <t>BP018</t>
  </si>
  <si>
    <r>
      <rPr>
        <sz val="12"/>
        <rFont val="細明體"/>
        <family val="3"/>
        <charset val="136"/>
      </rPr>
      <t>周敬紜</t>
    </r>
    <phoneticPr fontId="3" type="noConversion"/>
  </si>
  <si>
    <t>CCY</t>
    <phoneticPr fontId="3" type="noConversion"/>
  </si>
  <si>
    <t>30+1</t>
    <phoneticPr fontId="3" type="noConversion"/>
  </si>
  <si>
    <t>0926-142473</t>
    <phoneticPr fontId="3" type="noConversion"/>
  </si>
  <si>
    <t>BP019</t>
    <phoneticPr fontId="3" type="noConversion"/>
  </si>
  <si>
    <r>
      <rPr>
        <sz val="12"/>
        <rFont val="細明體"/>
        <family val="3"/>
        <charset val="136"/>
      </rPr>
      <t>曾妍曦</t>
    </r>
    <phoneticPr fontId="3" type="noConversion"/>
  </si>
  <si>
    <t>TYH</t>
    <phoneticPr fontId="3" type="noConversion"/>
  </si>
  <si>
    <t>31+3</t>
    <phoneticPr fontId="3" type="noConversion"/>
  </si>
  <si>
    <t>0989-814917</t>
    <phoneticPr fontId="3" type="noConversion"/>
  </si>
  <si>
    <t>BP020</t>
  </si>
  <si>
    <r>
      <rPr>
        <sz val="12"/>
        <rFont val="細明體"/>
        <family val="3"/>
        <charset val="136"/>
      </rPr>
      <t>陳芃妘</t>
    </r>
    <phoneticPr fontId="3" type="noConversion"/>
  </si>
  <si>
    <t>CPY</t>
    <phoneticPr fontId="3" type="noConversion"/>
  </si>
  <si>
    <t>39+1</t>
    <phoneticPr fontId="3" type="noConversion"/>
  </si>
  <si>
    <t>0903-006636</t>
    <phoneticPr fontId="3" type="noConversion"/>
  </si>
  <si>
    <t>BP021</t>
    <phoneticPr fontId="3" type="noConversion"/>
  </si>
  <si>
    <r>
      <rPr>
        <sz val="12"/>
        <rFont val="細明體"/>
        <family val="3"/>
        <charset val="136"/>
      </rPr>
      <t>魏子恩</t>
    </r>
    <phoneticPr fontId="3" type="noConversion"/>
  </si>
  <si>
    <t>WTE</t>
    <phoneticPr fontId="3" type="noConversion"/>
  </si>
  <si>
    <r>
      <t>0972-047818(</t>
    </r>
    <r>
      <rPr>
        <sz val="12"/>
        <rFont val="細明體"/>
        <family val="3"/>
        <charset val="136"/>
      </rPr>
      <t>父</t>
    </r>
    <r>
      <rPr>
        <sz val="12"/>
        <rFont val="Times New Roman"/>
        <family val="1"/>
      </rPr>
      <t>) 0903-844205 (</t>
    </r>
    <r>
      <rPr>
        <sz val="12"/>
        <rFont val="細明體"/>
        <family val="3"/>
        <charset val="136"/>
      </rPr>
      <t>母</t>
    </r>
    <r>
      <rPr>
        <sz val="12"/>
        <rFont val="Times New Roman"/>
        <family val="1"/>
      </rPr>
      <t>)</t>
    </r>
    <phoneticPr fontId="3" type="noConversion"/>
  </si>
  <si>
    <t>BP022</t>
    <phoneticPr fontId="3" type="noConversion"/>
  </si>
  <si>
    <r>
      <rPr>
        <sz val="12"/>
        <rFont val="細明體"/>
        <family val="3"/>
        <charset val="136"/>
      </rPr>
      <t>黃媛謹</t>
    </r>
    <phoneticPr fontId="3" type="noConversion"/>
  </si>
  <si>
    <t>HYC</t>
    <phoneticPr fontId="3" type="noConversion"/>
  </si>
  <si>
    <t>31+5</t>
    <phoneticPr fontId="3" type="noConversion"/>
  </si>
  <si>
    <t>0926-854167</t>
    <phoneticPr fontId="3" type="noConversion"/>
  </si>
  <si>
    <t>BP023</t>
    <phoneticPr fontId="3" type="noConversion"/>
  </si>
  <si>
    <r>
      <rPr>
        <sz val="12"/>
        <rFont val="細明體"/>
        <family val="3"/>
        <charset val="136"/>
      </rPr>
      <t>張晉慈</t>
    </r>
    <phoneticPr fontId="3" type="noConversion"/>
  </si>
  <si>
    <t>CCT</t>
    <phoneticPr fontId="3" type="noConversion"/>
  </si>
  <si>
    <t>39+0</t>
    <phoneticPr fontId="3" type="noConversion"/>
  </si>
  <si>
    <t>0920-920215</t>
    <phoneticPr fontId="3" type="noConversion"/>
  </si>
  <si>
    <t>BP024</t>
  </si>
  <si>
    <r>
      <rPr>
        <sz val="12"/>
        <rFont val="細明體"/>
        <family val="3"/>
        <charset val="136"/>
      </rPr>
      <t>邱孟婷</t>
    </r>
    <phoneticPr fontId="3" type="noConversion"/>
  </si>
  <si>
    <t>CMT</t>
    <phoneticPr fontId="3" type="noConversion"/>
  </si>
  <si>
    <t>38+</t>
    <phoneticPr fontId="3" type="noConversion"/>
  </si>
  <si>
    <t>0989-525955</t>
    <phoneticPr fontId="3" type="noConversion"/>
  </si>
  <si>
    <t>BP025</t>
  </si>
  <si>
    <t>薛喻罄(順仁)</t>
    <phoneticPr fontId="3" type="noConversion"/>
  </si>
  <si>
    <t>HSJ</t>
    <phoneticPr fontId="3" type="noConversion"/>
  </si>
  <si>
    <t>30+5</t>
    <phoneticPr fontId="3" type="noConversion"/>
  </si>
  <si>
    <t>0926-566663</t>
    <phoneticPr fontId="3" type="noConversion"/>
  </si>
  <si>
    <t>BP026</t>
  </si>
  <si>
    <r>
      <rPr>
        <sz val="12"/>
        <rFont val="細明體"/>
        <family val="3"/>
        <charset val="136"/>
      </rPr>
      <t>廖詩語</t>
    </r>
    <phoneticPr fontId="3" type="noConversion"/>
  </si>
  <si>
    <t>LSY</t>
    <phoneticPr fontId="3" type="noConversion"/>
  </si>
  <si>
    <t>30+3</t>
    <phoneticPr fontId="3" type="noConversion"/>
  </si>
  <si>
    <t>0901-023103</t>
    <phoneticPr fontId="3" type="noConversion"/>
  </si>
  <si>
    <t>BP027</t>
  </si>
  <si>
    <r>
      <rPr>
        <sz val="12"/>
        <rFont val="細明體"/>
        <family val="3"/>
        <charset val="136"/>
      </rPr>
      <t>林芯語</t>
    </r>
    <phoneticPr fontId="3" type="noConversion"/>
  </si>
  <si>
    <t>LHY</t>
    <phoneticPr fontId="3" type="noConversion"/>
  </si>
  <si>
    <t>27+4</t>
    <phoneticPr fontId="3" type="noConversion"/>
  </si>
  <si>
    <t>0953-495966</t>
    <phoneticPr fontId="3" type="noConversion"/>
  </si>
  <si>
    <t>BP028</t>
  </si>
  <si>
    <r>
      <rPr>
        <sz val="12"/>
        <rFont val="細明體"/>
        <family val="3"/>
        <charset val="136"/>
      </rPr>
      <t>林芯妍</t>
    </r>
    <phoneticPr fontId="3" type="noConversion"/>
  </si>
  <si>
    <t>BP029</t>
  </si>
  <si>
    <r>
      <rPr>
        <sz val="12"/>
        <rFont val="細明體"/>
        <family val="3"/>
        <charset val="136"/>
      </rPr>
      <t>張語宸</t>
    </r>
    <phoneticPr fontId="3" type="noConversion"/>
  </si>
  <si>
    <t>CYC</t>
    <phoneticPr fontId="3" type="noConversion"/>
  </si>
  <si>
    <t>0967-366626</t>
    <phoneticPr fontId="3" type="noConversion"/>
  </si>
  <si>
    <t>BP030</t>
  </si>
  <si>
    <r>
      <rPr>
        <sz val="12"/>
        <rFont val="細明體"/>
        <family val="3"/>
        <charset val="136"/>
      </rPr>
      <t>廖品安</t>
    </r>
    <phoneticPr fontId="3" type="noConversion"/>
  </si>
  <si>
    <t>LPA</t>
    <phoneticPr fontId="3" type="noConversion"/>
  </si>
  <si>
    <t>38+5</t>
    <phoneticPr fontId="3" type="noConversion"/>
  </si>
  <si>
    <t>0922-877586</t>
    <phoneticPr fontId="3" type="noConversion"/>
  </si>
  <si>
    <t>BP031</t>
  </si>
  <si>
    <r>
      <rPr>
        <sz val="12"/>
        <rFont val="細明體"/>
        <family val="3"/>
        <charset val="136"/>
      </rPr>
      <t>陳睿允</t>
    </r>
    <phoneticPr fontId="3" type="noConversion"/>
  </si>
  <si>
    <t>CJY</t>
    <phoneticPr fontId="3" type="noConversion"/>
  </si>
  <si>
    <t>37+4</t>
    <phoneticPr fontId="3" type="noConversion"/>
  </si>
  <si>
    <t>0928-892067</t>
    <phoneticPr fontId="3" type="noConversion"/>
  </si>
  <si>
    <t>BP032</t>
    <phoneticPr fontId="3" type="noConversion"/>
  </si>
  <si>
    <r>
      <rPr>
        <sz val="12"/>
        <rFont val="細明體"/>
        <family val="3"/>
        <charset val="136"/>
      </rPr>
      <t>李宗祐</t>
    </r>
    <phoneticPr fontId="3" type="noConversion"/>
  </si>
  <si>
    <t>LTY</t>
    <phoneticPr fontId="3" type="noConversion"/>
  </si>
  <si>
    <t>26+6</t>
    <phoneticPr fontId="3" type="noConversion"/>
  </si>
  <si>
    <r>
      <t>0983-110766(</t>
    </r>
    <r>
      <rPr>
        <sz val="12"/>
        <rFont val="細明體"/>
        <family val="3"/>
        <charset val="136"/>
      </rPr>
      <t>母</t>
    </r>
    <r>
      <rPr>
        <sz val="12"/>
        <rFont val="Times New Roman"/>
        <family val="1"/>
      </rPr>
      <t>)</t>
    </r>
    <r>
      <rPr>
        <sz val="12"/>
        <rFont val="細明體"/>
        <family val="3"/>
        <charset val="136"/>
      </rPr>
      <t>；</t>
    </r>
    <r>
      <rPr>
        <sz val="12"/>
        <rFont val="Times New Roman"/>
        <family val="1"/>
      </rPr>
      <t>0983-889330(</t>
    </r>
    <r>
      <rPr>
        <sz val="12"/>
        <rFont val="細明體"/>
        <family val="3"/>
        <charset val="136"/>
      </rPr>
      <t>父</t>
    </r>
    <r>
      <rPr>
        <sz val="12"/>
        <rFont val="Times New Roman"/>
        <family val="1"/>
      </rPr>
      <t>)</t>
    </r>
    <phoneticPr fontId="3" type="noConversion"/>
  </si>
  <si>
    <t>BP033</t>
    <phoneticPr fontId="3" type="noConversion"/>
  </si>
  <si>
    <r>
      <rPr>
        <sz val="12"/>
        <color theme="1"/>
        <rFont val="細明體"/>
        <family val="3"/>
        <charset val="136"/>
      </rPr>
      <t>白心澄</t>
    </r>
    <phoneticPr fontId="3" type="noConversion"/>
  </si>
  <si>
    <t>PHC</t>
    <phoneticPr fontId="3" type="noConversion"/>
  </si>
  <si>
    <t>40+6</t>
    <phoneticPr fontId="3" type="noConversion"/>
  </si>
  <si>
    <t>0939-671172</t>
    <phoneticPr fontId="3" type="noConversion"/>
  </si>
  <si>
    <t>BP034</t>
    <phoneticPr fontId="3" type="noConversion"/>
  </si>
  <si>
    <r>
      <rPr>
        <sz val="12"/>
        <color theme="1"/>
        <rFont val="細明體"/>
        <family val="3"/>
        <charset val="136"/>
      </rPr>
      <t>秦御菲</t>
    </r>
    <phoneticPr fontId="3" type="noConversion"/>
  </si>
  <si>
    <t>CYF</t>
    <phoneticPr fontId="3" type="noConversion"/>
  </si>
  <si>
    <t>27+1</t>
    <phoneticPr fontId="3" type="noConversion"/>
  </si>
  <si>
    <t>0980-405511</t>
    <phoneticPr fontId="3" type="noConversion"/>
  </si>
  <si>
    <t>BP035</t>
    <phoneticPr fontId="3" type="noConversion"/>
  </si>
  <si>
    <r>
      <rPr>
        <sz val="12"/>
        <color theme="1"/>
        <rFont val="細明體"/>
        <family val="3"/>
        <charset val="136"/>
      </rPr>
      <t>吳卓恩</t>
    </r>
    <phoneticPr fontId="3" type="noConversion"/>
  </si>
  <si>
    <t>WCE</t>
    <phoneticPr fontId="3" type="noConversion"/>
  </si>
  <si>
    <t>29+3</t>
    <phoneticPr fontId="3" type="noConversion"/>
  </si>
  <si>
    <t>0902-299025</t>
    <phoneticPr fontId="3" type="noConversion"/>
  </si>
  <si>
    <t>BP036</t>
  </si>
  <si>
    <r>
      <rPr>
        <sz val="12"/>
        <color theme="1"/>
        <rFont val="細明體"/>
        <family val="3"/>
        <charset val="136"/>
      </rPr>
      <t>張瑞龍</t>
    </r>
    <phoneticPr fontId="3" type="noConversion"/>
  </si>
  <si>
    <t>CJL</t>
    <phoneticPr fontId="3" type="noConversion"/>
  </si>
  <si>
    <t>26+5</t>
    <phoneticPr fontId="3" type="noConversion"/>
  </si>
  <si>
    <t>0986-991729</t>
    <phoneticPr fontId="3" type="noConversion"/>
  </si>
  <si>
    <t>BP037</t>
  </si>
  <si>
    <r>
      <rPr>
        <sz val="12"/>
        <color theme="1"/>
        <rFont val="細明體"/>
        <family val="3"/>
        <charset val="136"/>
      </rPr>
      <t>黃子恩</t>
    </r>
    <phoneticPr fontId="3" type="noConversion"/>
  </si>
  <si>
    <t>HTE</t>
    <phoneticPr fontId="3" type="noConversion"/>
  </si>
  <si>
    <t>24+3</t>
    <phoneticPr fontId="3" type="noConversion"/>
  </si>
  <si>
    <t>0902-323316</t>
    <phoneticPr fontId="3" type="noConversion"/>
  </si>
  <si>
    <t>BP038</t>
  </si>
  <si>
    <r>
      <rPr>
        <sz val="12"/>
        <color theme="1"/>
        <rFont val="細明體"/>
        <family val="3"/>
        <charset val="136"/>
      </rPr>
      <t>蔡宜樺</t>
    </r>
    <phoneticPr fontId="3" type="noConversion"/>
  </si>
  <si>
    <t>23+6</t>
    <phoneticPr fontId="3" type="noConversion"/>
  </si>
  <si>
    <t>0953-211709</t>
    <phoneticPr fontId="3" type="noConversion"/>
  </si>
  <si>
    <t>BP039</t>
  </si>
  <si>
    <r>
      <rPr>
        <sz val="12"/>
        <color theme="1"/>
        <rFont val="細明體"/>
        <family val="3"/>
        <charset val="136"/>
      </rPr>
      <t>楊沐芯</t>
    </r>
    <phoneticPr fontId="3" type="noConversion"/>
  </si>
  <si>
    <t>YMH</t>
    <phoneticPr fontId="3" type="noConversion"/>
  </si>
  <si>
    <t>0955-402269</t>
    <phoneticPr fontId="3" type="noConversion"/>
  </si>
  <si>
    <t>BP040</t>
  </si>
  <si>
    <r>
      <rPr>
        <sz val="12"/>
        <color theme="1"/>
        <rFont val="細明體"/>
        <family val="3"/>
        <charset val="136"/>
      </rPr>
      <t>徐光昱</t>
    </r>
    <phoneticPr fontId="3" type="noConversion"/>
  </si>
  <si>
    <t>HKY</t>
    <phoneticPr fontId="3" type="noConversion"/>
  </si>
  <si>
    <t>0978-639358</t>
    <phoneticPr fontId="3" type="noConversion"/>
  </si>
  <si>
    <t>BP041</t>
  </si>
  <si>
    <r>
      <rPr>
        <sz val="12"/>
        <color theme="1"/>
        <rFont val="細明體"/>
        <family val="3"/>
        <charset val="136"/>
      </rPr>
      <t>丁祤禾</t>
    </r>
    <phoneticPr fontId="3" type="noConversion"/>
  </si>
  <si>
    <t>DYH</t>
    <phoneticPr fontId="3" type="noConversion"/>
  </si>
  <si>
    <t>24+4</t>
    <phoneticPr fontId="3" type="noConversion"/>
  </si>
  <si>
    <t>0938-955871</t>
    <phoneticPr fontId="3" type="noConversion"/>
  </si>
  <si>
    <t>BP042</t>
  </si>
  <si>
    <r>
      <rPr>
        <sz val="12"/>
        <color theme="1"/>
        <rFont val="細明體"/>
        <family val="3"/>
        <charset val="136"/>
      </rPr>
      <t>鄭宇辰</t>
    </r>
    <phoneticPr fontId="3" type="noConversion"/>
  </si>
  <si>
    <t>0987-271987</t>
    <phoneticPr fontId="3" type="noConversion"/>
  </si>
  <si>
    <t>BP043</t>
    <phoneticPr fontId="3" type="noConversion"/>
  </si>
  <si>
    <r>
      <rPr>
        <sz val="12"/>
        <color theme="1"/>
        <rFont val="細明體"/>
        <family val="3"/>
        <charset val="136"/>
      </rPr>
      <t>蔡宜學</t>
    </r>
    <phoneticPr fontId="3" type="noConversion"/>
  </si>
  <si>
    <t>BP044</t>
    <phoneticPr fontId="3" type="noConversion"/>
  </si>
  <si>
    <r>
      <rPr>
        <sz val="12"/>
        <color theme="1"/>
        <rFont val="細明體"/>
        <family val="3"/>
        <charset val="136"/>
      </rPr>
      <t>徐國恩</t>
    </r>
    <phoneticPr fontId="3" type="noConversion"/>
  </si>
  <si>
    <t>HKE</t>
    <phoneticPr fontId="3" type="noConversion"/>
  </si>
  <si>
    <t>25+4</t>
    <phoneticPr fontId="3" type="noConversion"/>
  </si>
  <si>
    <r>
      <t>0980-673059</t>
    </r>
    <r>
      <rPr>
        <sz val="12"/>
        <color theme="1"/>
        <rFont val="細明體"/>
        <family val="3"/>
        <charset val="136"/>
      </rPr>
      <t>；</t>
    </r>
    <r>
      <rPr>
        <sz val="12"/>
        <color theme="1"/>
        <rFont val="Times New Roman"/>
        <family val="1"/>
      </rPr>
      <t>0981-328578</t>
    </r>
    <phoneticPr fontId="3" type="noConversion"/>
  </si>
  <si>
    <t>BP045</t>
    <phoneticPr fontId="3" type="noConversion"/>
  </si>
  <si>
    <r>
      <rPr>
        <sz val="12"/>
        <color theme="1"/>
        <rFont val="細明體"/>
        <family val="3"/>
        <charset val="136"/>
      </rPr>
      <t>李寧恩</t>
    </r>
    <phoneticPr fontId="3" type="noConversion"/>
  </si>
  <si>
    <t>LNE</t>
    <phoneticPr fontId="3" type="noConversion"/>
  </si>
  <si>
    <t>0931-513459</t>
    <phoneticPr fontId="3" type="noConversion"/>
  </si>
  <si>
    <t>BP046</t>
    <phoneticPr fontId="3" type="noConversion"/>
  </si>
  <si>
    <r>
      <rPr>
        <sz val="12"/>
        <color theme="1"/>
        <rFont val="細明體"/>
        <family val="3"/>
        <charset val="136"/>
      </rPr>
      <t>郭韭言</t>
    </r>
    <phoneticPr fontId="3" type="noConversion"/>
  </si>
  <si>
    <t>KCY</t>
    <phoneticPr fontId="3" type="noConversion"/>
  </si>
  <si>
    <t>40+3</t>
    <phoneticPr fontId="3" type="noConversion"/>
  </si>
  <si>
    <t>0905-710605</t>
    <phoneticPr fontId="3" type="noConversion"/>
  </si>
  <si>
    <t>BP047</t>
  </si>
  <si>
    <r>
      <rPr>
        <sz val="12"/>
        <color theme="1"/>
        <rFont val="細明體"/>
        <family val="3"/>
        <charset val="136"/>
      </rPr>
      <t>呂紹誠</t>
    </r>
    <phoneticPr fontId="3" type="noConversion"/>
  </si>
  <si>
    <t>LSC</t>
    <phoneticPr fontId="3" type="noConversion"/>
  </si>
  <si>
    <t>0936-422678</t>
    <phoneticPr fontId="3" type="noConversion"/>
  </si>
  <si>
    <t>BP048</t>
  </si>
  <si>
    <r>
      <rPr>
        <sz val="12"/>
        <color theme="1"/>
        <rFont val="細明體"/>
        <family val="3"/>
        <charset val="136"/>
      </rPr>
      <t>葉家安</t>
    </r>
    <phoneticPr fontId="3" type="noConversion"/>
  </si>
  <si>
    <t>YCA</t>
    <phoneticPr fontId="3" type="noConversion"/>
  </si>
  <si>
    <t>0986-502133</t>
    <phoneticPr fontId="3" type="noConversion"/>
  </si>
  <si>
    <t>BP049</t>
  </si>
  <si>
    <r>
      <rPr>
        <sz val="12"/>
        <color theme="1"/>
        <rFont val="細明體"/>
        <family val="3"/>
        <charset val="136"/>
      </rPr>
      <t>葉家妤</t>
    </r>
    <phoneticPr fontId="3" type="noConversion"/>
  </si>
  <si>
    <t>YCY</t>
    <phoneticPr fontId="3" type="noConversion"/>
  </si>
  <si>
    <t>BP050</t>
  </si>
  <si>
    <r>
      <rPr>
        <sz val="12"/>
        <color theme="1"/>
        <rFont val="細明體"/>
        <family val="3"/>
        <charset val="136"/>
      </rPr>
      <t>劉孟姍</t>
    </r>
    <phoneticPr fontId="3" type="noConversion"/>
  </si>
  <si>
    <t>LMS</t>
    <phoneticPr fontId="3" type="noConversion"/>
  </si>
  <si>
    <t>30+6</t>
    <phoneticPr fontId="3" type="noConversion"/>
  </si>
  <si>
    <t>0955-669028</t>
    <phoneticPr fontId="3" type="noConversion"/>
  </si>
  <si>
    <t>BP051</t>
    <phoneticPr fontId="3" type="noConversion"/>
  </si>
  <si>
    <r>
      <rPr>
        <sz val="12"/>
        <color theme="1"/>
        <rFont val="細明體"/>
        <family val="3"/>
        <charset val="136"/>
      </rPr>
      <t>吳珞溱</t>
    </r>
    <phoneticPr fontId="3" type="noConversion"/>
  </si>
  <si>
    <t>WLC</t>
    <phoneticPr fontId="3" type="noConversion"/>
  </si>
  <si>
    <t>25+3</t>
    <phoneticPr fontId="3" type="noConversion"/>
  </si>
  <si>
    <t>0987-099770</t>
    <phoneticPr fontId="3" type="noConversion"/>
  </si>
  <si>
    <t>BP052</t>
    <phoneticPr fontId="3" type="noConversion"/>
  </si>
  <si>
    <r>
      <rPr>
        <sz val="12"/>
        <color theme="1"/>
        <rFont val="細明體"/>
        <family val="3"/>
        <charset val="136"/>
      </rPr>
      <t>徐筱婷</t>
    </r>
    <phoneticPr fontId="3" type="noConversion"/>
  </si>
  <si>
    <t>HHT</t>
    <phoneticPr fontId="3" type="noConversion"/>
  </si>
  <si>
    <t>0912-952867</t>
    <phoneticPr fontId="3" type="noConversion"/>
  </si>
  <si>
    <t>BP053</t>
    <phoneticPr fontId="3" type="noConversion"/>
  </si>
  <si>
    <r>
      <rPr>
        <sz val="12"/>
        <color theme="1"/>
        <rFont val="細明體"/>
        <family val="3"/>
        <charset val="136"/>
      </rPr>
      <t>張洛維</t>
    </r>
    <phoneticPr fontId="3" type="noConversion"/>
  </si>
  <si>
    <t>CLW</t>
    <phoneticPr fontId="3" type="noConversion"/>
  </si>
  <si>
    <t>0911-225394</t>
    <phoneticPr fontId="3" type="noConversion"/>
  </si>
  <si>
    <t>BP054</t>
    <phoneticPr fontId="3" type="noConversion"/>
  </si>
  <si>
    <r>
      <rPr>
        <sz val="12"/>
        <color theme="1"/>
        <rFont val="細明體"/>
        <family val="3"/>
        <charset val="136"/>
      </rPr>
      <t>蔡蕎安</t>
    </r>
    <phoneticPr fontId="3" type="noConversion"/>
  </si>
  <si>
    <t>TCA</t>
    <phoneticPr fontId="3" type="noConversion"/>
  </si>
  <si>
    <t>29+1</t>
    <phoneticPr fontId="3" type="noConversion"/>
  </si>
  <si>
    <t>0926-189616</t>
    <phoneticPr fontId="3" type="noConversion"/>
  </si>
  <si>
    <t>BP055</t>
    <phoneticPr fontId="3" type="noConversion"/>
  </si>
  <si>
    <r>
      <rPr>
        <sz val="12"/>
        <color theme="1"/>
        <rFont val="細明體"/>
        <family val="3"/>
        <charset val="136"/>
      </rPr>
      <t>蔡沐希</t>
    </r>
    <phoneticPr fontId="3" type="noConversion"/>
  </si>
  <si>
    <t>TMH</t>
    <phoneticPr fontId="3" type="noConversion"/>
  </si>
  <si>
    <t>0958-005415</t>
    <phoneticPr fontId="3" type="noConversion"/>
  </si>
  <si>
    <t>BP056</t>
    <phoneticPr fontId="3" type="noConversion"/>
  </si>
  <si>
    <r>
      <rPr>
        <sz val="12"/>
        <color theme="1"/>
        <rFont val="細明體"/>
        <family val="3"/>
        <charset val="136"/>
      </rPr>
      <t>鍾逸賢</t>
    </r>
    <phoneticPr fontId="3" type="noConversion"/>
  </si>
  <si>
    <t>CYH</t>
    <phoneticPr fontId="3" type="noConversion"/>
  </si>
  <si>
    <t>0985-855429</t>
    <phoneticPr fontId="3" type="noConversion"/>
  </si>
  <si>
    <t>BP057</t>
    <phoneticPr fontId="3" type="noConversion"/>
  </si>
  <si>
    <r>
      <rPr>
        <sz val="12"/>
        <color theme="1"/>
        <rFont val="細明體"/>
        <family val="3"/>
        <charset val="136"/>
      </rPr>
      <t>陳品言</t>
    </r>
    <phoneticPr fontId="3" type="noConversion"/>
  </si>
  <si>
    <t>0975-010927</t>
    <phoneticPr fontId="3" type="noConversion"/>
  </si>
  <si>
    <t>BP058</t>
    <phoneticPr fontId="3" type="noConversion"/>
  </si>
  <si>
    <r>
      <rPr>
        <sz val="12"/>
        <color theme="1"/>
        <rFont val="細明體"/>
        <family val="3"/>
        <charset val="136"/>
      </rPr>
      <t>李阜侑</t>
    </r>
    <phoneticPr fontId="3" type="noConversion"/>
  </si>
  <si>
    <t>LFY</t>
    <phoneticPr fontId="3" type="noConversion"/>
  </si>
  <si>
    <t>26+3</t>
    <phoneticPr fontId="3" type="noConversion"/>
  </si>
  <si>
    <t>0936-291628</t>
    <phoneticPr fontId="3" type="noConversion"/>
  </si>
  <si>
    <t>BP059</t>
    <phoneticPr fontId="3" type="noConversion"/>
  </si>
  <si>
    <r>
      <rPr>
        <sz val="12"/>
        <color theme="1"/>
        <rFont val="細明體"/>
        <family val="3"/>
        <charset val="136"/>
      </rPr>
      <t>張心婷</t>
    </r>
    <phoneticPr fontId="3" type="noConversion"/>
  </si>
  <si>
    <t>CHT</t>
    <phoneticPr fontId="3" type="noConversion"/>
  </si>
  <si>
    <t>29+2</t>
    <phoneticPr fontId="3" type="noConversion"/>
  </si>
  <si>
    <t>0921-153212</t>
    <phoneticPr fontId="3" type="noConversion"/>
  </si>
  <si>
    <t>BP060</t>
    <phoneticPr fontId="3" type="noConversion"/>
  </si>
  <si>
    <r>
      <rPr>
        <sz val="12"/>
        <color theme="1"/>
        <rFont val="細明體"/>
        <family val="3"/>
        <charset val="136"/>
      </rPr>
      <t>張心蘋</t>
    </r>
    <phoneticPr fontId="3" type="noConversion"/>
  </si>
  <si>
    <t>CHP</t>
    <phoneticPr fontId="3" type="noConversion"/>
  </si>
  <si>
    <t>BP061</t>
    <phoneticPr fontId="3" type="noConversion"/>
  </si>
  <si>
    <r>
      <rPr>
        <sz val="12"/>
        <color theme="1"/>
        <rFont val="細明體"/>
        <family val="3"/>
        <charset val="136"/>
      </rPr>
      <t>廖品媃</t>
    </r>
    <phoneticPr fontId="3" type="noConversion"/>
  </si>
  <si>
    <t>LPJ</t>
    <phoneticPr fontId="3" type="noConversion"/>
  </si>
  <si>
    <t>29+6</t>
    <phoneticPr fontId="3" type="noConversion"/>
  </si>
  <si>
    <t>0918-302668</t>
    <phoneticPr fontId="3" type="noConversion"/>
  </si>
  <si>
    <t>BP062</t>
  </si>
  <si>
    <r>
      <rPr>
        <sz val="12"/>
        <color theme="1"/>
        <rFont val="細明體"/>
        <family val="3"/>
        <charset val="136"/>
      </rPr>
      <t>王禹喬</t>
    </r>
    <phoneticPr fontId="3" type="noConversion"/>
  </si>
  <si>
    <t>WYC</t>
    <phoneticPr fontId="3" type="noConversion"/>
  </si>
  <si>
    <t>40+4</t>
    <phoneticPr fontId="3" type="noConversion"/>
  </si>
  <si>
    <t>0973-400537</t>
    <phoneticPr fontId="3" type="noConversion"/>
  </si>
  <si>
    <t>BP063</t>
  </si>
  <si>
    <r>
      <rPr>
        <sz val="12"/>
        <color theme="1"/>
        <rFont val="細明體"/>
        <family val="3"/>
        <charset val="136"/>
      </rPr>
      <t>陳思綺</t>
    </r>
    <phoneticPr fontId="3" type="noConversion"/>
  </si>
  <si>
    <t>CSC</t>
    <phoneticPr fontId="3" type="noConversion"/>
  </si>
  <si>
    <t>30+2</t>
    <phoneticPr fontId="3" type="noConversion"/>
  </si>
  <si>
    <t>0983-180397</t>
    <phoneticPr fontId="3" type="noConversion"/>
  </si>
  <si>
    <t>BP064</t>
  </si>
  <si>
    <r>
      <rPr>
        <sz val="12"/>
        <color theme="1"/>
        <rFont val="細明體"/>
        <family val="3"/>
        <charset val="136"/>
      </rPr>
      <t>莊軒睿</t>
    </r>
    <phoneticPr fontId="3" type="noConversion"/>
  </si>
  <si>
    <t>CHJ</t>
    <phoneticPr fontId="3" type="noConversion"/>
  </si>
  <si>
    <t>30+4</t>
    <phoneticPr fontId="3" type="noConversion"/>
  </si>
  <si>
    <t>0981-243773</t>
    <phoneticPr fontId="3" type="noConversion"/>
  </si>
  <si>
    <t>BP065</t>
    <phoneticPr fontId="3" type="noConversion"/>
  </si>
  <si>
    <r>
      <rPr>
        <sz val="12"/>
        <color theme="0" tint="-0.499984740745262"/>
        <rFont val="細明體"/>
        <family val="3"/>
        <charset val="136"/>
      </rPr>
      <t>林芯瑜</t>
    </r>
    <phoneticPr fontId="3" type="noConversion"/>
  </si>
  <si>
    <t>0966-286285</t>
    <phoneticPr fontId="3" type="noConversion"/>
  </si>
  <si>
    <t>BP066</t>
    <phoneticPr fontId="3" type="noConversion"/>
  </si>
  <si>
    <r>
      <rPr>
        <sz val="12"/>
        <color theme="0" tint="-0.499984740745262"/>
        <rFont val="細明體"/>
        <family val="3"/>
        <charset val="136"/>
      </rPr>
      <t>林芯菲</t>
    </r>
    <phoneticPr fontId="3" type="noConversion"/>
  </si>
  <si>
    <t>LHF</t>
    <phoneticPr fontId="3" type="noConversion"/>
  </si>
  <si>
    <t>BP067</t>
    <phoneticPr fontId="3" type="noConversion"/>
  </si>
  <si>
    <r>
      <rPr>
        <sz val="12"/>
        <color theme="1"/>
        <rFont val="細明體"/>
        <family val="3"/>
        <charset val="136"/>
      </rPr>
      <t>洪子稀</t>
    </r>
    <phoneticPr fontId="3" type="noConversion"/>
  </si>
  <si>
    <t>24+2</t>
    <phoneticPr fontId="3" type="noConversion"/>
  </si>
  <si>
    <t>0935-580573</t>
    <phoneticPr fontId="3" type="noConversion"/>
  </si>
  <si>
    <t>BP068</t>
    <phoneticPr fontId="3" type="noConversion"/>
  </si>
  <si>
    <r>
      <rPr>
        <sz val="12"/>
        <color theme="1"/>
        <rFont val="細明體"/>
        <family val="3"/>
        <charset val="136"/>
      </rPr>
      <t>林宇威</t>
    </r>
    <phoneticPr fontId="3" type="noConversion"/>
  </si>
  <si>
    <t>LYW</t>
    <phoneticPr fontId="3" type="noConversion"/>
  </si>
  <si>
    <t>0975-620080</t>
    <phoneticPr fontId="3" type="noConversion"/>
  </si>
  <si>
    <t>BP069</t>
    <phoneticPr fontId="3" type="noConversion"/>
  </si>
  <si>
    <r>
      <rPr>
        <sz val="12"/>
        <color theme="1"/>
        <rFont val="細明體"/>
        <family val="3"/>
        <charset val="136"/>
      </rPr>
      <t>王暄霖</t>
    </r>
    <phoneticPr fontId="3" type="noConversion"/>
  </si>
  <si>
    <t>WHL</t>
    <phoneticPr fontId="3" type="noConversion"/>
  </si>
  <si>
    <t>31+1</t>
    <phoneticPr fontId="3" type="noConversion"/>
  </si>
  <si>
    <t>0937-056278</t>
    <phoneticPr fontId="3" type="noConversion"/>
  </si>
  <si>
    <t>BP070</t>
    <phoneticPr fontId="3" type="noConversion"/>
  </si>
  <si>
    <r>
      <rPr>
        <sz val="12"/>
        <color theme="1"/>
        <rFont val="細明體"/>
        <family val="3"/>
        <charset val="136"/>
      </rPr>
      <t>沈芯彤</t>
    </r>
    <phoneticPr fontId="3" type="noConversion"/>
  </si>
  <si>
    <t>SHT</t>
    <phoneticPr fontId="3" type="noConversion"/>
  </si>
  <si>
    <t>0989-448758</t>
    <phoneticPr fontId="3" type="noConversion"/>
  </si>
  <si>
    <t>BP071</t>
  </si>
  <si>
    <r>
      <rPr>
        <sz val="12"/>
        <color theme="1"/>
        <rFont val="細明體"/>
        <family val="3"/>
        <charset val="136"/>
      </rPr>
      <t>劉康禾</t>
    </r>
    <phoneticPr fontId="3" type="noConversion"/>
  </si>
  <si>
    <t>LKH</t>
    <phoneticPr fontId="3" type="noConversion"/>
  </si>
  <si>
    <t>0977-400046</t>
    <phoneticPr fontId="3" type="noConversion"/>
  </si>
  <si>
    <t>BP072</t>
  </si>
  <si>
    <r>
      <rPr>
        <sz val="12"/>
        <color theme="1"/>
        <rFont val="細明體"/>
        <family val="3"/>
        <charset val="136"/>
      </rPr>
      <t>劉蕓菁</t>
    </r>
    <phoneticPr fontId="3" type="noConversion"/>
  </si>
  <si>
    <t>LYC</t>
    <phoneticPr fontId="3" type="noConversion"/>
  </si>
  <si>
    <t>0911-864611</t>
    <phoneticPr fontId="3" type="noConversion"/>
  </si>
  <si>
    <t>BP073</t>
  </si>
  <si>
    <r>
      <rPr>
        <sz val="12"/>
        <color theme="0" tint="-0.499984740745262"/>
        <rFont val="細明體"/>
        <family val="3"/>
        <charset val="136"/>
      </rPr>
      <t>陳浡承</t>
    </r>
    <phoneticPr fontId="3" type="noConversion"/>
  </si>
  <si>
    <t>CPC</t>
    <phoneticPr fontId="3" type="noConversion"/>
  </si>
  <si>
    <t>0938-166167</t>
    <phoneticPr fontId="3" type="noConversion"/>
  </si>
  <si>
    <t>BP074</t>
  </si>
  <si>
    <r>
      <rPr>
        <sz val="12"/>
        <color theme="0" tint="-0.499984740745262"/>
        <rFont val="細明體"/>
        <family val="3"/>
        <charset val="136"/>
      </rPr>
      <t>陳浡庭</t>
    </r>
    <phoneticPr fontId="3" type="noConversion"/>
  </si>
  <si>
    <t>CPT</t>
    <phoneticPr fontId="3" type="noConversion"/>
  </si>
  <si>
    <t>BP075</t>
  </si>
  <si>
    <r>
      <rPr>
        <sz val="12"/>
        <color theme="1"/>
        <rFont val="細明體"/>
        <family val="3"/>
        <charset val="136"/>
      </rPr>
      <t>鄭喬晞</t>
    </r>
    <phoneticPr fontId="3" type="noConversion"/>
  </si>
  <si>
    <t>CCH</t>
    <phoneticPr fontId="3" type="noConversion"/>
  </si>
  <si>
    <t>27+2</t>
    <phoneticPr fontId="3" type="noConversion"/>
  </si>
  <si>
    <t>0970-984552</t>
    <phoneticPr fontId="3" type="noConversion"/>
  </si>
  <si>
    <t>BP076</t>
  </si>
  <si>
    <r>
      <rPr>
        <sz val="12"/>
        <color theme="1"/>
        <rFont val="細明體"/>
        <family val="3"/>
        <charset val="136"/>
      </rPr>
      <t>呂欣卉</t>
    </r>
    <phoneticPr fontId="3" type="noConversion"/>
  </si>
  <si>
    <t>LHH</t>
    <phoneticPr fontId="3" type="noConversion"/>
  </si>
  <si>
    <t>0928-631312</t>
    <phoneticPr fontId="3" type="noConversion"/>
  </si>
  <si>
    <t>BP077</t>
  </si>
  <si>
    <r>
      <rPr>
        <sz val="12"/>
        <color theme="1"/>
        <rFont val="細明體"/>
        <family val="3"/>
        <charset val="136"/>
      </rPr>
      <t>郭家萱</t>
    </r>
    <phoneticPr fontId="3" type="noConversion"/>
  </si>
  <si>
    <t>KCH</t>
    <phoneticPr fontId="3" type="noConversion"/>
  </si>
  <si>
    <t>0919-799484</t>
    <phoneticPr fontId="3" type="noConversion"/>
  </si>
  <si>
    <t>BP078</t>
    <phoneticPr fontId="3" type="noConversion"/>
  </si>
  <si>
    <r>
      <rPr>
        <sz val="12"/>
        <color theme="1"/>
        <rFont val="細明體"/>
        <family val="3"/>
        <charset val="136"/>
      </rPr>
      <t>白心澈</t>
    </r>
    <phoneticPr fontId="3" type="noConversion"/>
  </si>
  <si>
    <t>BP079</t>
    <phoneticPr fontId="3" type="noConversion"/>
  </si>
  <si>
    <r>
      <rPr>
        <sz val="12"/>
        <color theme="1"/>
        <rFont val="細明體"/>
        <family val="3"/>
        <charset val="136"/>
      </rPr>
      <t>林呈展</t>
    </r>
    <phoneticPr fontId="3" type="noConversion"/>
  </si>
  <si>
    <t>LCC</t>
    <phoneticPr fontId="3" type="noConversion"/>
  </si>
  <si>
    <t>0934-462378</t>
    <phoneticPr fontId="3" type="noConversion"/>
  </si>
  <si>
    <t>BP080</t>
  </si>
  <si>
    <t>許皓揚</t>
  </si>
  <si>
    <t>HHY</t>
    <phoneticPr fontId="3" type="noConversion"/>
  </si>
  <si>
    <t>0970-749315</t>
    <phoneticPr fontId="3" type="noConversion"/>
  </si>
  <si>
    <t>BP081</t>
  </si>
  <si>
    <t>許皓翔</t>
  </si>
  <si>
    <t>HHH</t>
    <phoneticPr fontId="3" type="noConversion"/>
  </si>
  <si>
    <t>BP082</t>
  </si>
  <si>
    <r>
      <rPr>
        <sz val="12"/>
        <color theme="1"/>
        <rFont val="細明體"/>
        <family val="3"/>
        <charset val="136"/>
      </rPr>
      <t>王暄澄</t>
    </r>
    <phoneticPr fontId="3" type="noConversion"/>
  </si>
  <si>
    <t>WHC</t>
    <phoneticPr fontId="3" type="noConversion"/>
  </si>
  <si>
    <t>BP083</t>
  </si>
  <si>
    <r>
      <rPr>
        <sz val="12"/>
        <color theme="1"/>
        <rFont val="細明體"/>
        <family val="3"/>
        <charset val="136"/>
      </rPr>
      <t>何昊哲</t>
    </r>
    <phoneticPr fontId="3" type="noConversion"/>
  </si>
  <si>
    <t>HHC</t>
    <phoneticPr fontId="3" type="noConversion"/>
  </si>
  <si>
    <t>0970-771800</t>
    <phoneticPr fontId="3" type="noConversion"/>
  </si>
  <si>
    <t>BP084</t>
    <phoneticPr fontId="3" type="noConversion"/>
  </si>
  <si>
    <r>
      <rPr>
        <sz val="12"/>
        <color theme="1"/>
        <rFont val="細明體"/>
        <family val="3"/>
        <charset val="136"/>
      </rPr>
      <t>吳瑜蓉</t>
    </r>
    <phoneticPr fontId="3" type="noConversion"/>
  </si>
  <si>
    <t>WYJ</t>
    <phoneticPr fontId="3" type="noConversion"/>
  </si>
  <si>
    <t>0903-707322</t>
    <phoneticPr fontId="3" type="noConversion"/>
  </si>
  <si>
    <t>BP085</t>
  </si>
  <si>
    <r>
      <rPr>
        <sz val="12"/>
        <color theme="1"/>
        <rFont val="細明體"/>
        <family val="3"/>
        <charset val="136"/>
      </rPr>
      <t>黃晞媛</t>
    </r>
    <phoneticPr fontId="3" type="noConversion"/>
  </si>
  <si>
    <t>0925-277593</t>
    <phoneticPr fontId="3" type="noConversion"/>
  </si>
  <si>
    <t>BP086</t>
  </si>
  <si>
    <r>
      <rPr>
        <sz val="12"/>
        <color theme="1"/>
        <rFont val="細明體"/>
        <family val="3"/>
        <charset val="136"/>
      </rPr>
      <t>陳馥瑾</t>
    </r>
    <phoneticPr fontId="3" type="noConversion"/>
  </si>
  <si>
    <t>CFC</t>
    <phoneticPr fontId="3" type="noConversion"/>
  </si>
  <si>
    <t>0982-399461</t>
    <phoneticPr fontId="3" type="noConversion"/>
  </si>
  <si>
    <t>BP087</t>
  </si>
  <si>
    <r>
      <rPr>
        <sz val="12"/>
        <color theme="1"/>
        <rFont val="細明體"/>
        <family val="3"/>
        <charset val="136"/>
      </rPr>
      <t>蘇羽程</t>
    </r>
    <phoneticPr fontId="3" type="noConversion"/>
  </si>
  <si>
    <t>SYC</t>
    <phoneticPr fontId="3" type="noConversion"/>
  </si>
  <si>
    <t>38+4</t>
    <phoneticPr fontId="3" type="noConversion"/>
  </si>
  <si>
    <t>0987-562183</t>
    <phoneticPr fontId="3" type="noConversion"/>
  </si>
  <si>
    <t>BP088</t>
  </si>
  <si>
    <r>
      <rPr>
        <sz val="12"/>
        <color theme="1"/>
        <rFont val="細明體"/>
        <family val="3"/>
        <charset val="136"/>
      </rPr>
      <t>張又元</t>
    </r>
    <phoneticPr fontId="3" type="noConversion"/>
  </si>
  <si>
    <t>CYY</t>
    <phoneticPr fontId="3" type="noConversion"/>
  </si>
  <si>
    <t>0963-085998</t>
    <phoneticPr fontId="3" type="noConversion"/>
  </si>
  <si>
    <t>BP089</t>
  </si>
  <si>
    <r>
      <rPr>
        <sz val="12"/>
        <color theme="1"/>
        <rFont val="細明體"/>
        <family val="3"/>
        <charset val="136"/>
      </rPr>
      <t>張又方</t>
    </r>
    <phoneticPr fontId="3" type="noConversion"/>
  </si>
  <si>
    <t>BP090</t>
  </si>
  <si>
    <r>
      <rPr>
        <sz val="12"/>
        <color theme="1"/>
        <rFont val="細明體"/>
        <family val="3"/>
        <charset val="136"/>
      </rPr>
      <t>陳芷婈</t>
    </r>
    <phoneticPr fontId="3" type="noConversion"/>
  </si>
  <si>
    <t>CCL</t>
    <phoneticPr fontId="3" type="noConversion"/>
  </si>
  <si>
    <t>0987-460518</t>
    <phoneticPr fontId="3" type="noConversion"/>
  </si>
  <si>
    <t>BP091</t>
  </si>
  <si>
    <r>
      <rPr>
        <sz val="12"/>
        <color theme="1"/>
        <rFont val="細明體"/>
        <family val="3"/>
        <charset val="136"/>
      </rPr>
      <t>黃馨瑩</t>
    </r>
    <phoneticPr fontId="3" type="noConversion"/>
  </si>
  <si>
    <t>25+1</t>
    <phoneticPr fontId="3" type="noConversion"/>
  </si>
  <si>
    <t>03-4582382</t>
    <phoneticPr fontId="3" type="noConversion"/>
  </si>
  <si>
    <t>BP092</t>
    <phoneticPr fontId="3" type="noConversion"/>
  </si>
  <si>
    <r>
      <rPr>
        <sz val="12"/>
        <color theme="1"/>
        <rFont val="細明體"/>
        <family val="3"/>
        <charset val="136"/>
      </rPr>
      <t>林妍妘</t>
    </r>
    <phoneticPr fontId="3" type="noConversion"/>
  </si>
  <si>
    <t>LYY</t>
    <phoneticPr fontId="3" type="noConversion"/>
  </si>
  <si>
    <t>0917-831415</t>
    <phoneticPr fontId="3" type="noConversion"/>
  </si>
  <si>
    <t>BP093</t>
  </si>
  <si>
    <r>
      <rPr>
        <sz val="12"/>
        <color theme="1"/>
        <rFont val="細明體"/>
        <family val="3"/>
        <charset val="136"/>
      </rPr>
      <t>陳冠樺</t>
    </r>
    <phoneticPr fontId="3" type="noConversion"/>
  </si>
  <si>
    <t>CKH</t>
    <phoneticPr fontId="3" type="noConversion"/>
  </si>
  <si>
    <t>0916-048844</t>
    <phoneticPr fontId="3" type="noConversion"/>
  </si>
  <si>
    <t>BP094</t>
  </si>
  <si>
    <r>
      <rPr>
        <sz val="12"/>
        <color theme="1"/>
        <rFont val="細明體"/>
        <family val="3"/>
        <charset val="136"/>
      </rPr>
      <t>陳冠霓</t>
    </r>
    <phoneticPr fontId="3" type="noConversion"/>
  </si>
  <si>
    <t>CKN</t>
    <phoneticPr fontId="3" type="noConversion"/>
  </si>
  <si>
    <t>BP095</t>
    <phoneticPr fontId="3" type="noConversion"/>
  </si>
  <si>
    <r>
      <rPr>
        <sz val="12"/>
        <color theme="1"/>
        <rFont val="細明體"/>
        <family val="3"/>
        <charset val="136"/>
      </rPr>
      <t>王婕妤</t>
    </r>
    <phoneticPr fontId="3" type="noConversion"/>
  </si>
  <si>
    <t>WCY</t>
    <phoneticPr fontId="3" type="noConversion"/>
  </si>
  <si>
    <t>0930-304065</t>
    <phoneticPr fontId="3" type="noConversion"/>
  </si>
  <si>
    <t>BP096</t>
  </si>
  <si>
    <r>
      <rPr>
        <sz val="12"/>
        <color theme="1"/>
        <rFont val="細明體"/>
        <family val="3"/>
        <charset val="136"/>
      </rPr>
      <t>黃予玄</t>
    </r>
    <phoneticPr fontId="3" type="noConversion"/>
  </si>
  <si>
    <t>HYH</t>
    <phoneticPr fontId="3" type="noConversion"/>
  </si>
  <si>
    <t>0984-229599</t>
    <phoneticPr fontId="3" type="noConversion"/>
  </si>
  <si>
    <t>BP097</t>
  </si>
  <si>
    <r>
      <rPr>
        <sz val="12"/>
        <color theme="1"/>
        <rFont val="細明體"/>
        <family val="3"/>
        <charset val="136"/>
      </rPr>
      <t>李奕承</t>
    </r>
    <phoneticPr fontId="3" type="noConversion"/>
  </si>
  <si>
    <t>0960-923300</t>
    <phoneticPr fontId="3" type="noConversion"/>
  </si>
  <si>
    <t>BP098</t>
  </si>
  <si>
    <r>
      <rPr>
        <sz val="12"/>
        <color theme="1"/>
        <rFont val="細明體"/>
        <family val="3"/>
        <charset val="136"/>
      </rPr>
      <t>許瀚文</t>
    </r>
    <phoneticPr fontId="3" type="noConversion"/>
  </si>
  <si>
    <t>HHW</t>
    <phoneticPr fontId="3" type="noConversion"/>
  </si>
  <si>
    <t>0930-087039</t>
    <phoneticPr fontId="3" type="noConversion"/>
  </si>
  <si>
    <t>BP099</t>
  </si>
  <si>
    <r>
      <rPr>
        <sz val="12"/>
        <color theme="1"/>
        <rFont val="細明體"/>
        <family val="3"/>
        <charset val="136"/>
      </rPr>
      <t>陳昕佐</t>
    </r>
    <phoneticPr fontId="3" type="noConversion"/>
  </si>
  <si>
    <t>31+6</t>
    <phoneticPr fontId="3" type="noConversion"/>
  </si>
  <si>
    <t>0938-566850</t>
    <phoneticPr fontId="3" type="noConversion"/>
  </si>
  <si>
    <t>BP100</t>
  </si>
  <si>
    <r>
      <rPr>
        <sz val="12"/>
        <color theme="1"/>
        <rFont val="細明體"/>
        <family val="3"/>
        <charset val="136"/>
      </rPr>
      <t>黃千芮</t>
    </r>
    <phoneticPr fontId="3" type="noConversion"/>
  </si>
  <si>
    <t>HCJ</t>
    <phoneticPr fontId="3" type="noConversion"/>
  </si>
  <si>
    <t>0976-639527</t>
    <phoneticPr fontId="3" type="noConversion"/>
  </si>
  <si>
    <t>BP101</t>
  </si>
  <si>
    <r>
      <rPr>
        <sz val="12"/>
        <color theme="1"/>
        <rFont val="細明體"/>
        <family val="3"/>
        <charset val="136"/>
      </rPr>
      <t>張語涵</t>
    </r>
    <phoneticPr fontId="3" type="noConversion"/>
  </si>
  <si>
    <t>27+5</t>
    <phoneticPr fontId="3" type="noConversion"/>
  </si>
  <si>
    <t>0928-381350</t>
    <phoneticPr fontId="3" type="noConversion"/>
  </si>
  <si>
    <t>BP102</t>
  </si>
  <si>
    <r>
      <rPr>
        <sz val="12"/>
        <color theme="1"/>
        <rFont val="細明體"/>
        <family val="3"/>
        <charset val="136"/>
      </rPr>
      <t>連冠佶</t>
    </r>
    <phoneticPr fontId="3" type="noConversion"/>
  </si>
  <si>
    <t>LKC</t>
    <phoneticPr fontId="3" type="noConversion"/>
  </si>
  <si>
    <t>0909-074520</t>
    <phoneticPr fontId="3" type="noConversion"/>
  </si>
  <si>
    <t>BP103</t>
  </si>
  <si>
    <r>
      <rPr>
        <sz val="12"/>
        <color theme="1"/>
        <rFont val="細明體"/>
        <family val="3"/>
        <charset val="136"/>
      </rPr>
      <t>蘇語晞</t>
    </r>
    <phoneticPr fontId="3" type="noConversion"/>
  </si>
  <si>
    <t>SYH</t>
    <phoneticPr fontId="3" type="noConversion"/>
  </si>
  <si>
    <t>39+2</t>
    <phoneticPr fontId="3" type="noConversion"/>
  </si>
  <si>
    <t>0919-122081</t>
    <phoneticPr fontId="3" type="noConversion"/>
  </si>
  <si>
    <t>BP104</t>
  </si>
  <si>
    <r>
      <rPr>
        <sz val="12"/>
        <color theme="1"/>
        <rFont val="細明體"/>
        <family val="3"/>
        <charset val="136"/>
      </rPr>
      <t>蔡沛宇</t>
    </r>
    <phoneticPr fontId="3" type="noConversion"/>
  </si>
  <si>
    <t>TPY</t>
    <phoneticPr fontId="3" type="noConversion"/>
  </si>
  <si>
    <t>0979-098248</t>
    <phoneticPr fontId="3" type="noConversion"/>
  </si>
  <si>
    <t>BP105</t>
  </si>
  <si>
    <r>
      <rPr>
        <sz val="12"/>
        <color theme="1"/>
        <rFont val="細明體"/>
        <family val="3"/>
        <charset val="136"/>
      </rPr>
      <t>葉昕妍</t>
    </r>
    <phoneticPr fontId="3" type="noConversion"/>
  </si>
  <si>
    <t>YHH</t>
    <phoneticPr fontId="3" type="noConversion"/>
  </si>
  <si>
    <t>27+3</t>
    <phoneticPr fontId="3" type="noConversion"/>
  </si>
  <si>
    <t>03-5620103</t>
    <phoneticPr fontId="3" type="noConversion"/>
  </si>
  <si>
    <t>BP106</t>
  </si>
  <si>
    <r>
      <rPr>
        <sz val="12"/>
        <color theme="1"/>
        <rFont val="細明體"/>
        <family val="3"/>
        <charset val="136"/>
      </rPr>
      <t>葉昕桐</t>
    </r>
    <phoneticPr fontId="3" type="noConversion"/>
  </si>
  <si>
    <t>YHT</t>
    <phoneticPr fontId="3" type="noConversion"/>
  </si>
  <si>
    <t>BP107</t>
  </si>
  <si>
    <r>
      <rPr>
        <sz val="12"/>
        <color theme="1"/>
        <rFont val="細明體"/>
        <family val="3"/>
        <charset val="136"/>
      </rPr>
      <t>胡芝瀞</t>
    </r>
    <phoneticPr fontId="3" type="noConversion"/>
  </si>
  <si>
    <t>HCC</t>
    <phoneticPr fontId="3" type="noConversion"/>
  </si>
  <si>
    <t>0983-412578</t>
    <phoneticPr fontId="3" type="noConversion"/>
  </si>
  <si>
    <t>BP108</t>
  </si>
  <si>
    <r>
      <rPr>
        <sz val="12"/>
        <color theme="1"/>
        <rFont val="細明體"/>
        <family val="3"/>
        <charset val="136"/>
      </rPr>
      <t>馮淞琰</t>
    </r>
    <phoneticPr fontId="3" type="noConversion"/>
  </si>
  <si>
    <t>FSY</t>
    <phoneticPr fontId="3" type="noConversion"/>
  </si>
  <si>
    <t>0921-472231</t>
    <phoneticPr fontId="3" type="noConversion"/>
  </si>
  <si>
    <t>BP109</t>
  </si>
  <si>
    <r>
      <rPr>
        <sz val="12"/>
        <color theme="1"/>
        <rFont val="細明體"/>
        <family val="3"/>
        <charset val="136"/>
      </rPr>
      <t>徐浩恩</t>
    </r>
    <phoneticPr fontId="3" type="noConversion"/>
  </si>
  <si>
    <t>HHE</t>
    <phoneticPr fontId="3" type="noConversion"/>
  </si>
  <si>
    <t>0932-297695</t>
  </si>
  <si>
    <t>BP110</t>
  </si>
  <si>
    <r>
      <rPr>
        <sz val="12"/>
        <color theme="1"/>
        <rFont val="細明體"/>
        <family val="3"/>
        <charset val="136"/>
      </rPr>
      <t>陳品序</t>
    </r>
    <phoneticPr fontId="3" type="noConversion"/>
  </si>
  <si>
    <t>CPH</t>
    <phoneticPr fontId="3" type="noConversion"/>
  </si>
  <si>
    <t>0926-069760</t>
    <phoneticPr fontId="3" type="noConversion"/>
  </si>
  <si>
    <t>BP111</t>
  </si>
  <si>
    <r>
      <rPr>
        <sz val="12"/>
        <color theme="1"/>
        <rFont val="細明體"/>
        <family val="3"/>
        <charset val="136"/>
      </rPr>
      <t>羅家彤</t>
    </r>
    <phoneticPr fontId="3" type="noConversion"/>
  </si>
  <si>
    <t>LCT</t>
    <phoneticPr fontId="3" type="noConversion"/>
  </si>
  <si>
    <t>0952-154348</t>
    <phoneticPr fontId="3" type="noConversion"/>
  </si>
  <si>
    <t>BP112</t>
  </si>
  <si>
    <r>
      <rPr>
        <sz val="12"/>
        <color theme="1"/>
        <rFont val="細明體"/>
        <family val="3"/>
        <charset val="136"/>
      </rPr>
      <t>謝宓心</t>
    </r>
    <phoneticPr fontId="3" type="noConversion"/>
  </si>
  <si>
    <t>HMH</t>
    <phoneticPr fontId="3" type="noConversion"/>
  </si>
  <si>
    <t>0916-330553</t>
    <phoneticPr fontId="3" type="noConversion"/>
  </si>
  <si>
    <t>BP113</t>
  </si>
  <si>
    <r>
      <rPr>
        <sz val="12"/>
        <color theme="1"/>
        <rFont val="細明體"/>
        <family val="3"/>
        <charset val="136"/>
      </rPr>
      <t>謝易廷</t>
    </r>
    <phoneticPr fontId="3" type="noConversion"/>
  </si>
  <si>
    <t>HYT</t>
    <phoneticPr fontId="3" type="noConversion"/>
  </si>
  <si>
    <t>0921-874451</t>
    <phoneticPr fontId="3" type="noConversion"/>
  </si>
  <si>
    <t>BP114</t>
  </si>
  <si>
    <r>
      <rPr>
        <sz val="12"/>
        <color theme="1"/>
        <rFont val="細明體"/>
        <family val="3"/>
        <charset val="136"/>
      </rPr>
      <t>馬誠宣</t>
    </r>
    <phoneticPr fontId="3" type="noConversion"/>
  </si>
  <si>
    <t>MCH</t>
    <phoneticPr fontId="3" type="noConversion"/>
  </si>
  <si>
    <t>29+5</t>
    <phoneticPr fontId="3" type="noConversion"/>
  </si>
  <si>
    <t>0912-529662</t>
    <phoneticPr fontId="3" type="noConversion"/>
  </si>
  <si>
    <t>BP115</t>
  </si>
  <si>
    <r>
      <rPr>
        <sz val="12"/>
        <color theme="1"/>
        <rFont val="細明體"/>
        <family val="3"/>
        <charset val="136"/>
      </rPr>
      <t>陳婕甯</t>
    </r>
    <phoneticPr fontId="3" type="noConversion"/>
  </si>
  <si>
    <t>CCN</t>
    <phoneticPr fontId="3" type="noConversion"/>
  </si>
  <si>
    <t>0900-007105</t>
    <phoneticPr fontId="3" type="noConversion"/>
  </si>
  <si>
    <t>BP116</t>
  </si>
  <si>
    <r>
      <rPr>
        <sz val="12"/>
        <color theme="1"/>
        <rFont val="細明體"/>
        <family val="3"/>
        <charset val="136"/>
      </rPr>
      <t>廖允澤</t>
    </r>
    <phoneticPr fontId="3" type="noConversion"/>
  </si>
  <si>
    <t>LYT</t>
    <phoneticPr fontId="3" type="noConversion"/>
  </si>
  <si>
    <t>0968-366214</t>
    <phoneticPr fontId="3" type="noConversion"/>
  </si>
  <si>
    <t>BP117</t>
  </si>
  <si>
    <r>
      <rPr>
        <sz val="12"/>
        <color theme="1"/>
        <rFont val="細明體"/>
        <family val="3"/>
        <charset val="136"/>
      </rPr>
      <t>張巧彤</t>
    </r>
    <phoneticPr fontId="3" type="noConversion"/>
  </si>
  <si>
    <t>0939-775532</t>
    <phoneticPr fontId="3" type="noConversion"/>
  </si>
  <si>
    <t>BP118</t>
  </si>
  <si>
    <r>
      <rPr>
        <sz val="12"/>
        <color theme="1"/>
        <rFont val="細明體"/>
        <family val="3"/>
        <charset val="136"/>
      </rPr>
      <t>林妘霏</t>
    </r>
    <phoneticPr fontId="3" type="noConversion"/>
  </si>
  <si>
    <t>LYF</t>
    <phoneticPr fontId="3" type="noConversion"/>
  </si>
  <si>
    <t>0925-966417</t>
    <phoneticPr fontId="3" type="noConversion"/>
  </si>
  <si>
    <t>BP119</t>
  </si>
  <si>
    <r>
      <rPr>
        <sz val="12"/>
        <color theme="1"/>
        <rFont val="細明體"/>
        <family val="3"/>
        <charset val="136"/>
      </rPr>
      <t>鍾承宇</t>
    </r>
    <phoneticPr fontId="3" type="noConversion"/>
  </si>
  <si>
    <t>0958-803055</t>
    <phoneticPr fontId="3" type="noConversion"/>
  </si>
  <si>
    <t>BP120</t>
  </si>
  <si>
    <r>
      <rPr>
        <sz val="12"/>
        <color theme="1"/>
        <rFont val="細明體"/>
        <family val="3"/>
        <charset val="136"/>
      </rPr>
      <t>顏羽菲</t>
    </r>
    <phoneticPr fontId="3" type="noConversion"/>
  </si>
  <si>
    <t>YYF</t>
    <phoneticPr fontId="3" type="noConversion"/>
  </si>
  <si>
    <t>23+3</t>
    <phoneticPr fontId="3" type="noConversion"/>
  </si>
  <si>
    <t>0919-889138</t>
    <phoneticPr fontId="3" type="noConversion"/>
  </si>
  <si>
    <t>BP121</t>
  </si>
  <si>
    <r>
      <rPr>
        <sz val="12"/>
        <color theme="1"/>
        <rFont val="細明體"/>
        <family val="3"/>
        <charset val="136"/>
      </rPr>
      <t>蘇奎頊</t>
    </r>
    <phoneticPr fontId="3" type="noConversion"/>
  </si>
  <si>
    <t>SKH</t>
    <phoneticPr fontId="3" type="noConversion"/>
  </si>
  <si>
    <t>29+4</t>
    <phoneticPr fontId="3" type="noConversion"/>
  </si>
  <si>
    <r>
      <t>0981-859361</t>
    </r>
    <r>
      <rPr>
        <sz val="12"/>
        <color theme="1"/>
        <rFont val="細明體"/>
        <family val="3"/>
        <charset val="136"/>
      </rPr>
      <t>；</t>
    </r>
    <r>
      <rPr>
        <sz val="12"/>
        <color theme="1"/>
        <rFont val="Times New Roman"/>
        <family val="1"/>
      </rPr>
      <t>22930870</t>
    </r>
    <phoneticPr fontId="3" type="noConversion"/>
  </si>
  <si>
    <t>BP122</t>
  </si>
  <si>
    <r>
      <rPr>
        <sz val="12"/>
        <color theme="1"/>
        <rFont val="細明體"/>
        <family val="3"/>
        <charset val="136"/>
      </rPr>
      <t>游原全</t>
    </r>
    <phoneticPr fontId="3" type="noConversion"/>
  </si>
  <si>
    <t>YYC</t>
    <phoneticPr fontId="3" type="noConversion"/>
  </si>
  <si>
    <r>
      <t>0936-047060</t>
    </r>
    <r>
      <rPr>
        <sz val="12"/>
        <color theme="1"/>
        <rFont val="細明體"/>
        <family val="3"/>
        <charset val="136"/>
      </rPr>
      <t>；</t>
    </r>
    <r>
      <rPr>
        <sz val="12"/>
        <color theme="1"/>
        <rFont val="Times New Roman"/>
        <family val="1"/>
      </rPr>
      <t>0925-576990</t>
    </r>
    <phoneticPr fontId="3" type="noConversion"/>
  </si>
  <si>
    <t>BP123</t>
  </si>
  <si>
    <r>
      <rPr>
        <sz val="12"/>
        <color theme="1"/>
        <rFont val="細明體"/>
        <family val="3"/>
        <charset val="136"/>
      </rPr>
      <t>游原安</t>
    </r>
    <phoneticPr fontId="3" type="noConversion"/>
  </si>
  <si>
    <t>BP124</t>
  </si>
  <si>
    <r>
      <rPr>
        <sz val="12"/>
        <color theme="1"/>
        <rFont val="細明體"/>
        <family val="3"/>
        <charset val="136"/>
      </rPr>
      <t>王宣涵</t>
    </r>
    <phoneticPr fontId="3" type="noConversion"/>
  </si>
  <si>
    <t>WHH</t>
    <phoneticPr fontId="3" type="noConversion"/>
  </si>
  <si>
    <t>0910-354099</t>
    <phoneticPr fontId="3" type="noConversion"/>
  </si>
  <si>
    <t>BP125</t>
    <phoneticPr fontId="3" type="noConversion"/>
  </si>
  <si>
    <r>
      <rPr>
        <sz val="12"/>
        <color theme="1"/>
        <rFont val="細明體"/>
        <family val="3"/>
        <charset val="136"/>
      </rPr>
      <t>邱子昀</t>
    </r>
    <phoneticPr fontId="3" type="noConversion"/>
  </si>
  <si>
    <t>CTY</t>
    <phoneticPr fontId="3" type="noConversion"/>
  </si>
  <si>
    <t>0939-070675</t>
    <phoneticPr fontId="3" type="noConversion"/>
  </si>
  <si>
    <t>BP126</t>
    <phoneticPr fontId="3" type="noConversion"/>
  </si>
  <si>
    <r>
      <rPr>
        <sz val="12"/>
        <color theme="1"/>
        <rFont val="細明體"/>
        <family val="3"/>
        <charset val="136"/>
      </rPr>
      <t>張楀欣</t>
    </r>
    <phoneticPr fontId="3" type="noConversion"/>
  </si>
  <si>
    <t>0988-311809</t>
    <phoneticPr fontId="3" type="noConversion"/>
  </si>
  <si>
    <t>BP127</t>
  </si>
  <si>
    <r>
      <rPr>
        <sz val="12"/>
        <color theme="1"/>
        <rFont val="細明體"/>
        <family val="3"/>
        <charset val="136"/>
      </rPr>
      <t>錢翔寧</t>
    </r>
    <phoneticPr fontId="3" type="noConversion"/>
  </si>
  <si>
    <t>CHN</t>
    <phoneticPr fontId="3" type="noConversion"/>
  </si>
  <si>
    <t>0927-853373</t>
    <phoneticPr fontId="3" type="noConversion"/>
  </si>
  <si>
    <t>BP128</t>
  </si>
  <si>
    <r>
      <rPr>
        <sz val="12"/>
        <color theme="1"/>
        <rFont val="細明體"/>
        <family val="3"/>
        <charset val="136"/>
      </rPr>
      <t>洪苡宸</t>
    </r>
    <phoneticPr fontId="3" type="noConversion"/>
  </si>
  <si>
    <t>0918-796660</t>
    <phoneticPr fontId="3" type="noConversion"/>
  </si>
  <si>
    <t>BP129</t>
  </si>
  <si>
    <r>
      <rPr>
        <sz val="12"/>
        <color theme="1"/>
        <rFont val="細明體"/>
        <family val="3"/>
        <charset val="136"/>
      </rPr>
      <t>邱于誠</t>
    </r>
    <phoneticPr fontId="3" type="noConversion"/>
  </si>
  <si>
    <t>25+5</t>
    <phoneticPr fontId="3" type="noConversion"/>
  </si>
  <si>
    <t>0907-319245</t>
    <phoneticPr fontId="3" type="noConversion"/>
  </si>
  <si>
    <t>BP130</t>
    <phoneticPr fontId="3" type="noConversion"/>
  </si>
  <si>
    <r>
      <rPr>
        <sz val="12"/>
        <color theme="1"/>
        <rFont val="細明體"/>
        <family val="3"/>
        <charset val="136"/>
      </rPr>
      <t>洪允彤</t>
    </r>
    <phoneticPr fontId="3" type="noConversion"/>
  </si>
  <si>
    <t>0918-658369</t>
    <phoneticPr fontId="3" type="noConversion"/>
  </si>
  <si>
    <t>BP131</t>
    <phoneticPr fontId="3" type="noConversion"/>
  </si>
  <si>
    <r>
      <rPr>
        <sz val="12"/>
        <color theme="1"/>
        <rFont val="細明體"/>
        <family val="3"/>
        <charset val="136"/>
      </rPr>
      <t>劉芝彤</t>
    </r>
    <phoneticPr fontId="3" type="noConversion"/>
  </si>
  <si>
    <t>39+4</t>
    <phoneticPr fontId="3" type="noConversion"/>
  </si>
  <si>
    <t>0981-620558</t>
    <phoneticPr fontId="3" type="noConversion"/>
  </si>
  <si>
    <t>BP132</t>
  </si>
  <si>
    <r>
      <rPr>
        <sz val="12"/>
        <color theme="1"/>
        <rFont val="細明體"/>
        <family val="3"/>
        <charset val="136"/>
      </rPr>
      <t>顏妡芮</t>
    </r>
    <phoneticPr fontId="3" type="noConversion"/>
  </si>
  <si>
    <t>YHJ</t>
    <phoneticPr fontId="3" type="noConversion"/>
  </si>
  <si>
    <t>0930-798728</t>
    <phoneticPr fontId="3" type="noConversion"/>
  </si>
  <si>
    <t>BP133</t>
  </si>
  <si>
    <r>
      <rPr>
        <sz val="12"/>
        <color theme="1"/>
        <rFont val="細明體"/>
        <family val="3"/>
        <charset val="136"/>
      </rPr>
      <t>羅梓軒</t>
    </r>
    <phoneticPr fontId="3" type="noConversion"/>
  </si>
  <si>
    <t>LTH</t>
    <phoneticPr fontId="3" type="noConversion"/>
  </si>
  <si>
    <t>0935-783679</t>
    <phoneticPr fontId="3" type="noConversion"/>
  </si>
  <si>
    <t>BP134</t>
  </si>
  <si>
    <r>
      <rPr>
        <sz val="12"/>
        <color theme="1"/>
        <rFont val="細明體"/>
        <family val="3"/>
        <charset val="136"/>
      </rPr>
      <t>陳亦芸</t>
    </r>
    <phoneticPr fontId="3" type="noConversion"/>
  </si>
  <si>
    <t>0921-517355</t>
    <phoneticPr fontId="3" type="noConversion"/>
  </si>
  <si>
    <t>BP135</t>
  </si>
  <si>
    <r>
      <rPr>
        <sz val="12"/>
        <color theme="1"/>
        <rFont val="細明體"/>
        <family val="3"/>
        <charset val="136"/>
      </rPr>
      <t>鍾淯丞</t>
    </r>
    <phoneticPr fontId="3" type="noConversion"/>
  </si>
  <si>
    <t>0910-871014</t>
    <phoneticPr fontId="3" type="noConversion"/>
  </si>
  <si>
    <t>BP136</t>
  </si>
  <si>
    <r>
      <rPr>
        <sz val="12"/>
        <color theme="1"/>
        <rFont val="細明體"/>
        <family val="3"/>
        <charset val="136"/>
      </rPr>
      <t>鄒一菲</t>
    </r>
    <phoneticPr fontId="3" type="noConversion"/>
  </si>
  <si>
    <t>TYF</t>
    <phoneticPr fontId="3" type="noConversion"/>
  </si>
  <si>
    <r>
      <t>0920-663329</t>
    </r>
    <r>
      <rPr>
        <sz val="12"/>
        <color theme="1"/>
        <rFont val="細明體"/>
        <family val="3"/>
        <charset val="136"/>
      </rPr>
      <t>；</t>
    </r>
    <r>
      <rPr>
        <sz val="12"/>
        <color theme="1"/>
        <rFont val="Times New Roman"/>
        <family val="1"/>
      </rPr>
      <t>0918-885034</t>
    </r>
    <phoneticPr fontId="3" type="noConversion"/>
  </si>
  <si>
    <t>BP137</t>
  </si>
  <si>
    <r>
      <rPr>
        <sz val="12"/>
        <color theme="1"/>
        <rFont val="細明體"/>
        <family val="3"/>
        <charset val="136"/>
      </rPr>
      <t>許元睿</t>
    </r>
    <phoneticPr fontId="3" type="noConversion"/>
  </si>
  <si>
    <t>HYJ</t>
    <phoneticPr fontId="3" type="noConversion"/>
  </si>
  <si>
    <t>0920-224776</t>
    <phoneticPr fontId="3" type="noConversion"/>
  </si>
  <si>
    <t>BP138</t>
  </si>
  <si>
    <r>
      <rPr>
        <sz val="12"/>
        <color theme="1"/>
        <rFont val="細明體"/>
        <family val="3"/>
        <charset val="136"/>
      </rPr>
      <t>陳彥銘</t>
    </r>
    <phoneticPr fontId="3" type="noConversion"/>
  </si>
  <si>
    <t>CYM</t>
    <phoneticPr fontId="3" type="noConversion"/>
  </si>
  <si>
    <t>25+2</t>
    <phoneticPr fontId="3" type="noConversion"/>
  </si>
  <si>
    <t>0981-905358</t>
    <phoneticPr fontId="3" type="noConversion"/>
  </si>
  <si>
    <t>BP139</t>
  </si>
  <si>
    <r>
      <rPr>
        <sz val="12"/>
        <color theme="1"/>
        <rFont val="細明體"/>
        <family val="3"/>
        <charset val="136"/>
      </rPr>
      <t>江康睿</t>
    </r>
    <phoneticPr fontId="3" type="noConversion"/>
  </si>
  <si>
    <t>CKJ</t>
    <phoneticPr fontId="3" type="noConversion"/>
  </si>
  <si>
    <t>0912-207512</t>
    <phoneticPr fontId="3" type="noConversion"/>
  </si>
  <si>
    <t>BP140</t>
  </si>
  <si>
    <r>
      <rPr>
        <sz val="12"/>
        <color theme="1"/>
        <rFont val="細明體"/>
        <family val="3"/>
        <charset val="136"/>
      </rPr>
      <t>朱泫熙</t>
    </r>
    <phoneticPr fontId="3" type="noConversion"/>
  </si>
  <si>
    <t>CHH</t>
    <phoneticPr fontId="3" type="noConversion"/>
  </si>
  <si>
    <t>0952-287423</t>
    <phoneticPr fontId="3" type="noConversion"/>
  </si>
  <si>
    <t>BP141</t>
  </si>
  <si>
    <r>
      <rPr>
        <sz val="12"/>
        <color theme="1"/>
        <rFont val="細明體"/>
        <family val="3"/>
        <charset val="136"/>
      </rPr>
      <t>張淯凱</t>
    </r>
    <phoneticPr fontId="3" type="noConversion"/>
  </si>
  <si>
    <t>CYK</t>
    <phoneticPr fontId="3" type="noConversion"/>
  </si>
  <si>
    <t>0961-416458</t>
    <phoneticPr fontId="3" type="noConversion"/>
  </si>
  <si>
    <t>BP142</t>
  </si>
  <si>
    <r>
      <rPr>
        <sz val="12"/>
        <color theme="1"/>
        <rFont val="細明體"/>
        <family val="3"/>
        <charset val="136"/>
      </rPr>
      <t>李軒宇</t>
    </r>
    <phoneticPr fontId="3" type="noConversion"/>
  </si>
  <si>
    <t>0989-060208</t>
    <phoneticPr fontId="3" type="noConversion"/>
  </si>
  <si>
    <t>BP143</t>
  </si>
  <si>
    <r>
      <rPr>
        <sz val="12"/>
        <color theme="1"/>
        <rFont val="細明體"/>
        <family val="3"/>
        <charset val="136"/>
      </rPr>
      <t>溫芸菲</t>
    </r>
    <phoneticPr fontId="3" type="noConversion"/>
  </si>
  <si>
    <t>WYF</t>
    <phoneticPr fontId="3" type="noConversion"/>
  </si>
  <si>
    <r>
      <t>0938-187601</t>
    </r>
    <r>
      <rPr>
        <sz val="12"/>
        <color theme="1"/>
        <rFont val="細明體"/>
        <family val="3"/>
        <charset val="136"/>
      </rPr>
      <t>；</t>
    </r>
    <r>
      <rPr>
        <sz val="12"/>
        <color theme="1"/>
        <rFont val="Times New Roman"/>
        <family val="1"/>
      </rPr>
      <t>0907-731721</t>
    </r>
    <phoneticPr fontId="3" type="noConversion"/>
  </si>
  <si>
    <t>BP144</t>
  </si>
  <si>
    <r>
      <rPr>
        <sz val="12"/>
        <color theme="1"/>
        <rFont val="細明體"/>
        <family val="3"/>
        <charset val="136"/>
      </rPr>
      <t>林妘溱</t>
    </r>
    <phoneticPr fontId="3" type="noConversion"/>
  </si>
  <si>
    <t>0933-780314</t>
    <phoneticPr fontId="3" type="noConversion"/>
  </si>
  <si>
    <t>BP145</t>
  </si>
  <si>
    <r>
      <rPr>
        <sz val="12"/>
        <color theme="1"/>
        <rFont val="細明體"/>
        <family val="3"/>
        <charset val="136"/>
      </rPr>
      <t>馬英齊</t>
    </r>
    <phoneticPr fontId="3" type="noConversion"/>
  </si>
  <si>
    <t>MYC</t>
    <phoneticPr fontId="3" type="noConversion"/>
  </si>
  <si>
    <t>0987-113087</t>
    <phoneticPr fontId="3" type="noConversion"/>
  </si>
  <si>
    <t>BP146</t>
  </si>
  <si>
    <r>
      <rPr>
        <sz val="12"/>
        <color theme="1"/>
        <rFont val="細明體"/>
        <family val="3"/>
        <charset val="136"/>
      </rPr>
      <t>張軒旻</t>
    </r>
    <phoneticPr fontId="3" type="noConversion"/>
  </si>
  <si>
    <t>CHM</t>
    <phoneticPr fontId="3" type="noConversion"/>
  </si>
  <si>
    <t>0955-076052</t>
    <phoneticPr fontId="3" type="noConversion"/>
  </si>
  <si>
    <t>BP147</t>
  </si>
  <si>
    <r>
      <rPr>
        <sz val="12"/>
        <color theme="1"/>
        <rFont val="細明體"/>
        <family val="3"/>
        <charset val="136"/>
      </rPr>
      <t>張軒侑</t>
    </r>
    <phoneticPr fontId="3" type="noConversion"/>
  </si>
  <si>
    <t>CHY</t>
    <phoneticPr fontId="3" type="noConversion"/>
  </si>
  <si>
    <t>BP148</t>
  </si>
  <si>
    <r>
      <rPr>
        <sz val="12"/>
        <color theme="1"/>
        <rFont val="細明體"/>
        <family val="3"/>
        <charset val="136"/>
      </rPr>
      <t>程妘安</t>
    </r>
    <phoneticPr fontId="3" type="noConversion"/>
  </si>
  <si>
    <t>CYA</t>
    <phoneticPr fontId="3" type="noConversion"/>
  </si>
  <si>
    <t>0912-574125</t>
    <phoneticPr fontId="3" type="noConversion"/>
  </si>
  <si>
    <t>BP149</t>
  </si>
  <si>
    <r>
      <rPr>
        <sz val="12"/>
        <color theme="1"/>
        <rFont val="細明體"/>
        <family val="3"/>
        <charset val="136"/>
      </rPr>
      <t>張可</t>
    </r>
    <phoneticPr fontId="3" type="noConversion"/>
  </si>
  <si>
    <t>CK</t>
    <phoneticPr fontId="3" type="noConversion"/>
  </si>
  <si>
    <t>0988-387638</t>
    <phoneticPr fontId="3" type="noConversion"/>
  </si>
  <si>
    <t>BP150</t>
  </si>
  <si>
    <r>
      <rPr>
        <sz val="12"/>
        <color theme="1"/>
        <rFont val="細明體"/>
        <family val="3"/>
        <charset val="136"/>
      </rPr>
      <t>林祐丞</t>
    </r>
    <phoneticPr fontId="3" type="noConversion"/>
  </si>
  <si>
    <t>0970-099179</t>
    <phoneticPr fontId="3" type="noConversion"/>
  </si>
  <si>
    <t>BP151</t>
  </si>
  <si>
    <r>
      <rPr>
        <sz val="12"/>
        <color theme="1"/>
        <rFont val="細明體"/>
        <family val="3"/>
        <charset val="136"/>
      </rPr>
      <t>許雅萱</t>
    </r>
    <phoneticPr fontId="3" type="noConversion"/>
  </si>
  <si>
    <t>0988-014312</t>
    <phoneticPr fontId="3" type="noConversion"/>
  </si>
  <si>
    <t>BP152</t>
  </si>
  <si>
    <r>
      <rPr>
        <sz val="12"/>
        <color theme="1"/>
        <rFont val="細明體"/>
        <family val="3"/>
        <charset val="136"/>
      </rPr>
      <t>許有誠</t>
    </r>
    <phoneticPr fontId="3" type="noConversion"/>
  </si>
  <si>
    <t>BP153</t>
  </si>
  <si>
    <r>
      <rPr>
        <sz val="12"/>
        <color theme="1"/>
        <rFont val="細明體"/>
        <family val="3"/>
        <charset val="136"/>
      </rPr>
      <t>洪梓桓</t>
    </r>
    <phoneticPr fontId="3" type="noConversion"/>
  </si>
  <si>
    <t>24+5</t>
    <phoneticPr fontId="3" type="noConversion"/>
  </si>
  <si>
    <t>0913-818376</t>
    <phoneticPr fontId="3" type="noConversion"/>
  </si>
  <si>
    <t>BP154</t>
  </si>
  <si>
    <r>
      <rPr>
        <sz val="12"/>
        <color theme="1"/>
        <rFont val="細明體"/>
        <family val="3"/>
        <charset val="136"/>
      </rPr>
      <t>黃星皓</t>
    </r>
    <phoneticPr fontId="3" type="noConversion"/>
  </si>
  <si>
    <t>0975-820532</t>
    <phoneticPr fontId="3" type="noConversion"/>
  </si>
  <si>
    <t>BP155</t>
  </si>
  <si>
    <r>
      <rPr>
        <sz val="12"/>
        <color theme="0" tint="-0.499984740745262"/>
        <rFont val="細明體"/>
        <family val="3"/>
        <charset val="136"/>
      </rPr>
      <t>揚軒亦</t>
    </r>
    <phoneticPr fontId="3" type="noConversion"/>
  </si>
  <si>
    <t>YHY</t>
    <phoneticPr fontId="3" type="noConversion"/>
  </si>
  <si>
    <t>0988-012625</t>
    <phoneticPr fontId="3" type="noConversion"/>
  </si>
  <si>
    <t>BP156</t>
  </si>
  <si>
    <r>
      <rPr>
        <sz val="12"/>
        <color theme="1"/>
        <rFont val="細明體"/>
        <family val="3"/>
        <charset val="136"/>
      </rPr>
      <t>莊宸語</t>
    </r>
    <phoneticPr fontId="3" type="noConversion"/>
  </si>
  <si>
    <t>0936-231980</t>
    <phoneticPr fontId="3" type="noConversion"/>
  </si>
  <si>
    <t>BP157</t>
  </si>
  <si>
    <r>
      <rPr>
        <sz val="12"/>
        <color theme="1"/>
        <rFont val="細明體"/>
        <family val="3"/>
        <charset val="136"/>
      </rPr>
      <t>莊宸銨</t>
    </r>
    <phoneticPr fontId="3" type="noConversion"/>
  </si>
  <si>
    <t>CCA</t>
    <phoneticPr fontId="3" type="noConversion"/>
  </si>
  <si>
    <t>BP158</t>
  </si>
  <si>
    <r>
      <rPr>
        <sz val="12"/>
        <color theme="1"/>
        <rFont val="細明體"/>
        <family val="3"/>
        <charset val="136"/>
      </rPr>
      <t>莊士凱</t>
    </r>
    <phoneticPr fontId="3" type="noConversion"/>
  </si>
  <si>
    <t>CSK</t>
    <phoneticPr fontId="3" type="noConversion"/>
  </si>
  <si>
    <t>38+3</t>
    <phoneticPr fontId="3" type="noConversion"/>
  </si>
  <si>
    <r>
      <t>0930-521928</t>
    </r>
    <r>
      <rPr>
        <sz val="12"/>
        <color theme="1"/>
        <rFont val="細明體"/>
        <family val="3"/>
        <charset val="136"/>
      </rPr>
      <t>；</t>
    </r>
    <r>
      <rPr>
        <sz val="12"/>
        <color theme="1"/>
        <rFont val="Times New Roman"/>
        <family val="1"/>
      </rPr>
      <t>0989-376194</t>
    </r>
    <phoneticPr fontId="3" type="noConversion"/>
  </si>
  <si>
    <t>BP159</t>
  </si>
  <si>
    <t>戴慕恩</t>
    <phoneticPr fontId="3" type="noConversion"/>
  </si>
  <si>
    <t>TME</t>
    <phoneticPr fontId="3" type="noConversion"/>
  </si>
  <si>
    <t>0962-057959</t>
    <phoneticPr fontId="3" type="noConversion"/>
  </si>
  <si>
    <t>BP160</t>
  </si>
  <si>
    <r>
      <rPr>
        <sz val="12"/>
        <color theme="1"/>
        <rFont val="細明體"/>
        <family val="3"/>
        <charset val="136"/>
      </rPr>
      <t>戴慕依</t>
    </r>
    <phoneticPr fontId="3" type="noConversion"/>
  </si>
  <si>
    <t>TMY</t>
    <phoneticPr fontId="3" type="noConversion"/>
  </si>
  <si>
    <t>BP161</t>
  </si>
  <si>
    <r>
      <rPr>
        <sz val="12"/>
        <color theme="1"/>
        <rFont val="細明體"/>
        <family val="3"/>
        <charset val="136"/>
      </rPr>
      <t>陳沛蕎</t>
    </r>
    <phoneticPr fontId="3" type="noConversion"/>
  </si>
  <si>
    <t>0968-835687</t>
    <phoneticPr fontId="3" type="noConversion"/>
  </si>
  <si>
    <t>BP162</t>
  </si>
  <si>
    <r>
      <rPr>
        <sz val="12"/>
        <color theme="1"/>
        <rFont val="細明體"/>
        <family val="3"/>
        <charset val="136"/>
      </rPr>
      <t>李沅芫</t>
    </r>
    <phoneticPr fontId="3" type="noConversion"/>
  </si>
  <si>
    <t>0911-577567</t>
    <phoneticPr fontId="3" type="noConversion"/>
  </si>
  <si>
    <t>BP163</t>
  </si>
  <si>
    <r>
      <rPr>
        <sz val="12"/>
        <color theme="1"/>
        <rFont val="細明體"/>
        <family val="3"/>
        <charset val="136"/>
      </rPr>
      <t>蘇唯愷</t>
    </r>
    <phoneticPr fontId="3" type="noConversion"/>
  </si>
  <si>
    <t>SWK</t>
    <phoneticPr fontId="3" type="noConversion"/>
  </si>
  <si>
    <t>0953-337819</t>
    <phoneticPr fontId="3" type="noConversion"/>
  </si>
  <si>
    <t>BP164</t>
  </si>
  <si>
    <r>
      <rPr>
        <sz val="12"/>
        <color theme="1"/>
        <rFont val="細明體"/>
        <family val="3"/>
        <charset val="136"/>
      </rPr>
      <t>張洛菲</t>
    </r>
    <phoneticPr fontId="3" type="noConversion"/>
  </si>
  <si>
    <t>CLF</t>
    <phoneticPr fontId="3" type="noConversion"/>
  </si>
  <si>
    <t>0989-562701</t>
    <phoneticPr fontId="3" type="noConversion"/>
  </si>
  <si>
    <t>BP165</t>
  </si>
  <si>
    <r>
      <rPr>
        <sz val="12"/>
        <color theme="1"/>
        <rFont val="細明體"/>
        <family val="3"/>
        <charset val="136"/>
      </rPr>
      <t>張淳軒</t>
    </r>
    <phoneticPr fontId="3" type="noConversion"/>
  </si>
  <si>
    <t>BP166</t>
  </si>
  <si>
    <r>
      <rPr>
        <sz val="12"/>
        <color theme="1"/>
        <rFont val="細明體"/>
        <family val="3"/>
        <charset val="136"/>
      </rPr>
      <t>蕭翊展</t>
    </r>
    <phoneticPr fontId="3" type="noConversion"/>
  </si>
  <si>
    <t>0978-879756</t>
    <phoneticPr fontId="3" type="noConversion"/>
  </si>
  <si>
    <t>BP167</t>
  </si>
  <si>
    <r>
      <rPr>
        <sz val="12"/>
        <color theme="1"/>
        <rFont val="細明體"/>
        <family val="3"/>
        <charset val="136"/>
      </rPr>
      <t>許展綸</t>
    </r>
    <phoneticPr fontId="3" type="noConversion"/>
  </si>
  <si>
    <t>HCL</t>
    <phoneticPr fontId="3" type="noConversion"/>
  </si>
  <si>
    <t>0975-543297</t>
    <phoneticPr fontId="3" type="noConversion"/>
  </si>
  <si>
    <t>BP168</t>
  </si>
  <si>
    <r>
      <rPr>
        <sz val="12"/>
        <color theme="1"/>
        <rFont val="細明體"/>
        <family val="3"/>
        <charset val="136"/>
      </rPr>
      <t>遲睿奇</t>
    </r>
    <phoneticPr fontId="3" type="noConversion"/>
  </si>
  <si>
    <t>CJC</t>
    <phoneticPr fontId="3" type="noConversion"/>
  </si>
  <si>
    <t>0928-628547</t>
    <phoneticPr fontId="3" type="noConversion"/>
  </si>
  <si>
    <t>BP169</t>
  </si>
  <si>
    <r>
      <rPr>
        <sz val="12"/>
        <color theme="1"/>
        <rFont val="細明體"/>
        <family val="3"/>
        <charset val="136"/>
      </rPr>
      <t>吳星言</t>
    </r>
    <phoneticPr fontId="3" type="noConversion"/>
  </si>
  <si>
    <t>WHY</t>
    <phoneticPr fontId="3" type="noConversion"/>
  </si>
  <si>
    <t>38+1</t>
    <phoneticPr fontId="3" type="noConversion"/>
  </si>
  <si>
    <t>0921-207976</t>
    <phoneticPr fontId="3" type="noConversion"/>
  </si>
  <si>
    <t>BP170</t>
  </si>
  <si>
    <r>
      <rPr>
        <sz val="12"/>
        <color theme="1"/>
        <rFont val="細明體"/>
        <family val="3"/>
        <charset val="136"/>
      </rPr>
      <t>楊秀燁</t>
    </r>
    <phoneticPr fontId="3" type="noConversion"/>
  </si>
  <si>
    <t>27+6</t>
    <phoneticPr fontId="3" type="noConversion"/>
  </si>
  <si>
    <t>0935-095363</t>
    <phoneticPr fontId="3" type="noConversion"/>
  </si>
  <si>
    <t>BP171</t>
    <phoneticPr fontId="3" type="noConversion"/>
  </si>
  <si>
    <r>
      <rPr>
        <sz val="12"/>
        <color theme="1"/>
        <rFont val="細明體"/>
        <family val="3"/>
        <charset val="136"/>
      </rPr>
      <t>吳芊霈</t>
    </r>
    <phoneticPr fontId="3" type="noConversion"/>
  </si>
  <si>
    <t>WCP</t>
    <phoneticPr fontId="3" type="noConversion"/>
  </si>
  <si>
    <t>0975-782863</t>
    <phoneticPr fontId="3" type="noConversion"/>
  </si>
  <si>
    <t>BP172</t>
  </si>
  <si>
    <r>
      <rPr>
        <sz val="12"/>
        <color theme="1"/>
        <rFont val="細明體"/>
        <family val="3"/>
        <charset val="136"/>
      </rPr>
      <t>全昱順</t>
    </r>
    <phoneticPr fontId="3" type="noConversion"/>
  </si>
  <si>
    <t>CYS</t>
    <phoneticPr fontId="3" type="noConversion"/>
  </si>
  <si>
    <r>
      <t>0968-121032</t>
    </r>
    <r>
      <rPr>
        <sz val="12"/>
        <color theme="1"/>
        <rFont val="細明體"/>
        <family val="3"/>
        <charset val="136"/>
      </rPr>
      <t>；</t>
    </r>
    <r>
      <rPr>
        <sz val="12"/>
        <color theme="1"/>
        <rFont val="Times New Roman"/>
        <family val="1"/>
      </rPr>
      <t>0958-599520</t>
    </r>
    <phoneticPr fontId="3" type="noConversion"/>
  </si>
  <si>
    <t>BP173</t>
  </si>
  <si>
    <r>
      <rPr>
        <sz val="12"/>
        <color theme="1"/>
        <rFont val="細明體"/>
        <family val="3"/>
        <charset val="136"/>
      </rPr>
      <t>余宣霆</t>
    </r>
    <phoneticPr fontId="3" type="noConversion"/>
  </si>
  <si>
    <t>0932-658308</t>
    <phoneticPr fontId="3" type="noConversion"/>
  </si>
  <si>
    <t>BP174</t>
    <phoneticPr fontId="3" type="noConversion"/>
  </si>
  <si>
    <r>
      <rPr>
        <sz val="12"/>
        <color theme="1"/>
        <rFont val="細明體"/>
        <family val="3"/>
        <charset val="136"/>
      </rPr>
      <t>丁仁竣</t>
    </r>
    <phoneticPr fontId="3" type="noConversion"/>
  </si>
  <si>
    <t>TJC</t>
    <phoneticPr fontId="3" type="noConversion"/>
  </si>
  <si>
    <t>0961-322276</t>
    <phoneticPr fontId="3" type="noConversion"/>
  </si>
  <si>
    <t>BP175</t>
    <phoneticPr fontId="3" type="noConversion"/>
  </si>
  <si>
    <r>
      <rPr>
        <sz val="12"/>
        <color theme="1"/>
        <rFont val="細明體"/>
        <family val="3"/>
        <charset val="136"/>
      </rPr>
      <t>蔡政品</t>
    </r>
    <phoneticPr fontId="3" type="noConversion"/>
  </si>
  <si>
    <t>TCP</t>
    <phoneticPr fontId="3" type="noConversion"/>
  </si>
  <si>
    <t>0918-662772</t>
    <phoneticPr fontId="3" type="noConversion"/>
  </si>
  <si>
    <t>BP176</t>
  </si>
  <si>
    <r>
      <rPr>
        <sz val="12"/>
        <color theme="1"/>
        <rFont val="細明體"/>
        <family val="3"/>
        <charset val="136"/>
      </rPr>
      <t>賴芃淩</t>
    </r>
    <phoneticPr fontId="3" type="noConversion"/>
  </si>
  <si>
    <t>LPL</t>
    <phoneticPr fontId="3" type="noConversion"/>
  </si>
  <si>
    <t>0936-389507</t>
    <phoneticPr fontId="3" type="noConversion"/>
  </si>
  <si>
    <t>BP177</t>
  </si>
  <si>
    <r>
      <rPr>
        <sz val="12"/>
        <color theme="1"/>
        <rFont val="細明體"/>
        <family val="3"/>
        <charset val="136"/>
      </rPr>
      <t>蘇湘荑</t>
    </r>
    <phoneticPr fontId="3" type="noConversion"/>
  </si>
  <si>
    <t>0910-174314</t>
    <phoneticPr fontId="3" type="noConversion"/>
  </si>
  <si>
    <t>BP178</t>
    <phoneticPr fontId="3" type="noConversion"/>
  </si>
  <si>
    <r>
      <rPr>
        <sz val="12"/>
        <color theme="1"/>
        <rFont val="細明體"/>
        <family val="3"/>
        <charset val="136"/>
      </rPr>
      <t>方沐臣</t>
    </r>
    <phoneticPr fontId="3" type="noConversion"/>
  </si>
  <si>
    <t>FMC</t>
    <phoneticPr fontId="3" type="noConversion"/>
  </si>
  <si>
    <t>24+6</t>
    <phoneticPr fontId="3" type="noConversion"/>
  </si>
  <si>
    <r>
      <t>0912-314115</t>
    </r>
    <r>
      <rPr>
        <sz val="12"/>
        <color theme="1"/>
        <rFont val="細明體"/>
        <family val="3"/>
        <charset val="136"/>
      </rPr>
      <t>；</t>
    </r>
    <r>
      <rPr>
        <sz val="12"/>
        <color theme="1"/>
        <rFont val="Times New Roman"/>
        <family val="1"/>
      </rPr>
      <t>0989-423075</t>
    </r>
    <phoneticPr fontId="3" type="noConversion"/>
  </si>
  <si>
    <t>BP179</t>
    <phoneticPr fontId="3" type="noConversion"/>
  </si>
  <si>
    <t>游珈語</t>
    <phoneticPr fontId="3" type="noConversion"/>
  </si>
  <si>
    <t>0930-134513</t>
    <phoneticPr fontId="3" type="noConversion"/>
  </si>
  <si>
    <t>BP180</t>
    <phoneticPr fontId="3" type="noConversion"/>
  </si>
  <si>
    <t>許宸燁</t>
    <phoneticPr fontId="3" type="noConversion"/>
  </si>
  <si>
    <t>HCY</t>
    <phoneticPr fontId="3" type="noConversion"/>
  </si>
  <si>
    <t>37+1</t>
    <phoneticPr fontId="3" type="noConversion"/>
  </si>
  <si>
    <t>0975-594847</t>
    <phoneticPr fontId="3" type="noConversion"/>
  </si>
  <si>
    <t>BP181</t>
    <phoneticPr fontId="3" type="noConversion"/>
  </si>
  <si>
    <t>林霏</t>
    <phoneticPr fontId="3" type="noConversion"/>
  </si>
  <si>
    <t>LF</t>
    <phoneticPr fontId="3" type="noConversion"/>
  </si>
  <si>
    <t>39+5</t>
    <phoneticPr fontId="3" type="noConversion"/>
  </si>
  <si>
    <t>0989-698466</t>
    <phoneticPr fontId="3" type="noConversion"/>
  </si>
  <si>
    <t>BP182</t>
  </si>
  <si>
    <t>張梓婕</t>
    <phoneticPr fontId="3" type="noConversion"/>
  </si>
  <si>
    <t>CTC</t>
    <phoneticPr fontId="3" type="noConversion"/>
  </si>
  <si>
    <t>37+6</t>
    <phoneticPr fontId="3" type="noConversion"/>
  </si>
  <si>
    <t>0955-377346</t>
    <phoneticPr fontId="3" type="noConversion"/>
  </si>
  <si>
    <t>BP183</t>
  </si>
  <si>
    <t>廖品澔</t>
    <phoneticPr fontId="3" type="noConversion"/>
  </si>
  <si>
    <t>LPH</t>
    <phoneticPr fontId="3" type="noConversion"/>
  </si>
  <si>
    <t>0917-205578</t>
    <phoneticPr fontId="3" type="noConversion"/>
  </si>
  <si>
    <t>BP184</t>
    <phoneticPr fontId="3" type="noConversion"/>
  </si>
  <si>
    <t>張粟九</t>
    <phoneticPr fontId="3" type="noConversion"/>
  </si>
  <si>
    <t>0988-550617</t>
    <phoneticPr fontId="3" type="noConversion"/>
  </si>
  <si>
    <t>BP185</t>
    <phoneticPr fontId="3" type="noConversion"/>
  </si>
  <si>
    <t>邱楟茵</t>
    <phoneticPr fontId="3" type="noConversion"/>
  </si>
  <si>
    <r>
      <t>0976-266612</t>
    </r>
    <r>
      <rPr>
        <sz val="12"/>
        <color theme="1"/>
        <rFont val="細明體"/>
        <family val="3"/>
        <charset val="136"/>
      </rPr>
      <t>；</t>
    </r>
    <r>
      <rPr>
        <sz val="12"/>
        <color theme="1"/>
        <rFont val="Times New Roman"/>
        <family val="1"/>
      </rPr>
      <t>0937-911787</t>
    </r>
    <phoneticPr fontId="3" type="noConversion"/>
  </si>
  <si>
    <t>BP186</t>
  </si>
  <si>
    <t>吳羽希</t>
    <phoneticPr fontId="3" type="noConversion"/>
  </si>
  <si>
    <t>WYH</t>
    <phoneticPr fontId="3" type="noConversion"/>
  </si>
  <si>
    <t>0910-971319</t>
    <phoneticPr fontId="3" type="noConversion"/>
  </si>
  <si>
    <t>BP187</t>
  </si>
  <si>
    <t>李沄芮</t>
    <phoneticPr fontId="3" type="noConversion"/>
  </si>
  <si>
    <t>LYJ</t>
    <phoneticPr fontId="3" type="noConversion"/>
  </si>
  <si>
    <t>0916-818629</t>
    <phoneticPr fontId="3" type="noConversion"/>
  </si>
  <si>
    <t>BP188</t>
    <phoneticPr fontId="3" type="noConversion"/>
  </si>
  <si>
    <t>陳以芯</t>
    <phoneticPr fontId="3" type="noConversion"/>
  </si>
  <si>
    <t>0906-878276</t>
    <phoneticPr fontId="3" type="noConversion"/>
  </si>
  <si>
    <t>BP189</t>
    <phoneticPr fontId="3" type="noConversion"/>
  </si>
  <si>
    <t>周禾羽</t>
    <phoneticPr fontId="3" type="noConversion"/>
  </si>
  <si>
    <t>0921-977318</t>
    <phoneticPr fontId="3" type="noConversion"/>
  </si>
  <si>
    <t>BP190</t>
  </si>
  <si>
    <t>彭楀涵</t>
    <phoneticPr fontId="3" type="noConversion"/>
  </si>
  <si>
    <t>PYH</t>
    <phoneticPr fontId="3" type="noConversion"/>
  </si>
  <si>
    <t>0910-134001</t>
    <phoneticPr fontId="3" type="noConversion"/>
  </si>
  <si>
    <t>BP191</t>
  </si>
  <si>
    <t>葉瑀渟</t>
    <phoneticPr fontId="3" type="noConversion"/>
  </si>
  <si>
    <t>YYT</t>
    <phoneticPr fontId="3" type="noConversion"/>
  </si>
  <si>
    <t>0917-293818</t>
    <phoneticPr fontId="3" type="noConversion"/>
  </si>
  <si>
    <t>BP192</t>
  </si>
  <si>
    <t>陳莯莚</t>
    <phoneticPr fontId="3" type="noConversion"/>
  </si>
  <si>
    <t>CMY</t>
    <phoneticPr fontId="3" type="noConversion"/>
  </si>
  <si>
    <t>0907-709507</t>
    <phoneticPr fontId="3" type="noConversion"/>
  </si>
  <si>
    <t>BP193</t>
  </si>
  <si>
    <t>劉芮羽</t>
    <phoneticPr fontId="3" type="noConversion"/>
  </si>
  <si>
    <t>LJY</t>
    <phoneticPr fontId="3" type="noConversion"/>
  </si>
  <si>
    <t>0936-729033</t>
    <phoneticPr fontId="3" type="noConversion"/>
  </si>
  <si>
    <t>BP194</t>
  </si>
  <si>
    <t>曾歆喬</t>
    <phoneticPr fontId="3" type="noConversion"/>
  </si>
  <si>
    <t>THC</t>
    <phoneticPr fontId="3" type="noConversion"/>
  </si>
  <si>
    <t>0921-134276</t>
    <phoneticPr fontId="3" type="noConversion"/>
  </si>
  <si>
    <t>BP195</t>
    <phoneticPr fontId="3" type="noConversion"/>
  </si>
  <si>
    <t>陳律萱</t>
    <phoneticPr fontId="3" type="noConversion"/>
  </si>
  <si>
    <t>CLH</t>
    <phoneticPr fontId="3" type="noConversion"/>
  </si>
  <si>
    <t>0963-246683</t>
    <phoneticPr fontId="3" type="noConversion"/>
  </si>
  <si>
    <t>BP196</t>
  </si>
  <si>
    <t>李梓珈</t>
    <phoneticPr fontId="3" type="noConversion"/>
  </si>
  <si>
    <t>LTC</t>
    <phoneticPr fontId="3" type="noConversion"/>
  </si>
  <si>
    <t>0958-052477</t>
    <phoneticPr fontId="3" type="noConversion"/>
  </si>
  <si>
    <t>BP197</t>
  </si>
  <si>
    <t>謝玥涵</t>
    <phoneticPr fontId="3" type="noConversion"/>
  </si>
  <si>
    <t>0933-755815</t>
    <phoneticPr fontId="3" type="noConversion"/>
  </si>
  <si>
    <t>BP198</t>
  </si>
  <si>
    <t>張廷愷(秉豐)</t>
    <phoneticPr fontId="3" type="noConversion"/>
  </si>
  <si>
    <t>CPF</t>
    <phoneticPr fontId="3" type="noConversion"/>
  </si>
  <si>
    <t>0952-999359</t>
    <phoneticPr fontId="3" type="noConversion"/>
  </si>
  <si>
    <t>BP199</t>
  </si>
  <si>
    <t>梁登睿</t>
    <phoneticPr fontId="3" type="noConversion"/>
  </si>
  <si>
    <t>LTJ</t>
    <phoneticPr fontId="3" type="noConversion"/>
  </si>
  <si>
    <t>0988-773117</t>
    <phoneticPr fontId="3" type="noConversion"/>
  </si>
  <si>
    <t>BP200</t>
  </si>
  <si>
    <t>張家汯</t>
    <phoneticPr fontId="3" type="noConversion"/>
  </si>
  <si>
    <t>0970-645716</t>
    <phoneticPr fontId="3" type="noConversion"/>
  </si>
  <si>
    <t>BP201</t>
    <phoneticPr fontId="3" type="noConversion"/>
  </si>
  <si>
    <t>潘羿妡</t>
    <phoneticPr fontId="3" type="noConversion"/>
  </si>
  <si>
    <t>25+6</t>
    <phoneticPr fontId="3" type="noConversion"/>
  </si>
  <si>
    <t>0931-155553</t>
    <phoneticPr fontId="3" type="noConversion"/>
  </si>
  <si>
    <t>BP202</t>
  </si>
  <si>
    <t>吳懙行</t>
    <phoneticPr fontId="3" type="noConversion"/>
  </si>
  <si>
    <t>0973-866100</t>
    <phoneticPr fontId="3" type="noConversion"/>
  </si>
  <si>
    <t>BP203</t>
    <phoneticPr fontId="3" type="noConversion"/>
  </si>
  <si>
    <t>宗逸</t>
    <phoneticPr fontId="3" type="noConversion"/>
  </si>
  <si>
    <t>TY</t>
    <phoneticPr fontId="3" type="noConversion"/>
  </si>
  <si>
    <t>0900-101536</t>
    <phoneticPr fontId="3" type="noConversion"/>
  </si>
  <si>
    <t>BP204</t>
  </si>
  <si>
    <t>張庭銨</t>
    <phoneticPr fontId="3" type="noConversion"/>
  </si>
  <si>
    <t>CTA</t>
    <phoneticPr fontId="3" type="noConversion"/>
  </si>
  <si>
    <t>0931-169893</t>
    <phoneticPr fontId="3" type="noConversion"/>
  </si>
  <si>
    <t>BP205</t>
    <phoneticPr fontId="3" type="noConversion"/>
  </si>
  <si>
    <t>姚禹亨</t>
    <phoneticPr fontId="3" type="noConversion"/>
  </si>
  <si>
    <t>YYH</t>
    <phoneticPr fontId="3" type="noConversion"/>
  </si>
  <si>
    <t>26+4</t>
    <phoneticPr fontId="3" type="noConversion"/>
  </si>
  <si>
    <t>0910-945376</t>
    <phoneticPr fontId="3" type="noConversion"/>
  </si>
  <si>
    <t>BP206</t>
    <phoneticPr fontId="3" type="noConversion"/>
  </si>
  <si>
    <t>鄒沐忻</t>
    <phoneticPr fontId="3" type="noConversion"/>
  </si>
  <si>
    <t>0963-309352</t>
    <phoneticPr fontId="3" type="noConversion"/>
  </si>
  <si>
    <t>6M</t>
    <phoneticPr fontId="3" type="noConversion"/>
  </si>
  <si>
    <t>秦御菲</t>
  </si>
  <si>
    <t>林承諺</t>
  </si>
  <si>
    <t>魏子恩</t>
  </si>
  <si>
    <r>
      <t>500</t>
    </r>
    <r>
      <rPr>
        <sz val="12"/>
        <color theme="1"/>
        <rFont val="細明體"/>
        <family val="3"/>
        <charset val="136"/>
      </rPr>
      <t>元</t>
    </r>
    <phoneticPr fontId="3" type="noConversion"/>
  </si>
  <si>
    <r>
      <rPr>
        <sz val="12"/>
        <color theme="1"/>
        <rFont val="細明體"/>
        <family val="3"/>
        <charset val="136"/>
      </rPr>
      <t>戴幕恩</t>
    </r>
    <phoneticPr fontId="3" type="noConversion"/>
  </si>
  <si>
    <t>張廷愷(秉豐)</t>
  </si>
  <si>
    <t>BP192</t>
    <phoneticPr fontId="3" type="noConversion"/>
  </si>
  <si>
    <t xml:space="preserve"> </t>
    <phoneticPr fontId="3" type="noConversion"/>
  </si>
  <si>
    <t>chart no.</t>
  </si>
  <si>
    <t>name</t>
  </si>
  <si>
    <t>問卷</t>
  </si>
  <si>
    <t>Ht (cm)</t>
  </si>
  <si>
    <t>Wt (kg)</t>
  </si>
  <si>
    <t>BMI</t>
  </si>
  <si>
    <r>
      <t>頭圍</t>
    </r>
    <r>
      <rPr>
        <sz val="12"/>
        <color rgb="FF000000"/>
        <rFont val="Times New Roman"/>
        <family val="1"/>
      </rPr>
      <t xml:space="preserve"> (cm)</t>
    </r>
  </si>
  <si>
    <t>GA week</t>
  </si>
  <si>
    <t>GA day</t>
  </si>
  <si>
    <t>APGAR at 1 min</t>
  </si>
  <si>
    <t>APGAR at 5 min</t>
  </si>
  <si>
    <t>B Wt (g)</t>
  </si>
  <si>
    <t>B Ht (cm)</t>
  </si>
  <si>
    <r>
      <t xml:space="preserve">B </t>
    </r>
    <r>
      <rPr>
        <sz val="12"/>
        <color rgb="FF000000"/>
        <rFont val="新細明體"/>
        <family val="1"/>
        <charset val="136"/>
      </rPr>
      <t>頭圍</t>
    </r>
    <r>
      <rPr>
        <sz val="12"/>
        <color rgb="FF000000"/>
        <rFont val="Times New Roman"/>
        <family val="1"/>
      </rPr>
      <t xml:space="preserve"> (cm)</t>
    </r>
  </si>
  <si>
    <r>
      <t xml:space="preserve">B </t>
    </r>
    <r>
      <rPr>
        <sz val="12"/>
        <color rgb="FF000000"/>
        <rFont val="新細明體"/>
        <family val="1"/>
        <charset val="136"/>
      </rPr>
      <t>胸圍</t>
    </r>
    <r>
      <rPr>
        <sz val="12"/>
        <color rgb="FF000000"/>
        <rFont val="Times New Roman"/>
        <family val="1"/>
      </rPr>
      <t xml:space="preserve"> (cm)</t>
    </r>
  </si>
  <si>
    <t>Mon Birth date</t>
  </si>
  <si>
    <t>Mon age</t>
  </si>
  <si>
    <t>Term</t>
  </si>
  <si>
    <t>Preterm</t>
  </si>
  <si>
    <t>Abortion</t>
  </si>
  <si>
    <t>Live</t>
  </si>
  <si>
    <t>Preeclampsia</t>
  </si>
  <si>
    <t>HT</t>
  </si>
  <si>
    <t>GDM</t>
  </si>
  <si>
    <t>PPROM</t>
  </si>
  <si>
    <t>Chorioamnioitis</t>
  </si>
  <si>
    <t>不清楚</t>
  </si>
  <si>
    <t>Steroid</t>
  </si>
  <si>
    <t>Antibiotics</t>
  </si>
  <si>
    <t>Mom smoke</t>
  </si>
  <si>
    <t>Mom smoke quantity per day</t>
  </si>
  <si>
    <t>Dad smoke</t>
  </si>
  <si>
    <t>Dad smoke quantity per day</t>
  </si>
  <si>
    <t>Others smoke1</t>
  </si>
  <si>
    <t>Others smoke quantity per day</t>
  </si>
  <si>
    <t>Others smoke2</t>
  </si>
  <si>
    <t>Others approach frequency (per month)</t>
  </si>
  <si>
    <t>Primary caregivers</t>
  </si>
  <si>
    <t>half year diseases</t>
  </si>
  <si>
    <t>half year wheezes</t>
  </si>
  <si>
    <t>half year Bronchiolitis</t>
  </si>
  <si>
    <t>half year RSV infection</t>
  </si>
  <si>
    <t>half year Bronchopneumonia</t>
  </si>
  <si>
    <t>halfyear other disease</t>
  </si>
  <si>
    <t>Disease</t>
  </si>
  <si>
    <t>RDS</t>
  </si>
  <si>
    <t>PDA</t>
  </si>
  <si>
    <t>ASD</t>
  </si>
  <si>
    <t>VSD</t>
  </si>
  <si>
    <t>IVH</t>
  </si>
  <si>
    <t>Neonatal jaundice</t>
  </si>
  <si>
    <t>NEC</t>
  </si>
  <si>
    <t>AOP</t>
  </si>
  <si>
    <t>ROP</t>
  </si>
  <si>
    <t>Sepsis</t>
  </si>
  <si>
    <t>other disease</t>
  </si>
  <si>
    <t>once disease</t>
  </si>
  <si>
    <t>once RDS</t>
  </si>
  <si>
    <t>once PDA</t>
  </si>
  <si>
    <t>once ASD</t>
  </si>
  <si>
    <t>once VSD</t>
  </si>
  <si>
    <t>once IVH</t>
  </si>
  <si>
    <t>once Neonatal jaundice</t>
  </si>
  <si>
    <t>once NEC</t>
  </si>
  <si>
    <t>once AOP</t>
  </si>
  <si>
    <t>once ROP</t>
  </si>
  <si>
    <t>once Sepsis</t>
  </si>
  <si>
    <t>once other disease</t>
  </si>
  <si>
    <r>
      <t>FiO</t>
    </r>
    <r>
      <rPr>
        <vertAlign val="subscript"/>
        <sz val="12"/>
        <color rgb="FF000000"/>
        <rFont val="Times New Roman"/>
        <family val="1"/>
      </rPr>
      <t>2</t>
    </r>
    <r>
      <rPr>
        <sz val="12"/>
        <color rgb="FF000000"/>
        <rFont val="Times New Roman"/>
        <family val="1"/>
      </rPr>
      <t xml:space="preserve"> (/L)</t>
    </r>
  </si>
  <si>
    <t>Respiratory support</t>
  </si>
  <si>
    <t>Fortified BF brand</t>
  </si>
  <si>
    <t>Formula</t>
  </si>
  <si>
    <t>Formula duration</t>
  </si>
  <si>
    <t>Formula brand</t>
  </si>
  <si>
    <t>Fe</t>
  </si>
  <si>
    <t>Fe duration</t>
  </si>
  <si>
    <t>D3</t>
  </si>
  <si>
    <t>D3 duration</t>
  </si>
  <si>
    <t>D3 brand</t>
  </si>
  <si>
    <t>Probiotics</t>
  </si>
  <si>
    <t xml:space="preserve">Probiotics duration </t>
  </si>
  <si>
    <t>Probiotics brand</t>
  </si>
  <si>
    <t>other 1</t>
  </si>
  <si>
    <t>other duration 1</t>
  </si>
  <si>
    <t>other brand 1</t>
  </si>
  <si>
    <t>other 2</t>
  </si>
  <si>
    <t>other duration 2</t>
  </si>
  <si>
    <t>other brand 2</t>
  </si>
  <si>
    <t>drug</t>
  </si>
  <si>
    <t>drug duration</t>
  </si>
  <si>
    <t>drug name</t>
  </si>
  <si>
    <t>Solid food</t>
  </si>
  <si>
    <t>Solid food start</t>
  </si>
  <si>
    <t>Feeding method</t>
  </si>
  <si>
    <t>OTHER</t>
  </si>
  <si>
    <t>謝雨言</t>
  </si>
  <si>
    <t>0-NOW</t>
  </si>
  <si>
    <t>-</t>
  </si>
  <si>
    <r>
      <t>0-4M(</t>
    </r>
    <r>
      <rPr>
        <sz val="12"/>
        <color rgb="FF000000"/>
        <rFont val="細明體"/>
        <family val="1"/>
        <charset val="136"/>
      </rPr>
      <t>不怎麼喝</t>
    </r>
    <r>
      <rPr>
        <sz val="12"/>
        <color rgb="FF000000"/>
        <rFont val="Times New Roman"/>
        <family val="1"/>
      </rPr>
      <t>)</t>
    </r>
  </si>
  <si>
    <r>
      <t>卡洛塔尼牛奶</t>
    </r>
    <r>
      <rPr>
        <sz val="12"/>
        <color rgb="FF000000"/>
        <rFont val="Times New Roman"/>
        <family val="1"/>
      </rPr>
      <t xml:space="preserve"> 1</t>
    </r>
    <r>
      <rPr>
        <sz val="12"/>
        <color rgb="FF000000"/>
        <rFont val="細明體"/>
        <family val="1"/>
        <charset val="136"/>
      </rPr>
      <t>號</t>
    </r>
  </si>
  <si>
    <t>4M-NOW</t>
  </si>
  <si>
    <t>11/8-16;11/21-24</t>
  </si>
  <si>
    <r>
      <t>細支氣管炎</t>
    </r>
    <r>
      <rPr>
        <sz val="12"/>
        <color rgb="FF000000"/>
        <rFont val="Times New Roman"/>
        <family val="1"/>
      </rPr>
      <t>(</t>
    </r>
    <r>
      <rPr>
        <sz val="12"/>
        <color rgb="FF000000"/>
        <rFont val="細明體"/>
        <family val="1"/>
        <charset val="136"/>
      </rPr>
      <t>含抗生素</t>
    </r>
    <r>
      <rPr>
        <sz val="12"/>
        <color rgb="FF000000"/>
        <rFont val="Times New Roman"/>
        <family val="1"/>
      </rPr>
      <t>)</t>
    </r>
    <r>
      <rPr>
        <sz val="12"/>
        <color rgb="FF000000"/>
        <rFont val="細明體"/>
        <family val="1"/>
        <charset val="136"/>
      </rPr>
      <t>、西普利敏</t>
    </r>
    <r>
      <rPr>
        <sz val="12"/>
        <color rgb="FF000000"/>
        <rFont val="Times New Roman"/>
        <family val="1"/>
      </rPr>
      <t>;</t>
    </r>
    <r>
      <rPr>
        <sz val="12"/>
        <color rgb="FF000000"/>
        <rFont val="細明體"/>
        <family val="1"/>
        <charset val="136"/>
      </rPr>
      <t>鼻涕藥</t>
    </r>
  </si>
  <si>
    <t>陳彥安(陳靖仁)</t>
  </si>
  <si>
    <t>1+2</t>
  </si>
  <si>
    <t>0-3M</t>
  </si>
  <si>
    <t>4M-6M</t>
  </si>
  <si>
    <r>
      <t>能恩水解</t>
    </r>
    <r>
      <rPr>
        <sz val="12"/>
        <color rgb="FF000000"/>
        <rFont val="Times New Roman"/>
        <family val="1"/>
      </rPr>
      <t>(</t>
    </r>
    <r>
      <rPr>
        <sz val="12"/>
        <color rgb="FF000000"/>
        <rFont val="細明體"/>
        <family val="1"/>
        <charset val="136"/>
      </rPr>
      <t>早產</t>
    </r>
    <r>
      <rPr>
        <sz val="12"/>
        <color rgb="FF000000"/>
        <rFont val="Times New Roman"/>
        <family val="1"/>
      </rPr>
      <t>)</t>
    </r>
  </si>
  <si>
    <r>
      <t>D3+</t>
    </r>
    <r>
      <rPr>
        <sz val="12"/>
        <color rgb="FF000000"/>
        <rFont val="細明體"/>
        <family val="1"/>
        <charset val="136"/>
      </rPr>
      <t>珊瑚鈣</t>
    </r>
    <r>
      <rPr>
        <sz val="12"/>
        <color rgb="FF000000"/>
        <rFont val="Times New Roman"/>
        <family val="1"/>
      </rPr>
      <t>+AA+DHA+</t>
    </r>
    <r>
      <rPr>
        <sz val="12"/>
        <color rgb="FF000000"/>
        <rFont val="細明體"/>
        <family val="1"/>
        <charset val="136"/>
      </rPr>
      <t>葉黃素</t>
    </r>
    <r>
      <rPr>
        <sz val="12"/>
        <color rgb="FF000000"/>
        <rFont val="Times New Roman"/>
        <family val="1"/>
      </rPr>
      <t>+9</t>
    </r>
    <r>
      <rPr>
        <sz val="12"/>
        <color rgb="FF000000"/>
        <rFont val="細明體"/>
        <family val="1"/>
        <charset val="136"/>
      </rPr>
      <t>種益生菌</t>
    </r>
    <r>
      <rPr>
        <sz val="12"/>
        <color rgb="FF000000"/>
        <rFont val="Times New Roman"/>
        <family val="1"/>
      </rPr>
      <t>…etc</t>
    </r>
  </si>
  <si>
    <r>
      <t>A+</t>
    </r>
    <r>
      <rPr>
        <sz val="12"/>
        <color rgb="FF000000"/>
        <rFont val="細明體"/>
        <family val="1"/>
        <charset val="136"/>
      </rPr>
      <t>資優</t>
    </r>
    <r>
      <rPr>
        <sz val="12"/>
        <color rgb="FF000000"/>
        <rFont val="Times New Roman"/>
        <family val="1"/>
      </rPr>
      <t xml:space="preserve"> YOYO</t>
    </r>
    <r>
      <rPr>
        <sz val="12"/>
        <color rgb="FF000000"/>
        <rFont val="細明體"/>
        <family val="1"/>
        <charset val="136"/>
      </rPr>
      <t>綜合營養素粉</t>
    </r>
  </si>
  <si>
    <t>2M-NOW</t>
  </si>
  <si>
    <t>利尿劑</t>
  </si>
  <si>
    <t>5M</t>
  </si>
  <si>
    <t>陳筠諦</t>
  </si>
  <si>
    <r>
      <t>諾優貝金版</t>
    </r>
    <r>
      <rPr>
        <sz val="12"/>
        <color rgb="FF000000"/>
        <rFont val="Times New Roman"/>
        <family val="1"/>
      </rPr>
      <t>1</t>
    </r>
    <r>
      <rPr>
        <sz val="12"/>
        <color rgb="FF000000"/>
        <rFont val="細明體"/>
        <family val="1"/>
        <charset val="136"/>
      </rPr>
      <t>號</t>
    </r>
  </si>
  <si>
    <t>4M</t>
  </si>
  <si>
    <t>胡恩綺</t>
  </si>
  <si>
    <t>林囿順</t>
  </si>
  <si>
    <t>0-1M</t>
  </si>
  <si>
    <r>
      <t>S-26</t>
    </r>
    <r>
      <rPr>
        <sz val="12"/>
        <color rgb="FF000000"/>
        <rFont val="細明體"/>
        <family val="1"/>
        <charset val="136"/>
      </rPr>
      <t>金愛兒樂</t>
    </r>
    <r>
      <rPr>
        <sz val="12"/>
        <color rgb="FF000000"/>
        <rFont val="Times New Roman"/>
        <family val="1"/>
      </rPr>
      <t>1</t>
    </r>
  </si>
  <si>
    <t>4M7D</t>
  </si>
  <si>
    <t>尤妍安</t>
  </si>
  <si>
    <t>尤善立</t>
  </si>
  <si>
    <t>戴妤潔</t>
  </si>
  <si>
    <t>王詠安</t>
  </si>
  <si>
    <t>林蕭允嫣</t>
  </si>
  <si>
    <t>林蕭允嬡</t>
  </si>
  <si>
    <t>周子芮</t>
  </si>
  <si>
    <t>?</t>
  </si>
  <si>
    <t>0-0.5M</t>
  </si>
  <si>
    <t>明治</t>
  </si>
  <si>
    <t>1-5M</t>
  </si>
  <si>
    <t>寶乖亞</t>
  </si>
  <si>
    <t>黃陳允睿</t>
  </si>
  <si>
    <t>林郁恩</t>
  </si>
  <si>
    <r>
      <t>1(</t>
    </r>
    <r>
      <rPr>
        <sz val="12"/>
        <color rgb="FF000000"/>
        <rFont val="細明體"/>
        <family val="1"/>
        <charset val="136"/>
      </rPr>
      <t>短暫</t>
    </r>
    <r>
      <rPr>
        <sz val="12"/>
        <color rgb="FF000000"/>
        <rFont val="Times New Roman"/>
        <family val="1"/>
      </rPr>
      <t>)</t>
    </r>
  </si>
  <si>
    <t>0-5M</t>
  </si>
  <si>
    <t>亞培新美力</t>
  </si>
  <si>
    <t>2.5M-NOW</t>
  </si>
  <si>
    <t>雀巢早產兒配方</t>
  </si>
  <si>
    <t>0-MOW</t>
  </si>
  <si>
    <t>日比野</t>
  </si>
  <si>
    <r>
      <t>綜合維他命</t>
    </r>
    <r>
      <rPr>
        <sz val="12"/>
        <color rgb="FF000000"/>
        <rFont val="Times New Roman"/>
        <family val="1"/>
      </rPr>
      <t>(</t>
    </r>
    <r>
      <rPr>
        <sz val="12"/>
        <color rgb="FF000000"/>
        <rFont val="細明體"/>
        <family val="1"/>
        <charset val="136"/>
      </rPr>
      <t>含</t>
    </r>
    <r>
      <rPr>
        <sz val="12"/>
        <color rgb="FF000000"/>
        <rFont val="Times New Roman"/>
        <family val="1"/>
      </rPr>
      <t>D)</t>
    </r>
  </si>
  <si>
    <t>寶益兒</t>
  </si>
  <si>
    <r>
      <t>矯</t>
    </r>
    <r>
      <rPr>
        <sz val="12"/>
        <color rgb="FF000000"/>
        <rFont val="Times New Roman"/>
        <family val="1"/>
      </rPr>
      <t>5M</t>
    </r>
  </si>
  <si>
    <t>張凱玲</t>
  </si>
  <si>
    <t>謝子星</t>
  </si>
  <si>
    <t>周敬紜</t>
  </si>
  <si>
    <t>1+2+3</t>
  </si>
  <si>
    <r>
      <t>1(</t>
    </r>
    <r>
      <rPr>
        <sz val="12"/>
        <color rgb="FF000000"/>
        <rFont val="細明體"/>
        <family val="1"/>
        <charset val="136"/>
      </rPr>
      <t>偏高</t>
    </r>
    <r>
      <rPr>
        <sz val="12"/>
        <color rgb="FF000000"/>
        <rFont val="Times New Roman"/>
        <family val="1"/>
      </rPr>
      <t>)</t>
    </r>
  </si>
  <si>
    <t>0-6M</t>
  </si>
  <si>
    <r>
      <t>亞培心美麗</t>
    </r>
    <r>
      <rPr>
        <sz val="12"/>
        <color rgb="FF000000"/>
        <rFont val="Times New Roman"/>
        <family val="1"/>
      </rPr>
      <t>1</t>
    </r>
  </si>
  <si>
    <t>寶兒樂</t>
  </si>
  <si>
    <t>0-4M</t>
  </si>
  <si>
    <t>醫院開的</t>
  </si>
  <si>
    <r>
      <t>矯</t>
    </r>
    <r>
      <rPr>
        <sz val="12"/>
        <color rgb="FF000000"/>
        <rFont val="Times New Roman"/>
        <family val="1"/>
      </rPr>
      <t>4M</t>
    </r>
  </si>
  <si>
    <t>曾妍曦</t>
  </si>
  <si>
    <r>
      <t>S-26</t>
    </r>
    <r>
      <rPr>
        <sz val="12"/>
        <color rgb="FF000000"/>
        <rFont val="細明體"/>
        <family val="1"/>
        <charset val="136"/>
      </rPr>
      <t>早產兒配方</t>
    </r>
  </si>
  <si>
    <t>陳芃妘</t>
  </si>
  <si>
    <r>
      <t>經典</t>
    </r>
    <r>
      <rPr>
        <sz val="12"/>
        <color rgb="FF000000"/>
        <rFont val="Times New Roman"/>
        <family val="1"/>
      </rPr>
      <t>1(</t>
    </r>
    <r>
      <rPr>
        <sz val="12"/>
        <color rgb="FF000000"/>
        <rFont val="細明體"/>
        <family val="1"/>
        <charset val="136"/>
      </rPr>
      <t>亞培心美麗喝到</t>
    </r>
    <r>
      <rPr>
        <sz val="12"/>
        <color rgb="FF000000"/>
        <rFont val="Times New Roman"/>
        <family val="1"/>
      </rPr>
      <t>11/1)</t>
    </r>
  </si>
  <si>
    <r>
      <t xml:space="preserve"> </t>
    </r>
    <r>
      <rPr>
        <sz val="12"/>
        <color rgb="FF000000"/>
        <rFont val="細明體"/>
        <family val="1"/>
        <charset val="136"/>
      </rPr>
      <t>天然綜合營養素</t>
    </r>
  </si>
  <si>
    <t>6M-NOW</t>
  </si>
  <si>
    <t>健兒壯</t>
  </si>
  <si>
    <t>1/1-1/12</t>
  </si>
  <si>
    <r>
      <t>感冒藥粉藥水</t>
    </r>
    <r>
      <rPr>
        <sz val="12"/>
        <color rgb="FF000000"/>
        <rFont val="Times New Roman"/>
        <family val="1"/>
      </rPr>
      <t xml:space="preserve"> (</t>
    </r>
    <r>
      <rPr>
        <sz val="12"/>
        <color rgb="FF000000"/>
        <rFont val="細明體"/>
        <family val="1"/>
        <charset val="136"/>
      </rPr>
      <t>感冒發燒；應無抗生素</t>
    </r>
    <r>
      <rPr>
        <sz val="12"/>
        <color rgb="FF000000"/>
        <rFont val="Times New Roman"/>
        <family val="1"/>
      </rPr>
      <t>)</t>
    </r>
  </si>
  <si>
    <t>0-1Y</t>
  </si>
  <si>
    <t>1Y</t>
  </si>
  <si>
    <t>黃媛謹</t>
  </si>
  <si>
    <r>
      <t>雀巢水解</t>
    </r>
    <r>
      <rPr>
        <sz val="12"/>
        <color rgb="FF000000"/>
        <rFont val="Times New Roman"/>
        <family val="1"/>
      </rPr>
      <t>1</t>
    </r>
    <r>
      <rPr>
        <sz val="12"/>
        <color rgb="FF000000"/>
        <rFont val="細明體"/>
        <family val="1"/>
        <charset val="136"/>
      </rPr>
      <t>早產</t>
    </r>
  </si>
  <si>
    <r>
      <t>2021</t>
    </r>
    <r>
      <rPr>
        <sz val="12"/>
        <color rgb="FF000000"/>
        <rFont val="細明體"/>
        <family val="1"/>
        <charset val="136"/>
      </rPr>
      <t>三月初</t>
    </r>
  </si>
  <si>
    <t>張晉慈</t>
  </si>
  <si>
    <t>1+3</t>
  </si>
  <si>
    <t>3M-NOW</t>
  </si>
  <si>
    <r>
      <t>S-26/</t>
    </r>
    <r>
      <rPr>
        <sz val="12"/>
        <color rgb="FF000000"/>
        <rFont val="細明體"/>
        <family val="1"/>
        <charset val="136"/>
      </rPr>
      <t>諾貝兒</t>
    </r>
  </si>
  <si>
    <t>3M-4M</t>
  </si>
  <si>
    <t>寶乖亞(益生菌+D)</t>
  </si>
  <si>
    <t>2M</t>
  </si>
  <si>
    <t>邱孟婷</t>
  </si>
  <si>
    <r>
      <t>尿道感染</t>
    </r>
    <r>
      <rPr>
        <sz val="12"/>
        <color rgb="FF000000"/>
        <rFont val="Times New Roman"/>
        <family val="1"/>
      </rPr>
      <t>(2/10-13</t>
    </r>
    <r>
      <rPr>
        <sz val="12"/>
        <color rgb="FF000000"/>
        <rFont val="細明體"/>
        <family val="1"/>
        <charset val="136"/>
      </rPr>
      <t>住院</t>
    </r>
    <r>
      <rPr>
        <sz val="12"/>
        <color rgb="FF000000"/>
        <rFont val="Times New Roman"/>
        <family val="1"/>
      </rPr>
      <t>@</t>
    </r>
    <r>
      <rPr>
        <sz val="12"/>
        <color rgb="FF000000"/>
        <rFont val="細明體"/>
        <family val="1"/>
        <charset val="136"/>
      </rPr>
      <t>馬偕</t>
    </r>
    <r>
      <rPr>
        <sz val="12"/>
        <color rgb="FF000000"/>
        <rFont val="Times New Roman"/>
        <family val="1"/>
      </rPr>
      <t>)</t>
    </r>
  </si>
  <si>
    <r>
      <t>諾優貝</t>
    </r>
    <r>
      <rPr>
        <sz val="12"/>
        <color rgb="FF000000"/>
        <rFont val="Times New Roman"/>
        <family val="1"/>
      </rPr>
      <t>1</t>
    </r>
    <r>
      <rPr>
        <sz val="12"/>
        <color rgb="FF000000"/>
        <rFont val="細明體"/>
        <family val="1"/>
        <charset val="136"/>
      </rPr>
      <t>號</t>
    </r>
  </si>
  <si>
    <r>
      <t>2/10-22</t>
    </r>
    <r>
      <rPr>
        <sz val="12"/>
        <color rgb="FF000000"/>
        <rFont val="細明體"/>
        <family val="1"/>
        <charset val="136"/>
      </rPr>
      <t>；</t>
    </r>
    <r>
      <rPr>
        <sz val="12"/>
        <color rgb="FF000000"/>
        <rFont val="Times New Roman"/>
        <family val="1"/>
      </rPr>
      <t>2/22-3/5</t>
    </r>
  </si>
  <si>
    <r>
      <t>1.</t>
    </r>
    <r>
      <rPr>
        <sz val="12"/>
        <color rgb="FF000000"/>
        <rFont val="細明體"/>
        <family val="1"/>
        <charset val="136"/>
      </rPr>
      <t>尿道感染，</t>
    </r>
    <r>
      <rPr>
        <sz val="12"/>
        <color rgb="FF000000"/>
        <rFont val="Times New Roman"/>
        <family val="1"/>
      </rPr>
      <t xml:space="preserve"> 2/10-13</t>
    </r>
    <r>
      <rPr>
        <sz val="12"/>
        <color rgb="FF000000"/>
        <rFont val="細明體"/>
        <family val="1"/>
        <charset val="136"/>
      </rPr>
      <t>注射抗生素，</t>
    </r>
    <r>
      <rPr>
        <sz val="12"/>
        <color rgb="FF000000"/>
        <rFont val="Times New Roman"/>
        <family val="1"/>
      </rPr>
      <t>2/14-22</t>
    </r>
    <r>
      <rPr>
        <sz val="12"/>
        <color rgb="FF000000"/>
        <rFont val="細明體"/>
        <family val="1"/>
        <charset val="136"/>
      </rPr>
      <t>吃抗生素；</t>
    </r>
    <r>
      <rPr>
        <sz val="12"/>
        <color rgb="FF000000"/>
        <rFont val="Times New Roman"/>
        <family val="1"/>
      </rPr>
      <t>2.</t>
    </r>
    <r>
      <rPr>
        <sz val="12"/>
        <color rgb="FF000000"/>
        <rFont val="細明體"/>
        <family val="1"/>
        <charset val="136"/>
      </rPr>
      <t>感冒藥，沒有抗生素</t>
    </r>
  </si>
  <si>
    <t>薛喻罄(順仁)</t>
  </si>
  <si>
    <t>感冒</t>
  </si>
  <si>
    <t>0.5M-NOW</t>
  </si>
  <si>
    <t>心美力</t>
  </si>
  <si>
    <t>康爾喜</t>
  </si>
  <si>
    <r>
      <t>近期</t>
    </r>
    <r>
      <rPr>
        <sz val="12"/>
        <color rgb="FF000000"/>
        <rFont val="Times New Roman"/>
        <family val="1"/>
      </rPr>
      <t>(</t>
    </r>
    <r>
      <rPr>
        <sz val="12"/>
        <color rgb="FF000000"/>
        <rFont val="細明體"/>
        <family val="1"/>
        <charset val="136"/>
      </rPr>
      <t>七天內</t>
    </r>
    <r>
      <rPr>
        <sz val="12"/>
        <color rgb="FF000000"/>
        <rFont val="Times New Roman"/>
        <family val="1"/>
      </rPr>
      <t>)</t>
    </r>
  </si>
  <si>
    <t>廖詩語</t>
  </si>
  <si>
    <r>
      <t>佑爾康金貝親</t>
    </r>
    <r>
      <rPr>
        <sz val="12"/>
        <color rgb="FF000000"/>
        <rFont val="Times New Roman"/>
        <family val="1"/>
      </rPr>
      <t xml:space="preserve"> (</t>
    </r>
    <r>
      <rPr>
        <sz val="12"/>
        <color rgb="FF000000"/>
        <rFont val="細明體"/>
        <family val="1"/>
        <charset val="136"/>
      </rPr>
      <t>住院期間喝優生</t>
    </r>
    <r>
      <rPr>
        <sz val="12"/>
        <color rgb="FF000000"/>
        <rFont val="Times New Roman"/>
        <family val="1"/>
      </rPr>
      <t>)</t>
    </r>
  </si>
  <si>
    <t>今年二月開始</t>
  </si>
  <si>
    <t>表飛鳴</t>
  </si>
  <si>
    <t>林芯語</t>
  </si>
  <si>
    <r>
      <t>亞培</t>
    </r>
    <r>
      <rPr>
        <sz val="12"/>
        <color rgb="FF000000"/>
        <rFont val="Times New Roman"/>
        <family val="1"/>
      </rPr>
      <t>(0-1M)</t>
    </r>
  </si>
  <si>
    <r>
      <t>住院</t>
    </r>
    <r>
      <rPr>
        <sz val="12"/>
        <color rgb="FF000000"/>
        <rFont val="Times New Roman"/>
        <family val="1"/>
      </rPr>
      <t>-NOW</t>
    </r>
  </si>
  <si>
    <t>林芯妍</t>
  </si>
  <si>
    <t>張語宸</t>
  </si>
  <si>
    <r>
      <t>雀巢寶兒</t>
    </r>
    <r>
      <rPr>
        <sz val="12"/>
        <color rgb="FF000000"/>
        <rFont val="Times New Roman"/>
        <family val="1"/>
      </rPr>
      <t>1</t>
    </r>
  </si>
  <si>
    <t>2/2-2/18</t>
  </si>
  <si>
    <r>
      <t>感冒藥</t>
    </r>
    <r>
      <rPr>
        <sz val="12"/>
        <color rgb="FF000000"/>
        <rFont val="Times New Roman"/>
        <family val="1"/>
      </rPr>
      <t>(</t>
    </r>
    <r>
      <rPr>
        <sz val="12"/>
        <color rgb="FF000000"/>
        <rFont val="細明體"/>
        <family val="1"/>
        <charset val="136"/>
      </rPr>
      <t>無抗生素</t>
    </r>
    <r>
      <rPr>
        <sz val="12"/>
        <color rgb="FF000000"/>
        <rFont val="Times New Roman"/>
        <family val="1"/>
      </rPr>
      <t>)</t>
    </r>
  </si>
  <si>
    <t>廖品安</t>
  </si>
  <si>
    <r>
      <t>明治樂樂</t>
    </r>
    <r>
      <rPr>
        <sz val="12"/>
        <color rgb="FF000000"/>
        <rFont val="Times New Roman"/>
        <family val="1"/>
      </rPr>
      <t>Q</t>
    </r>
    <r>
      <rPr>
        <sz val="12"/>
        <color rgb="FF000000"/>
        <rFont val="細明體"/>
        <family val="1"/>
        <charset val="136"/>
      </rPr>
      <t>貝</t>
    </r>
  </si>
  <si>
    <t>陳睿允</t>
  </si>
  <si>
    <t>7M-NOW</t>
  </si>
  <si>
    <t>雀巢能恩全護</t>
  </si>
  <si>
    <t>0-7M</t>
  </si>
  <si>
    <t>李宗祐</t>
  </si>
  <si>
    <t>亞培</t>
  </si>
  <si>
    <t>202103-04</t>
  </si>
  <si>
    <t>常春藤</t>
  </si>
  <si>
    <t>綜合維他命</t>
  </si>
  <si>
    <t>白心澄</t>
  </si>
  <si>
    <t>雀巢能恩水解</t>
  </si>
  <si>
    <t>4.5M</t>
  </si>
  <si>
    <t>0-2W</t>
  </si>
  <si>
    <t>吳卓恩</t>
  </si>
  <si>
    <t>張瑞龍</t>
  </si>
  <si>
    <t>#####</t>
  </si>
  <si>
    <t>黃子恩</t>
  </si>
  <si>
    <t>0-8M</t>
  </si>
  <si>
    <t>蔡宜樺</t>
  </si>
  <si>
    <t>0-NOE</t>
  </si>
  <si>
    <r>
      <t>啟賦</t>
    </r>
    <r>
      <rPr>
        <sz val="12"/>
        <color rgb="FF000000"/>
        <rFont val="Times New Roman"/>
        <family val="1"/>
      </rPr>
      <t>(</t>
    </r>
    <r>
      <rPr>
        <sz val="12"/>
        <color rgb="FF000000"/>
        <rFont val="細明體"/>
        <family val="1"/>
        <charset val="136"/>
      </rPr>
      <t>以前喝過能恩水解、心美力</t>
    </r>
    <r>
      <rPr>
        <sz val="12"/>
        <color rgb="FF000000"/>
        <rFont val="Times New Roman"/>
        <family val="1"/>
      </rPr>
      <t>)</t>
    </r>
  </si>
  <si>
    <t>楊沐芯</t>
  </si>
  <si>
    <r>
      <t>0-</t>
    </r>
    <r>
      <rPr>
        <sz val="12"/>
        <color rgb="FF000000"/>
        <rFont val="細明體"/>
        <family val="1"/>
        <charset val="136"/>
      </rPr>
      <t>出生</t>
    </r>
    <r>
      <rPr>
        <sz val="12"/>
        <color rgb="FF000000"/>
        <rFont val="Times New Roman"/>
        <family val="1"/>
      </rPr>
      <t>5.5M</t>
    </r>
  </si>
  <si>
    <r>
      <t>能恩</t>
    </r>
    <r>
      <rPr>
        <sz val="12"/>
        <color rgb="FF000000"/>
        <rFont val="Times New Roman"/>
        <family val="1"/>
      </rPr>
      <t>(</t>
    </r>
    <r>
      <rPr>
        <sz val="12"/>
        <color rgb="FF000000"/>
        <rFont val="細明體"/>
        <family val="1"/>
        <charset val="136"/>
      </rPr>
      <t>以前喝過亞培、</t>
    </r>
    <r>
      <rPr>
        <sz val="12"/>
        <color rgb="FF000000"/>
        <rFont val="Times New Roman"/>
        <family val="1"/>
      </rPr>
      <t>S26)</t>
    </r>
  </si>
  <si>
    <r>
      <t>住院</t>
    </r>
    <r>
      <rPr>
        <sz val="12"/>
        <color rgb="FF000000"/>
        <rFont val="Times New Roman"/>
        <family val="1"/>
      </rPr>
      <t>-</t>
    </r>
    <r>
      <rPr>
        <sz val="12"/>
        <color rgb="FF000000"/>
        <rFont val="細明體"/>
        <family val="1"/>
        <charset val="136"/>
      </rPr>
      <t>出生</t>
    </r>
    <r>
      <rPr>
        <sz val="12"/>
        <color rgb="FF000000"/>
        <rFont val="Times New Roman"/>
        <family val="1"/>
      </rPr>
      <t>1Y</t>
    </r>
  </si>
  <si>
    <t>愛益兒</t>
  </si>
  <si>
    <r>
      <t>出生</t>
    </r>
    <r>
      <rPr>
        <sz val="12"/>
        <color rgb="FF000000"/>
        <rFont val="Times New Roman"/>
        <family val="1"/>
      </rPr>
      <t>8M</t>
    </r>
  </si>
  <si>
    <t>徐光昱</t>
  </si>
  <si>
    <r>
      <t>1(</t>
    </r>
    <r>
      <rPr>
        <sz val="12"/>
        <color rgb="FF000000"/>
        <rFont val="細明體"/>
        <family val="1"/>
        <charset val="136"/>
      </rPr>
      <t>羊水中有細菌</t>
    </r>
    <r>
      <rPr>
        <sz val="12"/>
        <color rgb="FF000000"/>
        <rFont val="Times New Roman"/>
        <family val="1"/>
      </rPr>
      <t>)</t>
    </r>
  </si>
  <si>
    <t>膀胱發炎</t>
  </si>
  <si>
    <t>出生2M-出生3M</t>
  </si>
  <si>
    <t>亞培早配(0-矯1Y)；亞培心美力(矯1Y-NOW)</t>
  </si>
  <si>
    <r>
      <t>0-</t>
    </r>
    <r>
      <rPr>
        <sz val="12"/>
        <color rgb="FF000000"/>
        <rFont val="細明體"/>
        <family val="1"/>
        <charset val="136"/>
      </rPr>
      <t>矯</t>
    </r>
    <r>
      <rPr>
        <sz val="12"/>
        <color rgb="FF000000"/>
        <rFont val="Times New Roman"/>
        <family val="1"/>
      </rPr>
      <t>1Y</t>
    </r>
  </si>
  <si>
    <t>妙利散(吃了一年)；再之前是朱醫師開的</t>
  </si>
  <si>
    <t>粽合維他命</t>
  </si>
  <si>
    <t>鋅+維他命C</t>
  </si>
  <si>
    <t>最近半年吃的</t>
  </si>
  <si>
    <t>益妙兒</t>
  </si>
  <si>
    <t>至少8個月；之前吃現在沒有；半年；半年</t>
  </si>
  <si>
    <t>勝克敏液；希普利敏；胃逆舒；艾麗</t>
  </si>
  <si>
    <t>矯8M</t>
  </si>
  <si>
    <t>丁祤禾</t>
  </si>
  <si>
    <t>看病歷</t>
  </si>
  <si>
    <t>葡眾</t>
  </si>
  <si>
    <t>鄭宇辰</t>
  </si>
  <si>
    <t>蜜蜜熊嬰幼兒綜合維他命滴液</t>
  </si>
  <si>
    <t>希普利敏</t>
  </si>
  <si>
    <t>呂紹誠</t>
  </si>
  <si>
    <t>葉家安</t>
  </si>
  <si>
    <t>0-2Y4M</t>
  </si>
  <si>
    <t>亞培、卡洛塔妮</t>
  </si>
  <si>
    <t>6M-2Y4M</t>
  </si>
  <si>
    <r>
      <t>資兒</t>
    </r>
    <r>
      <rPr>
        <sz val="12"/>
        <color rgb="FF000000"/>
        <rFont val="Times New Roman"/>
        <family val="1"/>
      </rPr>
      <t>A+</t>
    </r>
  </si>
  <si>
    <t>6M</t>
  </si>
  <si>
    <t>葉家妤</t>
  </si>
  <si>
    <t>劉孟姍</t>
  </si>
  <si>
    <r>
      <t>出生</t>
    </r>
    <r>
      <rPr>
        <sz val="12"/>
        <color rgb="FF000000"/>
        <rFont val="Times New Roman"/>
        <family val="1"/>
      </rPr>
      <t>1M-NOW</t>
    </r>
  </si>
  <si>
    <r>
      <t>出生</t>
    </r>
    <r>
      <rPr>
        <sz val="12"/>
        <color rgb="FF000000"/>
        <rFont val="Times New Roman"/>
        <family val="1"/>
      </rPr>
      <t>4M-NOW</t>
    </r>
  </si>
  <si>
    <t>血管瘤的藥</t>
  </si>
  <si>
    <r>
      <t>看病歷</t>
    </r>
    <r>
      <rPr>
        <sz val="12"/>
        <color rgb="FF000000"/>
        <rFont val="Times New Roman"/>
        <family val="1"/>
      </rPr>
      <t>!!</t>
    </r>
  </si>
  <si>
    <t>蔡蕎安</t>
  </si>
  <si>
    <r>
      <t>腦室有水泡</t>
    </r>
    <r>
      <rPr>
        <sz val="12"/>
        <color rgb="FF000000"/>
        <rFont val="Times New Roman"/>
        <family val="1"/>
      </rPr>
      <t>(</t>
    </r>
    <r>
      <rPr>
        <sz val="12"/>
        <color rgb="FF000000"/>
        <rFont val="細明體"/>
        <family val="1"/>
        <charset val="136"/>
      </rPr>
      <t>觀察中</t>
    </r>
    <r>
      <rPr>
        <sz val="12"/>
        <color rgb="FF000000"/>
        <rFont val="Times New Roman"/>
        <family val="1"/>
      </rPr>
      <t>)</t>
    </r>
  </si>
  <si>
    <r>
      <t>能恩水解；</t>
    </r>
    <r>
      <rPr>
        <sz val="12"/>
        <color rgb="FF000000"/>
        <rFont val="Times New Roman"/>
        <family val="1"/>
      </rPr>
      <t>10/22</t>
    </r>
    <r>
      <rPr>
        <sz val="12"/>
        <color rgb="FF000000"/>
        <rFont val="細明體"/>
        <family val="1"/>
        <charset val="136"/>
      </rPr>
      <t>換卡洛塔尼</t>
    </r>
  </si>
  <si>
    <r>
      <t>2 (</t>
    </r>
    <r>
      <rPr>
        <sz val="12"/>
        <color rgb="FF000000"/>
        <rFont val="細明體"/>
        <family val="1"/>
        <charset val="136"/>
      </rPr>
      <t>剛出院</t>
    </r>
    <r>
      <rPr>
        <sz val="12"/>
        <color rgb="FF000000"/>
        <rFont val="Times New Roman"/>
        <family val="1"/>
      </rPr>
      <t>-7/15</t>
    </r>
    <r>
      <rPr>
        <sz val="12"/>
        <color rgb="FF000000"/>
        <rFont val="細明體"/>
        <family val="1"/>
        <charset val="136"/>
      </rPr>
      <t>是鼻胃管</t>
    </r>
    <r>
      <rPr>
        <sz val="12"/>
        <color rgb="FF000000"/>
        <rFont val="Times New Roman"/>
        <family val="1"/>
      </rPr>
      <t>)</t>
    </r>
  </si>
  <si>
    <t>蔡沐希</t>
  </si>
  <si>
    <t>鍾逸賢</t>
  </si>
  <si>
    <t>2~3</t>
  </si>
  <si>
    <r>
      <t>1.5</t>
    </r>
    <r>
      <rPr>
        <sz val="12"/>
        <color rgb="FF000000"/>
        <rFont val="細明體"/>
        <family val="1"/>
        <charset val="136"/>
      </rPr>
      <t>包</t>
    </r>
  </si>
  <si>
    <t>剛出生休克3分鐘，急救救回</t>
  </si>
  <si>
    <t>S-26</t>
  </si>
  <si>
    <r>
      <t>2020/6/14-___(</t>
    </r>
    <r>
      <rPr>
        <sz val="12"/>
        <color rgb="FF000000"/>
        <rFont val="細明體"/>
        <family val="1"/>
        <charset val="136"/>
      </rPr>
      <t>只吃</t>
    </r>
    <r>
      <rPr>
        <sz val="12"/>
        <color rgb="FF000000"/>
        <rFont val="Times New Roman"/>
        <family val="1"/>
      </rPr>
      <t>1-2</t>
    </r>
    <r>
      <rPr>
        <sz val="12"/>
        <color rgb="FF000000"/>
        <rFont val="細明體"/>
        <family val="1"/>
        <charset val="136"/>
      </rPr>
      <t>個月，這罐吃完就沒吃了)</t>
    </r>
  </si>
  <si>
    <t>2020/9~11</t>
  </si>
  <si>
    <t>忘了，是要局推薦的</t>
  </si>
  <si>
    <r>
      <t>0-</t>
    </r>
    <r>
      <rPr>
        <sz val="12"/>
        <color rgb="FF000000"/>
        <rFont val="細明體"/>
        <family val="1"/>
        <charset val="136"/>
      </rPr>
      <t>矯</t>
    </r>
    <r>
      <rPr>
        <sz val="12"/>
        <color rgb="FF000000"/>
        <rFont val="Times New Roman"/>
        <family val="1"/>
      </rPr>
      <t>4M</t>
    </r>
  </si>
  <si>
    <t>祐爾康金貝親</t>
  </si>
  <si>
    <t>益腹寧</t>
  </si>
  <si>
    <r>
      <t>出院</t>
    </r>
    <r>
      <rPr>
        <sz val="12"/>
        <color rgb="FF000000"/>
        <rFont val="Times New Roman"/>
        <family val="1"/>
      </rPr>
      <t>-NOW</t>
    </r>
  </si>
  <si>
    <t>廖品媃</t>
  </si>
  <si>
    <t>6~8</t>
  </si>
  <si>
    <r>
      <t>出生</t>
    </r>
    <r>
      <rPr>
        <sz val="12"/>
        <color rgb="FF000000"/>
        <rFont val="Times New Roman"/>
        <family val="1"/>
      </rPr>
      <t>7M-NOW</t>
    </r>
  </si>
  <si>
    <t>亞培心美力</t>
  </si>
  <si>
    <t>寶益兒純D3</t>
  </si>
  <si>
    <t>矯4.5M</t>
  </si>
  <si>
    <t>王禹喬</t>
  </si>
  <si>
    <t>2M-8M</t>
  </si>
  <si>
    <t>能恩水解</t>
  </si>
  <si>
    <t>陳思綺</t>
  </si>
  <si>
    <r>
      <t>1(</t>
    </r>
    <r>
      <rPr>
        <sz val="12"/>
        <color rgb="FF000000"/>
        <rFont val="細明體"/>
        <family val="1"/>
        <charset val="136"/>
      </rPr>
      <t>卵圓孔未閉合</t>
    </r>
    <r>
      <rPr>
        <sz val="12"/>
        <color rgb="FF000000"/>
        <rFont val="Times New Roman"/>
        <family val="1"/>
      </rPr>
      <t>)</t>
    </r>
  </si>
  <si>
    <r>
      <t>1(</t>
    </r>
    <r>
      <rPr>
        <sz val="12"/>
        <color rgb="FF000000"/>
        <rFont val="細明體"/>
        <family val="1"/>
        <charset val="136"/>
      </rPr>
      <t>開放性肺動脈</t>
    </r>
    <r>
      <rPr>
        <sz val="12"/>
        <color rgb="FF000000"/>
        <rFont val="Times New Roman"/>
        <family val="1"/>
      </rPr>
      <t>)</t>
    </r>
  </si>
  <si>
    <r>
      <t>0-</t>
    </r>
    <r>
      <rPr>
        <sz val="12"/>
        <color rgb="FF000000"/>
        <rFont val="細明體"/>
        <family val="1"/>
        <charset val="136"/>
      </rPr>
      <t>矯1Y3M</t>
    </r>
  </si>
  <si>
    <r>
      <t>矯</t>
    </r>
    <r>
      <rPr>
        <sz val="12"/>
        <color rgb="FF000000"/>
        <rFont val="Times New Roman"/>
        <family val="1"/>
      </rPr>
      <t>4M-NOW</t>
    </r>
  </si>
  <si>
    <t>卡洛塔尼</t>
  </si>
  <si>
    <r>
      <t>0-</t>
    </r>
    <r>
      <rPr>
        <sz val="12"/>
        <color rgb="FF000000"/>
        <rFont val="細明體"/>
        <family val="1"/>
        <charset val="136"/>
      </rPr>
      <t>矯3M</t>
    </r>
  </si>
  <si>
    <r>
      <t>0-</t>
    </r>
    <r>
      <rPr>
        <sz val="12"/>
        <color rgb="FF000000"/>
        <rFont val="細明體"/>
        <family val="1"/>
        <charset val="136"/>
      </rPr>
      <t>矯</t>
    </r>
    <r>
      <rPr>
        <sz val="12"/>
        <color rgb="FF000000"/>
        <rFont val="Times New Roman"/>
        <family val="1"/>
      </rPr>
      <t>8M</t>
    </r>
  </si>
  <si>
    <r>
      <t>寶乖亞</t>
    </r>
    <r>
      <rPr>
        <sz val="12"/>
        <color rgb="FF000000"/>
        <rFont val="Times New Roman"/>
        <family val="1"/>
      </rPr>
      <t>(</t>
    </r>
    <r>
      <rPr>
        <sz val="12"/>
        <color rgb="FF000000"/>
        <rFont val="細明體"/>
        <family val="1"/>
        <charset val="136"/>
      </rPr>
      <t>益生菌</t>
    </r>
    <r>
      <rPr>
        <sz val="12"/>
        <color rgb="FF000000"/>
        <rFont val="Times New Roman"/>
        <family val="1"/>
      </rPr>
      <t>+D)</t>
    </r>
  </si>
  <si>
    <r>
      <t>0-</t>
    </r>
    <r>
      <rPr>
        <sz val="12"/>
        <color rgb="FF000000"/>
        <rFont val="細明體"/>
        <family val="1"/>
        <charset val="136"/>
      </rPr>
      <t>矯8M</t>
    </r>
  </si>
  <si>
    <r>
      <t>0-</t>
    </r>
    <r>
      <rPr>
        <sz val="12"/>
        <color rgb="FF000000"/>
        <rFont val="細明體"/>
        <family val="1"/>
        <charset val="136"/>
      </rPr>
      <t>矯</t>
    </r>
    <r>
      <rPr>
        <sz val="12"/>
        <color rgb="FF000000"/>
        <rFont val="Times New Roman"/>
        <family val="1"/>
      </rPr>
      <t>3M</t>
    </r>
  </si>
  <si>
    <t>矯4M</t>
  </si>
  <si>
    <t>莊軒睿</t>
  </si>
  <si>
    <r>
      <t>出生</t>
    </r>
    <r>
      <rPr>
        <sz val="12"/>
        <color rgb="FF000000"/>
        <rFont val="Times New Roman"/>
        <family val="1"/>
      </rPr>
      <t>2M-NOW</t>
    </r>
  </si>
  <si>
    <t>林芯瑜</t>
  </si>
  <si>
    <t>林芯菲</t>
  </si>
  <si>
    <t>林宇威</t>
  </si>
  <si>
    <t>1+4</t>
  </si>
  <si>
    <t>2020/11/29-2021/07/30</t>
  </si>
  <si>
    <t>亞培母乳添加劑</t>
  </si>
  <si>
    <t>2021/07/30-NOW</t>
  </si>
  <si>
    <t>啟賦</t>
  </si>
  <si>
    <t>1M-NOW</t>
  </si>
  <si>
    <t>兒童魚油</t>
  </si>
  <si>
    <t>綠芙</t>
  </si>
  <si>
    <t>王暄霖</t>
  </si>
  <si>
    <r>
      <t>0-</t>
    </r>
    <r>
      <rPr>
        <sz val="12"/>
        <color rgb="FF000000"/>
        <rFont val="細明體"/>
        <family val="1"/>
        <charset val="136"/>
      </rPr>
      <t>出生</t>
    </r>
    <r>
      <rPr>
        <sz val="12"/>
        <color rgb="FF000000"/>
        <rFont val="Times New Roman"/>
        <family val="1"/>
      </rPr>
      <t>1M(1</t>
    </r>
    <r>
      <rPr>
        <sz val="12"/>
        <color rgb="FF000000"/>
        <rFont val="細明體"/>
        <family val="1"/>
        <charset val="136"/>
      </rPr>
      <t>次</t>
    </r>
    <r>
      <rPr>
        <sz val="12"/>
        <color rgb="FF000000"/>
        <rFont val="Times New Roman"/>
        <family val="1"/>
      </rPr>
      <t>/</t>
    </r>
    <r>
      <rPr>
        <sz val="12"/>
        <color rgb="FF000000"/>
        <rFont val="細明體"/>
        <family val="1"/>
        <charset val="136"/>
      </rPr>
      <t>週，</t>
    </r>
    <r>
      <rPr>
        <sz val="12"/>
        <color rgb="FF000000"/>
        <rFont val="Times New Roman"/>
        <family val="1"/>
      </rPr>
      <t xml:space="preserve"> &lt;10 ml)</t>
    </r>
  </si>
  <si>
    <r>
      <t>0-</t>
    </r>
    <r>
      <rPr>
        <sz val="12"/>
        <color rgb="FF000000"/>
        <rFont val="細明體"/>
        <family val="1"/>
        <charset val="136"/>
      </rPr>
      <t>出生</t>
    </r>
    <r>
      <rPr>
        <sz val="12"/>
        <color rgb="FF000000"/>
        <rFont val="Times New Roman"/>
        <family val="1"/>
      </rPr>
      <t>8M</t>
    </r>
  </si>
  <si>
    <r>
      <t>早產兒專用</t>
    </r>
    <r>
      <rPr>
        <sz val="12"/>
        <color rgb="FF000000"/>
        <rFont val="Times New Roman"/>
        <family val="1"/>
      </rPr>
      <t>(0-</t>
    </r>
    <r>
      <rPr>
        <sz val="12"/>
        <color rgb="FF000000"/>
        <rFont val="細明體"/>
        <family val="1"/>
        <charset val="136"/>
      </rPr>
      <t>出生</t>
    </r>
    <r>
      <rPr>
        <sz val="12"/>
        <color rgb="FF000000"/>
        <rFont val="Times New Roman"/>
        <family val="1"/>
      </rPr>
      <t>3M)</t>
    </r>
    <r>
      <rPr>
        <sz val="12"/>
        <color rgb="FF000000"/>
        <rFont val="細明體"/>
        <family val="1"/>
        <charset val="136"/>
      </rPr>
      <t>、</t>
    </r>
    <r>
      <rPr>
        <sz val="12"/>
        <color rgb="FF000000"/>
        <rFont val="Times New Roman"/>
        <family val="1"/>
      </rPr>
      <t>H1(</t>
    </r>
    <r>
      <rPr>
        <sz val="12"/>
        <color rgb="FF000000"/>
        <rFont val="細明體"/>
        <family val="1"/>
        <charset val="136"/>
      </rPr>
      <t>出生</t>
    </r>
    <r>
      <rPr>
        <sz val="12"/>
        <color rgb="FF000000"/>
        <rFont val="Times New Roman"/>
        <family val="1"/>
      </rPr>
      <t>4M-</t>
    </r>
    <r>
      <rPr>
        <sz val="12"/>
        <color rgb="FF000000"/>
        <rFont val="細明體"/>
        <family val="1"/>
        <charset val="136"/>
      </rPr>
      <t>出生</t>
    </r>
    <r>
      <rPr>
        <sz val="12"/>
        <color rgb="FF000000"/>
        <rFont val="Times New Roman"/>
        <family val="1"/>
      </rPr>
      <t>8M)</t>
    </r>
  </si>
  <si>
    <r>
      <t>0-</t>
    </r>
    <r>
      <rPr>
        <sz val="12"/>
        <color rgb="FF000000"/>
        <rFont val="細明體"/>
        <family val="1"/>
        <charset val="136"/>
      </rPr>
      <t>出生</t>
    </r>
    <r>
      <rPr>
        <sz val="12"/>
        <color rgb="FF000000"/>
        <rFont val="Times New Roman"/>
        <family val="1"/>
      </rPr>
      <t>3M</t>
    </r>
  </si>
  <si>
    <r>
      <t>出生</t>
    </r>
    <r>
      <rPr>
        <sz val="12"/>
        <color rgb="FF000000"/>
        <rFont val="Times New Roman"/>
        <family val="1"/>
      </rPr>
      <t>3M-</t>
    </r>
    <r>
      <rPr>
        <sz val="12"/>
        <color rgb="FF000000"/>
        <rFont val="細明體"/>
        <family val="1"/>
        <charset val="136"/>
      </rPr>
      <t>出生</t>
    </r>
    <r>
      <rPr>
        <sz val="12"/>
        <color rgb="FF000000"/>
        <rFont val="Times New Roman"/>
        <family val="1"/>
      </rPr>
      <t>5M</t>
    </r>
  </si>
  <si>
    <r>
      <t>寶乖亞</t>
    </r>
    <r>
      <rPr>
        <sz val="12"/>
        <color rgb="FF000000"/>
        <rFont val="Times New Roman"/>
        <family val="1"/>
      </rPr>
      <t>(</t>
    </r>
    <r>
      <rPr>
        <sz val="12"/>
        <color rgb="FF000000"/>
        <rFont val="細明體"/>
        <family val="1"/>
        <charset val="136"/>
      </rPr>
      <t>出生</t>
    </r>
    <r>
      <rPr>
        <sz val="12"/>
        <color rgb="FF000000"/>
        <rFont val="Times New Roman"/>
        <family val="1"/>
      </rPr>
      <t>4M-</t>
    </r>
    <r>
      <rPr>
        <sz val="12"/>
        <color rgb="FF000000"/>
        <rFont val="細明體"/>
        <family val="1"/>
        <charset val="136"/>
      </rPr>
      <t>出生</t>
    </r>
    <r>
      <rPr>
        <sz val="12"/>
        <color rgb="FF000000"/>
        <rFont val="Times New Roman"/>
        <family val="1"/>
      </rPr>
      <t>5M)</t>
    </r>
    <r>
      <rPr>
        <sz val="12"/>
        <color rgb="FF000000"/>
        <rFont val="細明體"/>
        <family val="1"/>
        <charset val="136"/>
      </rPr>
      <t>；卡諾塔尼</t>
    </r>
    <r>
      <rPr>
        <sz val="12"/>
        <color rgb="FF000000"/>
        <rFont val="Times New Roman"/>
        <family val="1"/>
      </rPr>
      <t>(</t>
    </r>
    <r>
      <rPr>
        <sz val="12"/>
        <color rgb="FF000000"/>
        <rFont val="細明體"/>
        <family val="1"/>
        <charset val="136"/>
      </rPr>
      <t>出生</t>
    </r>
    <r>
      <rPr>
        <sz val="12"/>
        <color rgb="FF000000"/>
        <rFont val="Times New Roman"/>
        <family val="1"/>
      </rPr>
      <t>3M-</t>
    </r>
    <r>
      <rPr>
        <sz val="12"/>
        <color rgb="FF000000"/>
        <rFont val="細明體"/>
        <family val="1"/>
        <charset val="136"/>
      </rPr>
      <t>出生</t>
    </r>
    <r>
      <rPr>
        <sz val="12"/>
        <color rgb="FF000000"/>
        <rFont val="Times New Roman"/>
        <family val="1"/>
      </rPr>
      <t>4M)</t>
    </r>
  </si>
  <si>
    <r>
      <t>0-</t>
    </r>
    <r>
      <rPr>
        <sz val="12"/>
        <color rgb="FF000000"/>
        <rFont val="細明體"/>
        <family val="1"/>
        <charset val="136"/>
      </rPr>
      <t>出生</t>
    </r>
    <r>
      <rPr>
        <sz val="12"/>
        <color rgb="FF000000"/>
        <rFont val="Times New Roman"/>
        <family val="1"/>
      </rPr>
      <t>5M</t>
    </r>
  </si>
  <si>
    <t>沈芯彤</t>
  </si>
  <si>
    <t>出生3M-NOW</t>
  </si>
  <si>
    <t>能恩早配(出生3M-出生4M)；能恩一般(出生4M-NOW)</t>
  </si>
  <si>
    <t>劉康禾</t>
  </si>
  <si>
    <t>0-2121/8/7</t>
  </si>
  <si>
    <t>2021/8/7-NOW</t>
  </si>
  <si>
    <r>
      <t>S26(</t>
    </r>
    <r>
      <rPr>
        <sz val="12"/>
        <color rgb="FF000000"/>
        <rFont val="細明體"/>
        <family val="1"/>
        <charset val="136"/>
      </rPr>
      <t>之前吃過能恩水解、亞培心美力、育樂、靈貝兒</t>
    </r>
    <r>
      <rPr>
        <sz val="12"/>
        <color rgb="FF000000"/>
        <rFont val="Times New Roman"/>
        <family val="1"/>
      </rPr>
      <t>)</t>
    </r>
  </si>
  <si>
    <t>益腹寧、寶乖亞</t>
  </si>
  <si>
    <t>2/22-2/24</t>
  </si>
  <si>
    <r>
      <t>咳嗽</t>
    </r>
    <r>
      <rPr>
        <sz val="12"/>
        <color rgb="FF000000"/>
        <rFont val="Times New Roman"/>
        <family val="1"/>
      </rPr>
      <t>(</t>
    </r>
    <r>
      <rPr>
        <sz val="12"/>
        <color rgb="FF000000"/>
        <rFont val="細明體"/>
        <family val="1"/>
        <charset val="136"/>
      </rPr>
      <t>細支氣管炎</t>
    </r>
    <r>
      <rPr>
        <sz val="12"/>
        <color rgb="FF000000"/>
        <rFont val="Times New Roman"/>
        <family val="1"/>
      </rPr>
      <t>)</t>
    </r>
    <r>
      <rPr>
        <sz val="12"/>
        <color rgb="FF000000"/>
        <rFont val="細明體"/>
        <family val="1"/>
        <charset val="136"/>
      </rPr>
      <t>藥</t>
    </r>
  </si>
  <si>
    <t>劉蕓菁</t>
  </si>
  <si>
    <t>血糖不穩</t>
  </si>
  <si>
    <t>2W-NOW</t>
  </si>
  <si>
    <t>亞培早產兒配方</t>
  </si>
  <si>
    <t>3M-8M</t>
  </si>
  <si>
    <t>優寶滴</t>
  </si>
  <si>
    <t>8M</t>
  </si>
  <si>
    <t>陳浡承</t>
  </si>
  <si>
    <t>陳浡庭</t>
  </si>
  <si>
    <t>鄭喬晞</t>
  </si>
  <si>
    <r>
      <t>住院</t>
    </r>
    <r>
      <rPr>
        <sz val="12"/>
        <color rgb="FF000000"/>
        <rFont val="Times New Roman"/>
        <family val="1"/>
      </rPr>
      <t>-2021/5</t>
    </r>
  </si>
  <si>
    <r>
      <t>偶爾</t>
    </r>
    <r>
      <rPr>
        <sz val="12"/>
        <color rgb="FF000000"/>
        <rFont val="Times New Roman"/>
        <family val="1"/>
      </rPr>
      <t>(</t>
    </r>
    <r>
      <rPr>
        <sz val="12"/>
        <color rgb="FF000000"/>
        <rFont val="細明體"/>
        <family val="1"/>
        <charset val="136"/>
      </rPr>
      <t>住院</t>
    </r>
    <r>
      <rPr>
        <sz val="12"/>
        <color rgb="FF000000"/>
        <rFont val="Times New Roman"/>
        <family val="1"/>
      </rPr>
      <t>-2019/12)</t>
    </r>
  </si>
  <si>
    <r>
      <t>S26</t>
    </r>
    <r>
      <rPr>
        <sz val="12"/>
        <color rgb="FF000000"/>
        <rFont val="細明體"/>
        <family val="1"/>
        <charset val="136"/>
      </rPr>
      <t>早產兒配方</t>
    </r>
  </si>
  <si>
    <r>
      <t>住院</t>
    </r>
    <r>
      <rPr>
        <sz val="12"/>
        <color rgb="FF000000"/>
        <rFont val="Times New Roman"/>
        <family val="1"/>
      </rPr>
      <t>-2019/12</t>
    </r>
  </si>
  <si>
    <r>
      <t>出院</t>
    </r>
    <r>
      <rPr>
        <sz val="12"/>
        <color rgb="FF000000"/>
        <rFont val="Times New Roman"/>
        <family val="1"/>
      </rPr>
      <t>-2019/12</t>
    </r>
  </si>
  <si>
    <r>
      <t>住院</t>
    </r>
    <r>
      <rPr>
        <sz val="12"/>
        <color rgb="FF000000"/>
        <rFont val="Times New Roman"/>
        <family val="1"/>
      </rPr>
      <t>-2020/6</t>
    </r>
  </si>
  <si>
    <r>
      <t>矯</t>
    </r>
    <r>
      <rPr>
        <sz val="12"/>
        <color rgb="FF000000"/>
        <rFont val="Times New Roman"/>
        <family val="1"/>
      </rPr>
      <t>7M</t>
    </r>
  </si>
  <si>
    <t>呂欣卉</t>
  </si>
  <si>
    <r>
      <t>0-</t>
    </r>
    <r>
      <rPr>
        <sz val="12"/>
        <color rgb="FF000000"/>
        <rFont val="細明體"/>
        <family val="1"/>
        <charset val="136"/>
      </rPr>
      <t>出生</t>
    </r>
    <r>
      <rPr>
        <sz val="12"/>
        <color rgb="FF000000"/>
        <rFont val="Times New Roman"/>
        <family val="1"/>
      </rPr>
      <t>1Y</t>
    </r>
  </si>
  <si>
    <t>育樂</t>
  </si>
  <si>
    <r>
      <t>出生</t>
    </r>
    <r>
      <rPr>
        <sz val="12"/>
        <color rgb="FF000000"/>
        <rFont val="Times New Roman"/>
        <family val="1"/>
      </rPr>
      <t>2M-</t>
    </r>
    <r>
      <rPr>
        <sz val="12"/>
        <color rgb="FF000000"/>
        <rFont val="細明體"/>
        <family val="1"/>
        <charset val="136"/>
      </rPr>
      <t>出生</t>
    </r>
    <r>
      <rPr>
        <sz val="12"/>
        <color rgb="FF000000"/>
        <rFont val="Times New Roman"/>
        <family val="1"/>
      </rPr>
      <t>1Y</t>
    </r>
  </si>
  <si>
    <r>
      <t>妙麗散</t>
    </r>
    <r>
      <rPr>
        <sz val="12"/>
        <color rgb="FF000000"/>
        <rFont val="Times New Roman"/>
        <family val="1"/>
      </rPr>
      <t>&gt;</t>
    </r>
    <r>
      <rPr>
        <sz val="12"/>
        <color rgb="FF000000"/>
        <rFont val="細明體"/>
        <family val="1"/>
        <charset val="136"/>
      </rPr>
      <t>寶乖亞</t>
    </r>
    <r>
      <rPr>
        <sz val="12"/>
        <color rgb="FF000000"/>
        <rFont val="Times New Roman"/>
        <family val="1"/>
      </rPr>
      <t>&gt;</t>
    </r>
    <r>
      <rPr>
        <sz val="12"/>
        <color rgb="FF000000"/>
        <rFont val="細明體"/>
        <family val="1"/>
        <charset val="136"/>
      </rPr>
      <t>馬菲優格</t>
    </r>
  </si>
  <si>
    <t>郭家萱</t>
  </si>
  <si>
    <t>S26</t>
  </si>
  <si>
    <r>
      <t>矯</t>
    </r>
    <r>
      <rPr>
        <sz val="12"/>
        <color rgb="FF000000"/>
        <rFont val="Times New Roman"/>
        <family val="1"/>
      </rPr>
      <t>2M-NOW</t>
    </r>
  </si>
  <si>
    <t>10~20</t>
  </si>
  <si>
    <r>
      <t>0-</t>
    </r>
    <r>
      <rPr>
        <sz val="12"/>
        <color rgb="FF000000"/>
        <rFont val="細明體"/>
        <family val="1"/>
        <charset val="136"/>
      </rPr>
      <t>出生</t>
    </r>
    <r>
      <rPr>
        <sz val="12"/>
        <color rgb="FF000000"/>
        <rFont val="Times New Roman"/>
        <family val="1"/>
      </rPr>
      <t>1M</t>
    </r>
  </si>
  <si>
    <r>
      <t>出生</t>
    </r>
    <r>
      <rPr>
        <sz val="12"/>
        <color rgb="FF000000"/>
        <rFont val="Times New Roman"/>
        <family val="1"/>
      </rPr>
      <t>1M-7M</t>
    </r>
  </si>
  <si>
    <t>雀巢</t>
  </si>
  <si>
    <r>
      <t>0-</t>
    </r>
    <r>
      <rPr>
        <sz val="12"/>
        <color rgb="FF000000"/>
        <rFont val="細明體"/>
        <family val="1"/>
        <charset val="136"/>
      </rPr>
      <t>出生</t>
    </r>
    <r>
      <rPr>
        <sz val="12"/>
        <color rgb="FF000000"/>
        <rFont val="Times New Roman"/>
        <family val="1"/>
      </rPr>
      <t>6M</t>
    </r>
  </si>
  <si>
    <t>寶乖亞和妙麗散</t>
  </si>
  <si>
    <t>今年五月到現在</t>
  </si>
  <si>
    <r>
      <t>出生</t>
    </r>
    <r>
      <rPr>
        <sz val="12"/>
        <color rgb="FF000000"/>
        <rFont val="Times New Roman"/>
        <family val="1"/>
      </rPr>
      <t>6M</t>
    </r>
  </si>
  <si>
    <t>王暄澄</t>
  </si>
  <si>
    <t>心臟共同動脈幹</t>
  </si>
  <si>
    <t>益富魚</t>
  </si>
  <si>
    <t>美強生哺力美</t>
  </si>
  <si>
    <r>
      <t>0-</t>
    </r>
    <r>
      <rPr>
        <sz val="12"/>
        <color rgb="FF000000"/>
        <rFont val="細明體"/>
        <family val="1"/>
        <charset val="136"/>
      </rPr>
      <t>出生</t>
    </r>
    <r>
      <rPr>
        <sz val="12"/>
        <color rgb="FF000000"/>
        <rFont val="Times New Roman"/>
        <family val="1"/>
      </rPr>
      <t>6.5M</t>
    </r>
    <r>
      <rPr>
        <sz val="12"/>
        <color rgb="FF000000"/>
        <rFont val="細明體"/>
        <family val="1"/>
        <charset val="136"/>
      </rPr>
      <t>、出生</t>
    </r>
    <r>
      <rPr>
        <sz val="12"/>
        <color rgb="FF000000"/>
        <rFont val="Times New Roman"/>
        <family val="1"/>
      </rPr>
      <t>7M-NOW</t>
    </r>
  </si>
  <si>
    <r>
      <t>住院</t>
    </r>
    <r>
      <rPr>
        <sz val="12"/>
        <color rgb="FF000000"/>
        <rFont val="Times New Roman"/>
        <family val="1"/>
      </rPr>
      <t>-</t>
    </r>
    <r>
      <rPr>
        <sz val="12"/>
        <color rgb="FF000000"/>
        <rFont val="細明體"/>
        <family val="1"/>
        <charset val="136"/>
      </rPr>
      <t>出生</t>
    </r>
    <r>
      <rPr>
        <sz val="12"/>
        <color rgb="FF000000"/>
        <rFont val="Times New Roman"/>
        <family val="1"/>
      </rPr>
      <t>6.5M</t>
    </r>
  </si>
  <si>
    <r>
      <t>住院</t>
    </r>
    <r>
      <rPr>
        <sz val="12"/>
        <color rgb="FF000000"/>
        <rFont val="Times New Roman"/>
        <family val="1"/>
      </rPr>
      <t>-6.5M</t>
    </r>
  </si>
  <si>
    <t>心臟藥物、甲狀腺</t>
  </si>
  <si>
    <r>
      <t>0-</t>
    </r>
    <r>
      <rPr>
        <sz val="12"/>
        <color rgb="FF000000"/>
        <rFont val="細明體"/>
        <family val="1"/>
        <charset val="136"/>
      </rPr>
      <t>出生</t>
    </r>
    <r>
      <rPr>
        <sz val="12"/>
        <color rgb="FF000000"/>
        <rFont val="Times New Roman"/>
        <family val="1"/>
      </rPr>
      <t>6M</t>
    </r>
    <r>
      <rPr>
        <sz val="12"/>
        <color rgb="FF000000"/>
        <rFont val="細明體"/>
        <family val="1"/>
        <charset val="136"/>
      </rPr>
      <t>是鼻胃管；出生</t>
    </r>
    <r>
      <rPr>
        <sz val="12"/>
        <color rgb="FF000000"/>
        <rFont val="Times New Roman"/>
        <family val="1"/>
      </rPr>
      <t>6M-</t>
    </r>
    <r>
      <rPr>
        <sz val="12"/>
        <color rgb="FF000000"/>
        <rFont val="細明體"/>
        <family val="1"/>
        <charset val="136"/>
      </rPr>
      <t>出生</t>
    </r>
    <r>
      <rPr>
        <sz val="12"/>
        <color rgb="FF000000"/>
        <rFont val="Times New Roman"/>
        <family val="1"/>
      </rPr>
      <t>8M</t>
    </r>
    <r>
      <rPr>
        <sz val="12"/>
        <color rgb="FF000000"/>
        <rFont val="細明體"/>
        <family val="1"/>
        <charset val="136"/>
      </rPr>
      <t>是經口</t>
    </r>
  </si>
  <si>
    <t>何昊哲</t>
  </si>
  <si>
    <t>吳瑜蓉</t>
  </si>
  <si>
    <t>HA1</t>
  </si>
  <si>
    <t>黃晞媛</t>
  </si>
  <si>
    <r>
      <t>0-8M(2</t>
    </r>
    <r>
      <rPr>
        <sz val="12"/>
        <color rgb="FF000000"/>
        <rFont val="細明體"/>
        <family val="1"/>
        <charset val="136"/>
      </rPr>
      <t>月</t>
    </r>
    <r>
      <rPr>
        <sz val="12"/>
        <color rgb="FF000000"/>
        <rFont val="Times New Roman"/>
        <family val="1"/>
      </rPr>
      <t>)</t>
    </r>
  </si>
  <si>
    <r>
      <t>8M(2</t>
    </r>
    <r>
      <rPr>
        <sz val="12"/>
        <color rgb="FF000000"/>
        <rFont val="細明體"/>
        <family val="1"/>
        <charset val="136"/>
      </rPr>
      <t>月</t>
    </r>
    <r>
      <rPr>
        <sz val="12"/>
        <color rgb="FF000000"/>
        <rFont val="Times New Roman"/>
        <family val="1"/>
      </rPr>
      <t>)-NOW</t>
    </r>
  </si>
  <si>
    <r>
      <t>0-9M(</t>
    </r>
    <r>
      <rPr>
        <sz val="12"/>
        <color rgb="FF000000"/>
        <rFont val="細明體"/>
        <family val="1"/>
        <charset val="136"/>
      </rPr>
      <t>矯</t>
    </r>
    <r>
      <rPr>
        <sz val="12"/>
        <color rgb="FF000000"/>
        <rFont val="Times New Roman"/>
        <family val="1"/>
      </rPr>
      <t>6M)</t>
    </r>
  </si>
  <si>
    <t>陳馥瑾</t>
  </si>
  <si>
    <t>15D-NOW</t>
  </si>
  <si>
    <r>
      <t>Kern</t>
    </r>
    <r>
      <rPr>
        <sz val="12"/>
        <color rgb="FF000000"/>
        <rFont val="細明體"/>
        <family val="1"/>
        <charset val="136"/>
      </rPr>
      <t>藥廠液態維生素D3</t>
    </r>
  </si>
  <si>
    <t>蘇羽程</t>
  </si>
  <si>
    <r>
      <t>5M</t>
    </r>
    <r>
      <rPr>
        <sz val="12"/>
        <color rgb="FF000000"/>
        <rFont val="細明體"/>
        <family val="1"/>
        <charset val="136"/>
      </rPr>
      <t>，</t>
    </r>
    <r>
      <rPr>
        <sz val="12"/>
        <color rgb="FF000000"/>
        <rFont val="Times New Roman"/>
        <family val="1"/>
      </rPr>
      <t>once a week</t>
    </r>
  </si>
  <si>
    <t>張又元</t>
  </si>
  <si>
    <r>
      <t>加護病房</t>
    </r>
    <r>
      <rPr>
        <sz val="12"/>
        <color rgb="FF000000"/>
        <rFont val="Times New Roman"/>
        <family val="1"/>
      </rPr>
      <t>-NOW</t>
    </r>
  </si>
  <si>
    <t>張又方</t>
  </si>
  <si>
    <t>陳芷婈</t>
  </si>
  <si>
    <r>
      <t>S-26</t>
    </r>
    <r>
      <rPr>
        <sz val="12"/>
        <color rgb="FF000000"/>
        <rFont val="細明體"/>
        <family val="1"/>
        <charset val="136"/>
      </rPr>
      <t>早產兒配方奶粉</t>
    </r>
    <r>
      <rPr>
        <sz val="12"/>
        <color rgb="FF000000"/>
        <rFont val="Times New Roman"/>
        <family val="1"/>
      </rPr>
      <t>(</t>
    </r>
    <r>
      <rPr>
        <sz val="12"/>
        <color rgb="FF000000"/>
        <rFont val="細明體"/>
        <family val="1"/>
        <charset val="136"/>
      </rPr>
      <t>之前是亞培早配</t>
    </r>
    <r>
      <rPr>
        <sz val="12"/>
        <color rgb="FF000000"/>
        <rFont val="Times New Roman"/>
        <family val="1"/>
      </rPr>
      <t>)</t>
    </r>
  </si>
  <si>
    <r>
      <t>出生</t>
    </r>
    <r>
      <rPr>
        <sz val="12"/>
        <color rgb="FF000000"/>
        <rFont val="Times New Roman"/>
        <family val="1"/>
      </rPr>
      <t>4M</t>
    </r>
  </si>
  <si>
    <t>黃馨瑩</t>
  </si>
  <si>
    <t>3M-7M</t>
  </si>
  <si>
    <t>妙力散</t>
  </si>
  <si>
    <t>10/5-NOW</t>
  </si>
  <si>
    <t>西普利敏</t>
  </si>
  <si>
    <r>
      <t>矯</t>
    </r>
    <r>
      <rPr>
        <sz val="12"/>
        <color rgb="FF000000"/>
        <rFont val="Times New Roman"/>
        <family val="1"/>
      </rPr>
      <t>3M</t>
    </r>
  </si>
  <si>
    <t>林妍妘</t>
  </si>
  <si>
    <t>能恩早產配方</t>
  </si>
  <si>
    <t>出生-2022.4月底</t>
  </si>
  <si>
    <r>
      <t>2022.5</t>
    </r>
    <r>
      <rPr>
        <sz val="12"/>
        <color rgb="FF000000"/>
        <rFont val="細明體"/>
        <family val="1"/>
        <charset val="136"/>
      </rPr>
      <t>月初</t>
    </r>
    <r>
      <rPr>
        <sz val="12"/>
        <color rgb="FF000000"/>
        <rFont val="Times New Roman"/>
        <family val="1"/>
      </rPr>
      <t>-NOW</t>
    </r>
  </si>
  <si>
    <t>陳冠樺</t>
  </si>
  <si>
    <t>林貝兒(之前是亞培)</t>
  </si>
  <si>
    <r>
      <t>0-</t>
    </r>
    <r>
      <rPr>
        <sz val="12"/>
        <color rgb="FF000000"/>
        <rFont val="細明體"/>
        <family val="1"/>
        <charset val="136"/>
      </rPr>
      <t>矯1.5Y</t>
    </r>
  </si>
  <si>
    <t>矯6M-NOW</t>
  </si>
  <si>
    <r>
      <t>Nordic Naturrals</t>
    </r>
    <r>
      <rPr>
        <sz val="12"/>
        <color rgb="FF000000"/>
        <rFont val="細明體"/>
        <family val="1"/>
        <charset val="136"/>
      </rPr>
      <t>北歐天然貝比D</t>
    </r>
  </si>
  <si>
    <r>
      <t>____-</t>
    </r>
    <r>
      <rPr>
        <sz val="12"/>
        <color rgb="FF000000"/>
        <rFont val="細明體"/>
        <family val="1"/>
        <charset val="136"/>
      </rPr>
      <t>矯1.5Y</t>
    </r>
  </si>
  <si>
    <r>
      <t>DHA</t>
    </r>
    <r>
      <rPr>
        <sz val="12"/>
        <color rgb="FF000000"/>
        <rFont val="細明體"/>
        <family val="1"/>
        <charset val="136"/>
      </rPr>
      <t>；紫錐花+乳鐵蛋白+維生素C</t>
    </r>
  </si>
  <si>
    <t>矯1Y-NOW；上上周才開始</t>
  </si>
  <si>
    <t>悠活原力；悠活原力</t>
  </si>
  <si>
    <r>
      <t>4</t>
    </r>
    <r>
      <rPr>
        <sz val="12"/>
        <color rgb="FF000000"/>
        <rFont val="細明體"/>
        <family val="1"/>
        <charset val="136"/>
      </rPr>
      <t>周前</t>
    </r>
    <r>
      <rPr>
        <sz val="12"/>
        <color rgb="FF000000"/>
        <rFont val="Times New Roman"/>
        <family val="1"/>
      </rPr>
      <t>-2</t>
    </r>
    <r>
      <rPr>
        <sz val="12"/>
        <color rgb="FF000000"/>
        <rFont val="細明體"/>
        <family val="1"/>
        <charset val="136"/>
      </rPr>
      <t>周前；4周前-2周前</t>
    </r>
  </si>
  <si>
    <t>泡疹性病毒要；勝克敏液</t>
  </si>
  <si>
    <t>陳冠霓</t>
  </si>
  <si>
    <t>黃予玄</t>
  </si>
  <si>
    <t>李奕承</t>
  </si>
  <si>
    <t>許瀚文</t>
  </si>
  <si>
    <t>陳昕佐</t>
  </si>
  <si>
    <t>5~10</t>
  </si>
  <si>
    <t>出生4M-NOW</t>
  </si>
  <si>
    <t>能恩+小安素(出生1Y-NOW)</t>
  </si>
  <si>
    <t>住院-出生1Y</t>
  </si>
  <si>
    <t>出生1Y-NOW</t>
  </si>
  <si>
    <t>濃純鄉大本山</t>
  </si>
  <si>
    <t>住院-NOW</t>
  </si>
  <si>
    <t>住院-NOW；出院-NOW；?</t>
  </si>
  <si>
    <t>甲狀腺的藥；派卡登；B6</t>
  </si>
  <si>
    <t>矯6M</t>
  </si>
  <si>
    <t>黃千芮</t>
  </si>
  <si>
    <t>0-2M</t>
  </si>
  <si>
    <t>張語涵</t>
  </si>
  <si>
    <t>連冠佶</t>
  </si>
  <si>
    <t>矯4M-NOW</t>
  </si>
  <si>
    <t>小安素</t>
  </si>
  <si>
    <r>
      <t xml:space="preserve">BHK's </t>
    </r>
    <r>
      <rPr>
        <sz val="12"/>
        <color rgb="FF000000"/>
        <rFont val="細明體"/>
        <family val="1"/>
        <charset val="136"/>
      </rPr>
      <t>初乳益生菌；優兒康</t>
    </r>
    <r>
      <rPr>
        <sz val="12"/>
        <color rgb="FF000000"/>
        <rFont val="Times New Roman"/>
        <family val="1"/>
      </rPr>
      <t xml:space="preserve"> </t>
    </r>
    <r>
      <rPr>
        <sz val="12"/>
        <color rgb="FF000000"/>
        <rFont val="細明體"/>
        <family val="1"/>
        <charset val="136"/>
      </rPr>
      <t>幼兒乳鐵蛋白</t>
    </r>
  </si>
  <si>
    <t>___-NOW</t>
  </si>
  <si>
    <t>欣流(醫院開的)；另有吸的藥</t>
  </si>
  <si>
    <t>蘇語晞</t>
  </si>
  <si>
    <t>蔡沛宇</t>
  </si>
  <si>
    <t>葉昕妍</t>
  </si>
  <si>
    <r>
      <t>0-</t>
    </r>
    <r>
      <rPr>
        <sz val="12"/>
        <color rgb="FF000000"/>
        <rFont val="細明體"/>
        <family val="1"/>
        <charset val="136"/>
      </rPr>
      <t>矯</t>
    </r>
    <r>
      <rPr>
        <sz val="12"/>
        <color rgb="FF000000"/>
        <rFont val="Times New Roman"/>
        <family val="1"/>
      </rPr>
      <t>2M</t>
    </r>
  </si>
  <si>
    <t>葉昕桐</t>
  </si>
  <si>
    <t>胡芝瀞</t>
  </si>
  <si>
    <t>馮淞琰</t>
  </si>
  <si>
    <r>
      <t>0-</t>
    </r>
    <r>
      <rPr>
        <sz val="12"/>
        <color rgb="FF000000"/>
        <rFont val="細明體"/>
        <family val="1"/>
        <charset val="136"/>
      </rPr>
      <t>出生</t>
    </r>
    <r>
      <rPr>
        <sz val="12"/>
        <color rgb="FF000000"/>
        <rFont val="Times New Roman"/>
        <family val="1"/>
      </rPr>
      <t>2M</t>
    </r>
  </si>
  <si>
    <r>
      <t>4</t>
    </r>
    <r>
      <rPr>
        <sz val="12"/>
        <color rgb="FF000000"/>
        <rFont val="細明體"/>
        <family val="1"/>
        <charset val="136"/>
      </rPr>
      <t>月-NOW</t>
    </r>
  </si>
  <si>
    <r>
      <t>B</t>
    </r>
    <r>
      <rPr>
        <sz val="12"/>
        <color rgb="FF000000"/>
        <rFont val="細明體"/>
        <family val="1"/>
        <charset val="136"/>
      </rPr>
      <t>群</t>
    </r>
  </si>
  <si>
    <t>上週回診-NOW</t>
  </si>
  <si>
    <t>醫師開的</t>
  </si>
  <si>
    <t>葉酸</t>
  </si>
  <si>
    <t>半年以上</t>
  </si>
  <si>
    <t>徐浩恩</t>
  </si>
  <si>
    <t>陳品序</t>
  </si>
  <si>
    <t>羅家彤</t>
  </si>
  <si>
    <t>腦室腹腔引流</t>
  </si>
  <si>
    <t>水腦</t>
  </si>
  <si>
    <t>1M-1Y</t>
  </si>
  <si>
    <t>4M-1Y</t>
  </si>
  <si>
    <r>
      <t>8M(</t>
    </r>
    <r>
      <rPr>
        <sz val="12"/>
        <color rgb="FF000000"/>
        <rFont val="細明體"/>
        <family val="1"/>
        <charset val="136"/>
      </rPr>
      <t>矯</t>
    </r>
    <r>
      <rPr>
        <sz val="12"/>
        <color rgb="FF000000"/>
        <rFont val="Times New Roman"/>
        <family val="1"/>
      </rPr>
      <t>4M)</t>
    </r>
  </si>
  <si>
    <t>謝宓心</t>
  </si>
  <si>
    <t>謝易廷</t>
  </si>
  <si>
    <t>馬誠宣</t>
  </si>
  <si>
    <t>陳婕甯</t>
  </si>
  <si>
    <t>能恩</t>
  </si>
  <si>
    <t>廖允澤</t>
  </si>
  <si>
    <t>出生1M-NOW</t>
  </si>
  <si>
    <t>張巧彤</t>
  </si>
  <si>
    <t>2020/1/4-2020/10/1</t>
  </si>
  <si>
    <t>能恩水解3</t>
  </si>
  <si>
    <r>
      <t>0-</t>
    </r>
    <r>
      <rPr>
        <sz val="12"/>
        <color rgb="FF000000"/>
        <rFont val="細明體"/>
        <family val="1"/>
        <charset val="136"/>
      </rPr>
      <t>醫師說停</t>
    </r>
  </si>
  <si>
    <t>林妘霏</t>
  </si>
  <si>
    <t>鍾承宇</t>
  </si>
  <si>
    <t>顏羽菲</t>
  </si>
  <si>
    <t>希普利敏、暢痰、思咳、舒鼻適</t>
  </si>
  <si>
    <t>蘇奎頊</t>
  </si>
  <si>
    <r>
      <t>0-</t>
    </r>
    <r>
      <rPr>
        <sz val="12"/>
        <color rgb="FF000000"/>
        <rFont val="細明體"/>
        <family val="1"/>
        <charset val="136"/>
      </rPr>
      <t>出生</t>
    </r>
    <r>
      <rPr>
        <sz val="12"/>
        <color rgb="FF000000"/>
        <rFont val="Times New Roman"/>
        <family val="1"/>
      </rPr>
      <t>4M</t>
    </r>
  </si>
  <si>
    <t>游原全</t>
  </si>
  <si>
    <t>金悅健</t>
  </si>
  <si>
    <t>游原安</t>
  </si>
  <si>
    <t>王宣涵</t>
  </si>
  <si>
    <r>
      <t>雪印</t>
    </r>
    <r>
      <rPr>
        <sz val="12"/>
        <color rgb="FF000000"/>
        <rFont val="Times New Roman"/>
        <family val="1"/>
      </rPr>
      <t>T3</t>
    </r>
  </si>
  <si>
    <r>
      <t>治便祕藥</t>
    </r>
    <r>
      <rPr>
        <sz val="12"/>
        <color rgb="FF000000"/>
        <rFont val="Times New Roman"/>
        <family val="1"/>
      </rPr>
      <t>(</t>
    </r>
    <r>
      <rPr>
        <sz val="12"/>
        <color rgb="FF000000"/>
        <rFont val="細明體"/>
        <family val="1"/>
        <charset val="136"/>
      </rPr>
      <t>醫院開的</t>
    </r>
    <r>
      <rPr>
        <sz val="12"/>
        <color rgb="FF000000"/>
        <rFont val="Times New Roman"/>
        <family val="1"/>
      </rPr>
      <t>)</t>
    </r>
  </si>
  <si>
    <t>錢翔寧</t>
  </si>
  <si>
    <t>5M-1Y1M</t>
  </si>
  <si>
    <t>先喝亞培早配，體重足後依醫師指示改喝明治</t>
  </si>
  <si>
    <t>2W-1Y</t>
  </si>
  <si>
    <t>1Y3M-NOW</t>
  </si>
  <si>
    <t>愛德樂寶</t>
  </si>
  <si>
    <r>
      <t>0-NOW(0-5M</t>
    </r>
    <r>
      <rPr>
        <sz val="12"/>
        <color rgb="FF000000"/>
        <rFont val="細明體"/>
        <family val="1"/>
        <charset val="136"/>
      </rPr>
      <t>餵母乳時是媽媽吃</t>
    </r>
    <r>
      <rPr>
        <sz val="12"/>
        <color rgb="FF000000"/>
        <rFont val="Times New Roman"/>
        <family val="1"/>
      </rPr>
      <t>)</t>
    </r>
  </si>
  <si>
    <r>
      <t>悠活源力</t>
    </r>
    <r>
      <rPr>
        <sz val="12"/>
        <color rgb="FF000000"/>
        <rFont val="Times New Roman"/>
        <family val="1"/>
      </rPr>
      <t xml:space="preserve"> </t>
    </r>
    <r>
      <rPr>
        <sz val="12"/>
        <color rgb="FF000000"/>
        <rFont val="細明體"/>
        <family val="1"/>
        <charset val="136"/>
      </rPr>
      <t>欣敏立清</t>
    </r>
  </si>
  <si>
    <r>
      <t>1</t>
    </r>
    <r>
      <rPr>
        <sz val="12"/>
        <color rgb="FF000000"/>
        <rFont val="細明體"/>
        <family val="1"/>
        <charset val="136"/>
      </rPr>
      <t>週</t>
    </r>
    <r>
      <rPr>
        <sz val="12"/>
        <color rgb="FF000000"/>
        <rFont val="Times New Roman"/>
        <family val="1"/>
      </rPr>
      <t>(</t>
    </r>
    <r>
      <rPr>
        <sz val="12"/>
        <color rgb="FF000000"/>
        <rFont val="細明體"/>
        <family val="1"/>
        <charset val="136"/>
      </rPr>
      <t>過敏嚴重時睡前吃</t>
    </r>
    <r>
      <rPr>
        <sz val="12"/>
        <color rgb="FF000000"/>
        <rFont val="Times New Roman"/>
        <family val="1"/>
      </rPr>
      <t>)</t>
    </r>
  </si>
  <si>
    <t>希普立敏；勝克敏</t>
  </si>
  <si>
    <t>洪苡宸</t>
  </si>
  <si>
    <t>邱于誠</t>
  </si>
  <si>
    <r>
      <t>寶益兒</t>
    </r>
    <r>
      <rPr>
        <sz val="12"/>
        <color rgb="FF000000"/>
        <rFont val="Times New Roman"/>
        <family val="1"/>
      </rPr>
      <t>(</t>
    </r>
    <r>
      <rPr>
        <sz val="12"/>
        <color rgb="FF000000"/>
        <rFont val="細明體"/>
        <family val="1"/>
        <charset val="136"/>
      </rPr>
      <t>純</t>
    </r>
    <r>
      <rPr>
        <sz val="12"/>
        <color rgb="FF000000"/>
        <rFont val="Times New Roman"/>
        <family val="1"/>
      </rPr>
      <t>D3)</t>
    </r>
  </si>
  <si>
    <t>顏妡芮</t>
  </si>
  <si>
    <t>0/1</t>
  </si>
  <si>
    <r>
      <t>0-</t>
    </r>
    <r>
      <rPr>
        <sz val="12"/>
        <color rgb="FF000000"/>
        <rFont val="細明體"/>
        <family val="1"/>
        <charset val="136"/>
      </rPr>
      <t>出生</t>
    </r>
    <r>
      <rPr>
        <sz val="12"/>
        <color rgb="FF000000"/>
        <rFont val="Times New Roman"/>
        <family val="1"/>
      </rPr>
      <t>6.5M</t>
    </r>
  </si>
  <si>
    <t>出生6.5M-NOW</t>
  </si>
  <si>
    <t>出院-出生6.5M(4/10)</t>
  </si>
  <si>
    <t>2021/11-2021/12</t>
  </si>
  <si>
    <t>住院-出生6.5M(4/10)</t>
  </si>
  <si>
    <t>2/22-NOW</t>
  </si>
  <si>
    <r>
      <t xml:space="preserve">Cardio101 </t>
    </r>
    <r>
      <rPr>
        <sz val="12"/>
        <color rgb="FF000000"/>
        <rFont val="細明體"/>
        <family val="1"/>
        <charset val="136"/>
      </rPr>
      <t>心律整錠(血管瘤控制)</t>
    </r>
  </si>
  <si>
    <t>羅梓軒</t>
  </si>
  <si>
    <t>7/16-NOW</t>
  </si>
  <si>
    <r>
      <t>11/17-NOW</t>
    </r>
    <r>
      <rPr>
        <sz val="12"/>
        <color rgb="FF000000"/>
        <rFont val="細明體"/>
        <family val="1"/>
        <charset val="136"/>
      </rPr>
      <t>；</t>
    </r>
    <r>
      <rPr>
        <sz val="12"/>
        <color rgb="FF000000"/>
        <rFont val="Times New Roman"/>
        <family val="1"/>
      </rPr>
      <t>11/25-12/1</t>
    </r>
  </si>
  <si>
    <r>
      <t>勝克敏液；抗生素</t>
    </r>
    <r>
      <rPr>
        <sz val="12"/>
        <color rgb="FF000000"/>
        <rFont val="Times New Roman"/>
        <family val="1"/>
      </rPr>
      <t>(</t>
    </r>
    <r>
      <rPr>
        <sz val="12"/>
        <color rgb="FF000000"/>
        <rFont val="細明體"/>
        <family val="1"/>
        <charset val="136"/>
      </rPr>
      <t>綠鼻涕</t>
    </r>
    <r>
      <rPr>
        <sz val="12"/>
        <color rgb="FF000000"/>
        <rFont val="Times New Roman"/>
        <family val="1"/>
      </rPr>
      <t>)</t>
    </r>
  </si>
  <si>
    <t>陳亦芸</t>
  </si>
  <si>
    <t>鍾淯丞</t>
  </si>
  <si>
    <r>
      <t>惠氏</t>
    </r>
    <r>
      <rPr>
        <sz val="12"/>
        <color rgb="FF000000"/>
        <rFont val="Times New Roman"/>
        <family val="1"/>
      </rPr>
      <t>S26</t>
    </r>
  </si>
  <si>
    <t>鄒一菲</t>
  </si>
  <si>
    <t>中耳炎</t>
  </si>
  <si>
    <t>0-2021/10</t>
  </si>
  <si>
    <t>2021/9-2021/10</t>
  </si>
  <si>
    <r>
      <t>忘記了，腸絞痛緊急藥局買一罐</t>
    </r>
    <r>
      <rPr>
        <sz val="12"/>
        <color rgb="FF000000"/>
        <rFont val="Times New Roman"/>
        <family val="1"/>
      </rPr>
      <t>(1400</t>
    </r>
    <r>
      <rPr>
        <sz val="12"/>
        <color rgb="FF000000"/>
        <rFont val="細明體"/>
        <family val="1"/>
        <charset val="136"/>
      </rPr>
      <t>元</t>
    </r>
    <r>
      <rPr>
        <sz val="12"/>
        <color rgb="FF000000"/>
        <rFont val="Times New Roman"/>
        <family val="1"/>
      </rPr>
      <t>)</t>
    </r>
  </si>
  <si>
    <t>1/6-1/22</t>
  </si>
  <si>
    <t>中耳炎的要，有抗生素</t>
  </si>
  <si>
    <t>許元睿</t>
  </si>
  <si>
    <t>小孩沒吃是媽媽吃</t>
  </si>
  <si>
    <t>陳彥銘</t>
  </si>
  <si>
    <t>江康睿</t>
  </si>
  <si>
    <t>感冒(流鼻水、痰)</t>
  </si>
  <si>
    <t>朱泫熙</t>
  </si>
  <si>
    <r>
      <t>出生</t>
    </r>
    <r>
      <rPr>
        <sz val="12"/>
        <color rgb="FF000000"/>
        <rFont val="Times New Roman"/>
        <family val="1"/>
      </rPr>
      <t>1M-</t>
    </r>
    <r>
      <rPr>
        <sz val="12"/>
        <color rgb="FF000000"/>
        <rFont val="細明體"/>
        <family val="1"/>
        <charset val="136"/>
      </rPr>
      <t>出院</t>
    </r>
  </si>
  <si>
    <r>
      <t>亞培</t>
    </r>
    <r>
      <rPr>
        <sz val="12"/>
        <color rgb="FF000000"/>
        <rFont val="Times New Roman"/>
        <family val="1"/>
      </rPr>
      <t>(</t>
    </r>
    <r>
      <rPr>
        <sz val="12"/>
        <color rgb="FF000000"/>
        <rFont val="細明體"/>
        <family val="1"/>
        <charset val="136"/>
      </rPr>
      <t>只吃幾包不到一盒</t>
    </r>
    <r>
      <rPr>
        <sz val="12"/>
        <color rgb="FF000000"/>
        <rFont val="Times New Roman"/>
        <family val="1"/>
      </rPr>
      <t>)</t>
    </r>
  </si>
  <si>
    <r>
      <t>能恩水解早產兒配方</t>
    </r>
    <r>
      <rPr>
        <sz val="12"/>
        <color rgb="FF000000"/>
        <rFont val="Times New Roman"/>
        <family val="1"/>
      </rPr>
      <t>(0-</t>
    </r>
    <r>
      <rPr>
        <sz val="12"/>
        <color rgb="FF000000"/>
        <rFont val="細明體"/>
        <family val="1"/>
        <charset val="136"/>
      </rPr>
      <t>出生</t>
    </r>
    <r>
      <rPr>
        <sz val="12"/>
        <color rgb="FF000000"/>
        <rFont val="Times New Roman"/>
        <family val="1"/>
      </rPr>
      <t>1M</t>
    </r>
    <r>
      <rPr>
        <sz val="12"/>
        <color rgb="FF000000"/>
        <rFont val="細明體"/>
        <family val="1"/>
        <charset val="136"/>
      </rPr>
      <t>；</t>
    </r>
    <r>
      <rPr>
        <sz val="12"/>
        <color rgb="FF000000"/>
        <rFont val="Times New Roman"/>
        <family val="1"/>
      </rPr>
      <t>2/10-NOW)</t>
    </r>
    <r>
      <rPr>
        <sz val="12"/>
        <color rgb="FF000000"/>
        <rFont val="細明體"/>
        <family val="1"/>
        <charset val="136"/>
      </rPr>
      <t>、哺力美</t>
    </r>
    <r>
      <rPr>
        <sz val="12"/>
        <color rgb="FF000000"/>
        <rFont val="Times New Roman"/>
        <family val="1"/>
      </rPr>
      <t>(</t>
    </r>
    <r>
      <rPr>
        <sz val="12"/>
        <color rgb="FF000000"/>
        <rFont val="細明體"/>
        <family val="1"/>
        <charset val="136"/>
      </rPr>
      <t>出生</t>
    </r>
    <r>
      <rPr>
        <sz val="12"/>
        <color rgb="FF000000"/>
        <rFont val="Times New Roman"/>
        <family val="1"/>
      </rPr>
      <t>1M-2/10)</t>
    </r>
  </si>
  <si>
    <r>
      <t>2022</t>
    </r>
    <r>
      <rPr>
        <sz val="12"/>
        <color rgb="FF000000"/>
        <rFont val="細明體"/>
        <family val="1"/>
        <charset val="136"/>
      </rPr>
      <t>二月中至二月底期間只喝兩天，各約半罐</t>
    </r>
  </si>
  <si>
    <t>張淯凱</t>
  </si>
  <si>
    <r>
      <t>S26 (</t>
    </r>
    <r>
      <rPr>
        <sz val="12"/>
        <color rgb="FF000000"/>
        <rFont val="細明體"/>
        <family val="1"/>
        <charset val="136"/>
      </rPr>
      <t>金愛兒樂</t>
    </r>
    <r>
      <rPr>
        <sz val="12"/>
        <color rgb="FF000000"/>
        <rFont val="Times New Roman"/>
        <family val="1"/>
      </rPr>
      <t>1</t>
    </r>
    <r>
      <rPr>
        <sz val="12"/>
        <color rgb="FF000000"/>
        <rFont val="細明體"/>
        <family val="1"/>
        <charset val="136"/>
      </rPr>
      <t>號</t>
    </r>
    <r>
      <rPr>
        <sz val="12"/>
        <color rgb="FF000000"/>
        <rFont val="Times New Roman"/>
        <family val="1"/>
      </rPr>
      <t>)</t>
    </r>
  </si>
  <si>
    <t>11/23-NOW</t>
  </si>
  <si>
    <t>李軒宇</t>
  </si>
  <si>
    <t>10/13-NOW</t>
  </si>
  <si>
    <t>10-13-NOW</t>
  </si>
  <si>
    <t>紐崔萊</t>
  </si>
  <si>
    <r>
      <t>維他命</t>
    </r>
    <r>
      <rPr>
        <sz val="12"/>
        <color rgb="FF000000"/>
        <rFont val="Times New Roman"/>
        <family val="1"/>
      </rPr>
      <t>A</t>
    </r>
    <r>
      <rPr>
        <sz val="12"/>
        <color rgb="FF000000"/>
        <rFont val="細明體"/>
        <family val="1"/>
        <charset val="136"/>
      </rPr>
      <t>、維他命</t>
    </r>
    <r>
      <rPr>
        <sz val="12"/>
        <color rgb="FF000000"/>
        <rFont val="Times New Roman"/>
        <family val="1"/>
      </rPr>
      <t>C</t>
    </r>
  </si>
  <si>
    <t>乳清蛋白</t>
  </si>
  <si>
    <t>益富匯</t>
  </si>
  <si>
    <t>瑞肺得膜衣錠</t>
  </si>
  <si>
    <t>溫芸菲</t>
  </si>
  <si>
    <r>
      <t>0.5 (</t>
    </r>
    <r>
      <rPr>
        <sz val="12"/>
        <color rgb="FF000000"/>
        <rFont val="細明體"/>
        <family val="1"/>
        <charset val="136"/>
      </rPr>
      <t>睡覺時是</t>
    </r>
    <r>
      <rPr>
        <sz val="12"/>
        <color rgb="FF000000"/>
        <rFont val="Times New Roman"/>
        <family val="1"/>
      </rPr>
      <t>1)</t>
    </r>
  </si>
  <si>
    <r>
      <t>出生</t>
    </r>
    <r>
      <rPr>
        <sz val="12"/>
        <color rgb="FF000000"/>
        <rFont val="Times New Roman"/>
        <family val="1"/>
      </rPr>
      <t>-4</t>
    </r>
    <r>
      <rPr>
        <sz val="12"/>
        <color rgb="FF000000"/>
        <rFont val="細明體"/>
        <family val="1"/>
        <charset val="136"/>
      </rPr>
      <t>月</t>
    </r>
  </si>
  <si>
    <r>
      <t>4</t>
    </r>
    <r>
      <rPr>
        <sz val="12"/>
        <color rgb="FF000000"/>
        <rFont val="細明體"/>
        <family val="1"/>
        <charset val="136"/>
      </rPr>
      <t>月</t>
    </r>
    <r>
      <rPr>
        <sz val="12"/>
        <color rgb="FF000000"/>
        <rFont val="Times New Roman"/>
        <family val="1"/>
      </rPr>
      <t>-NOW</t>
    </r>
  </si>
  <si>
    <t>心美力早產兒</t>
  </si>
  <si>
    <t>出院前吃寶乖亞；出院後吃醫院開的</t>
  </si>
  <si>
    <r>
      <t>矯</t>
    </r>
    <r>
      <rPr>
        <sz val="12"/>
        <color rgb="FF000000"/>
        <rFont val="Times New Roman"/>
        <family val="1"/>
      </rPr>
      <t>4M(</t>
    </r>
    <r>
      <rPr>
        <sz val="12"/>
        <color rgb="FF000000"/>
        <rFont val="細明體"/>
        <family val="1"/>
        <charset val="136"/>
      </rPr>
      <t>只吃</t>
    </r>
    <r>
      <rPr>
        <sz val="12"/>
        <color rgb="FF000000"/>
        <rFont val="Times New Roman"/>
        <family val="1"/>
      </rPr>
      <t>2</t>
    </r>
    <r>
      <rPr>
        <sz val="12"/>
        <color rgb="FF000000"/>
        <rFont val="細明體"/>
        <family val="1"/>
        <charset val="136"/>
      </rPr>
      <t>天就不吃了，現在是配方奶</t>
    </r>
    <r>
      <rPr>
        <sz val="12"/>
        <color rgb="FF000000"/>
        <rFont val="Times New Roman"/>
        <family val="1"/>
      </rPr>
      <t>)</t>
    </r>
  </si>
  <si>
    <t>林妘溱</t>
  </si>
  <si>
    <t>1+2+4</t>
  </si>
  <si>
    <t>馬英齊</t>
  </si>
  <si>
    <t>諾優貝金版</t>
  </si>
  <si>
    <t>寶乖亞(益生菌)</t>
  </si>
  <si>
    <t>出生6M(矯4M)</t>
  </si>
  <si>
    <t>張軒旻</t>
  </si>
  <si>
    <r>
      <t>林貝兒</t>
    </r>
    <r>
      <rPr>
        <sz val="12"/>
        <color rgb="FF000000"/>
        <rFont val="Times New Roman"/>
        <family val="1"/>
      </rPr>
      <t>(</t>
    </r>
    <r>
      <rPr>
        <sz val="12"/>
        <color rgb="FF000000"/>
        <rFont val="細明體"/>
        <family val="1"/>
        <charset val="136"/>
      </rPr>
      <t>之前是新諾兒水解</t>
    </r>
    <r>
      <rPr>
        <sz val="12"/>
        <color rgb="FF000000"/>
        <rFont val="Times New Roman"/>
        <family val="1"/>
      </rPr>
      <t>)</t>
    </r>
  </si>
  <si>
    <r>
      <t>出生</t>
    </r>
    <r>
      <rPr>
        <sz val="12"/>
        <color rgb="FF000000"/>
        <rFont val="Times New Roman"/>
        <family val="1"/>
      </rPr>
      <t>2M-</t>
    </r>
    <r>
      <rPr>
        <sz val="12"/>
        <color rgb="FF000000"/>
        <rFont val="細明體"/>
        <family val="1"/>
        <charset val="136"/>
      </rPr>
      <t>出生</t>
    </r>
    <r>
      <rPr>
        <sz val="12"/>
        <color rgb="FF000000"/>
        <rFont val="Times New Roman"/>
        <family val="1"/>
      </rPr>
      <t>8M</t>
    </r>
  </si>
  <si>
    <t>張軒侑</t>
  </si>
  <si>
    <r>
      <t>湯尼寶貝</t>
    </r>
    <r>
      <rPr>
        <sz val="12"/>
        <color rgb="FF000000"/>
        <rFont val="Times New Roman"/>
        <family val="1"/>
      </rPr>
      <t>(</t>
    </r>
    <r>
      <rPr>
        <sz val="12"/>
        <color rgb="FF000000"/>
        <rFont val="細明體"/>
        <family val="1"/>
        <charset val="136"/>
      </rPr>
      <t>之前是新諾兒水解</t>
    </r>
    <r>
      <rPr>
        <sz val="12"/>
        <color rgb="FF000000"/>
        <rFont val="Times New Roman"/>
        <family val="1"/>
      </rPr>
      <t>)</t>
    </r>
  </si>
  <si>
    <t>程妘安</t>
  </si>
  <si>
    <r>
      <t>雀巢能恩</t>
    </r>
    <r>
      <rPr>
        <sz val="12"/>
        <color rgb="FF000000"/>
        <rFont val="Times New Roman"/>
        <family val="1"/>
      </rPr>
      <t>(3M-7M</t>
    </r>
    <r>
      <rPr>
        <sz val="12"/>
        <color rgb="FF000000"/>
        <rFont val="細明體"/>
        <family val="1"/>
        <charset val="136"/>
      </rPr>
      <t>完全、</t>
    </r>
    <r>
      <rPr>
        <sz val="12"/>
        <color rgb="FF000000"/>
        <rFont val="Times New Roman"/>
        <family val="1"/>
      </rPr>
      <t>7M-NOW</t>
    </r>
    <r>
      <rPr>
        <sz val="12"/>
        <color rgb="FF000000"/>
        <rFont val="細明體"/>
        <family val="1"/>
        <charset val="136"/>
      </rPr>
      <t>一般</t>
    </r>
    <r>
      <rPr>
        <sz val="12"/>
        <color rgb="FF000000"/>
        <rFont val="Times New Roman"/>
        <family val="1"/>
      </rPr>
      <t>)</t>
    </r>
  </si>
  <si>
    <t>張可</t>
  </si>
  <si>
    <t>2/20-NOW</t>
  </si>
  <si>
    <t>20D-NOW</t>
  </si>
  <si>
    <t>林祐丞</t>
  </si>
  <si>
    <r>
      <t>美強生</t>
    </r>
    <r>
      <rPr>
        <sz val="12"/>
        <color rgb="FF000000"/>
        <rFont val="Times New Roman"/>
        <family val="1"/>
      </rPr>
      <t>A+</t>
    </r>
  </si>
  <si>
    <t>1M-4M</t>
  </si>
  <si>
    <t>許雅萱</t>
  </si>
  <si>
    <r>
      <t>雙胞胎還有一位姊姊。姊姊幼兒園班上有確診停課三天，第三天姊姊發燒、確診</t>
    </r>
    <r>
      <rPr>
        <sz val="12"/>
        <color rgb="FF000000"/>
        <rFont val="Times New Roman"/>
        <family val="1"/>
      </rPr>
      <t>(</t>
    </r>
    <r>
      <rPr>
        <sz val="12"/>
        <color rgb="FF000000"/>
        <rFont val="細明體"/>
        <family val="1"/>
        <charset val="136"/>
      </rPr>
      <t>有</t>
    </r>
    <r>
      <rPr>
        <sz val="12"/>
        <color rgb="FF000000"/>
        <rFont val="Times New Roman"/>
        <family val="1"/>
      </rPr>
      <t>PCR)</t>
    </r>
    <r>
      <rPr>
        <sz val="12"/>
        <color rgb="FF000000"/>
        <rFont val="細明體"/>
        <family val="1"/>
        <charset val="136"/>
      </rPr>
      <t>，後來全家都中了</t>
    </r>
    <r>
      <rPr>
        <sz val="12"/>
        <color rgb="FF000000"/>
        <rFont val="Times New Roman"/>
        <family val="1"/>
      </rPr>
      <t>(5/14-5/16</t>
    </r>
    <r>
      <rPr>
        <sz val="12"/>
        <color rgb="FF000000"/>
        <rFont val="細明體"/>
        <family val="1"/>
        <charset val="136"/>
      </rPr>
      <t>之間，爸爸媽媽有</t>
    </r>
    <r>
      <rPr>
        <sz val="12"/>
        <color rgb="FF000000"/>
        <rFont val="Times New Roman"/>
        <family val="1"/>
      </rPr>
      <t>PCR</t>
    </r>
    <r>
      <rPr>
        <sz val="12"/>
        <color rgb="FF000000"/>
        <rFont val="細明體"/>
        <family val="1"/>
        <charset val="136"/>
      </rPr>
      <t>，雙胞胎快篩</t>
    </r>
    <r>
      <rPr>
        <sz val="12"/>
        <color rgb="FF000000"/>
        <rFont val="Times New Roman"/>
        <family val="1"/>
      </rPr>
      <t>)</t>
    </r>
    <r>
      <rPr>
        <sz val="12"/>
        <color rgb="FF000000"/>
        <rFont val="細明體"/>
        <family val="1"/>
        <charset val="136"/>
      </rPr>
      <t>。算輕症，現在全家大概康復了、快篩也陰性</t>
    </r>
  </si>
  <si>
    <t>腦部有囊腫</t>
  </si>
  <si>
    <r>
      <t>S-26</t>
    </r>
    <r>
      <rPr>
        <sz val="12"/>
        <color rgb="FF000000"/>
        <rFont val="細明體"/>
        <family val="1"/>
        <charset val="136"/>
      </rPr>
      <t>早配</t>
    </r>
    <r>
      <rPr>
        <sz val="12"/>
        <color rgb="FF000000"/>
        <rFont val="Times New Roman"/>
        <family val="1"/>
      </rPr>
      <t>(0-</t>
    </r>
    <r>
      <rPr>
        <sz val="12"/>
        <color rgb="FF000000"/>
        <rFont val="細明體"/>
        <family val="1"/>
        <charset val="136"/>
      </rPr>
      <t>出生</t>
    </r>
    <r>
      <rPr>
        <sz val="12"/>
        <color rgb="FF000000"/>
        <rFont val="Times New Roman"/>
        <family val="1"/>
      </rPr>
      <t>3M)</t>
    </r>
    <r>
      <rPr>
        <sz val="12"/>
        <color rgb="FF000000"/>
        <rFont val="細明體"/>
        <family val="1"/>
        <charset val="136"/>
      </rPr>
      <t>；諾優貝(出生3M-NOW)</t>
    </r>
  </si>
  <si>
    <t>住院-出生3M</t>
  </si>
  <si>
    <t>出生2M-NOW</t>
  </si>
  <si>
    <t>住院-出生2M</t>
  </si>
  <si>
    <t>5/16-5/19</t>
  </si>
  <si>
    <r>
      <t>退燒藥和藥粉</t>
    </r>
    <r>
      <rPr>
        <sz val="12"/>
        <color rgb="FF000000"/>
        <rFont val="Times New Roman"/>
        <family val="1"/>
      </rPr>
      <t>(COVID</t>
    </r>
    <r>
      <rPr>
        <sz val="12"/>
        <color rgb="FF000000"/>
        <rFont val="細明體"/>
        <family val="1"/>
        <charset val="136"/>
      </rPr>
      <t>確診線上看診開的)</t>
    </r>
  </si>
  <si>
    <t>許有誠</t>
  </si>
  <si>
    <t>左側腦室外擴</t>
  </si>
  <si>
    <r>
      <t>S-26</t>
    </r>
    <r>
      <rPr>
        <sz val="12"/>
        <color rgb="FF000000"/>
        <rFont val="細明體"/>
        <family val="1"/>
        <charset val="136"/>
      </rPr>
      <t>早配</t>
    </r>
    <r>
      <rPr>
        <sz val="12"/>
        <color rgb="FF000000"/>
        <rFont val="Times New Roman"/>
        <family val="1"/>
      </rPr>
      <t>(0-</t>
    </r>
    <r>
      <rPr>
        <sz val="12"/>
        <color rgb="FF000000"/>
        <rFont val="細明體"/>
        <family val="1"/>
        <charset val="136"/>
      </rPr>
      <t>出院後喝半罐</t>
    </r>
    <r>
      <rPr>
        <sz val="12"/>
        <color rgb="FF000000"/>
        <rFont val="Times New Roman"/>
        <family val="1"/>
      </rPr>
      <t>)</t>
    </r>
    <r>
      <rPr>
        <sz val="12"/>
        <color rgb="FF000000"/>
        <rFont val="細明體"/>
        <family val="1"/>
        <charset val="136"/>
      </rPr>
      <t>、能恩早配</t>
    </r>
    <r>
      <rPr>
        <sz val="12"/>
        <color rgb="FF000000"/>
        <rFont val="Times New Roman"/>
        <family val="1"/>
      </rPr>
      <t>(</t>
    </r>
    <r>
      <rPr>
        <sz val="12"/>
        <color rgb="FF000000"/>
        <rFont val="細明體"/>
        <family val="1"/>
        <charset val="136"/>
      </rPr>
      <t>出院</t>
    </r>
    <r>
      <rPr>
        <sz val="12"/>
        <color rgb="FF000000"/>
        <rFont val="Times New Roman"/>
        <family val="1"/>
      </rPr>
      <t>S-26</t>
    </r>
    <r>
      <rPr>
        <sz val="12"/>
        <color rgb="FF000000"/>
        <rFont val="細明體"/>
        <family val="1"/>
        <charset val="136"/>
      </rPr>
      <t>後接著一直到</t>
    </r>
    <r>
      <rPr>
        <sz val="12"/>
        <color rgb="FF000000"/>
        <rFont val="Times New Roman"/>
        <family val="1"/>
      </rPr>
      <t>2022/4</t>
    </r>
    <r>
      <rPr>
        <sz val="12"/>
        <color rgb="FF000000"/>
        <rFont val="細明體"/>
        <family val="1"/>
        <charset val="136"/>
      </rPr>
      <t>；期間試過</t>
    </r>
    <r>
      <rPr>
        <sz val="12"/>
        <color rgb="FF000000"/>
        <rFont val="Times New Roman"/>
        <family val="1"/>
      </rPr>
      <t xml:space="preserve">1. </t>
    </r>
    <r>
      <rPr>
        <sz val="12"/>
        <color rgb="FF000000"/>
        <rFont val="細明體"/>
        <family val="1"/>
        <charset val="136"/>
      </rPr>
      <t>美強生純睿</t>
    </r>
    <r>
      <rPr>
        <sz val="12"/>
        <color rgb="FF000000"/>
        <rFont val="Times New Roman"/>
        <family val="1"/>
      </rPr>
      <t xml:space="preserve">2022/1 </t>
    </r>
    <r>
      <rPr>
        <sz val="12"/>
        <color rgb="FF000000"/>
        <rFont val="細明體"/>
        <family val="1"/>
        <charset val="136"/>
      </rPr>
      <t>喝一週、啟賦</t>
    </r>
    <r>
      <rPr>
        <sz val="12"/>
        <color rgb="FF000000"/>
        <rFont val="Times New Roman"/>
        <family val="1"/>
      </rPr>
      <t>2022/1-2</t>
    </r>
    <r>
      <rPr>
        <sz val="12"/>
        <color rgb="FF000000"/>
        <rFont val="細明體"/>
        <family val="1"/>
        <charset val="136"/>
      </rPr>
      <t>過年左右</t>
    </r>
    <r>
      <rPr>
        <sz val="12"/>
        <color rgb="FF000000"/>
        <rFont val="Times New Roman"/>
        <family val="1"/>
      </rPr>
      <t>)</t>
    </r>
    <r>
      <rPr>
        <sz val="12"/>
        <color rgb="FF000000"/>
        <rFont val="細明體"/>
        <family val="1"/>
        <charset val="136"/>
      </rPr>
      <t>、諾優貝</t>
    </r>
    <r>
      <rPr>
        <sz val="12"/>
        <color rgb="FF000000"/>
        <rFont val="Times New Roman"/>
        <family val="1"/>
      </rPr>
      <t>(2022/4-NOW)</t>
    </r>
  </si>
  <si>
    <t>洪梓桓</t>
  </si>
  <si>
    <r>
      <t>0-</t>
    </r>
    <r>
      <rPr>
        <sz val="12"/>
        <color rgb="FF000000"/>
        <rFont val="細明體"/>
        <family val="1"/>
        <charset val="136"/>
      </rPr>
      <t>矯</t>
    </r>
    <r>
      <rPr>
        <sz val="12"/>
        <color rgb="FF000000"/>
        <rFont val="Times New Roman"/>
        <family val="1"/>
      </rPr>
      <t>10M</t>
    </r>
  </si>
  <si>
    <r>
      <t>矯</t>
    </r>
    <r>
      <rPr>
        <sz val="12"/>
        <color rgb="FF000000"/>
        <rFont val="Times New Roman"/>
        <family val="1"/>
      </rPr>
      <t>10M-NOW</t>
    </r>
  </si>
  <si>
    <t>亞培小安素</t>
  </si>
  <si>
    <r>
      <t>矯</t>
    </r>
    <r>
      <rPr>
        <sz val="12"/>
        <color rgb="FF000000"/>
        <rFont val="Times New Roman"/>
        <family val="1"/>
      </rPr>
      <t>4M-</t>
    </r>
    <r>
      <rPr>
        <sz val="12"/>
        <color rgb="FF000000"/>
        <rFont val="細明體"/>
        <family val="1"/>
        <charset val="136"/>
      </rPr>
      <t>矯</t>
    </r>
    <r>
      <rPr>
        <sz val="12"/>
        <color rgb="FF000000"/>
        <rFont val="Times New Roman"/>
        <family val="1"/>
      </rPr>
      <t>6M</t>
    </r>
  </si>
  <si>
    <t>黃星皓</t>
  </si>
  <si>
    <r>
      <t>1(</t>
    </r>
    <r>
      <rPr>
        <sz val="12"/>
        <color rgb="FF000000"/>
        <rFont val="細明體"/>
        <family val="1"/>
        <charset val="136"/>
      </rPr>
      <t>懷孕四周以前是</t>
    </r>
    <r>
      <rPr>
        <sz val="12"/>
        <color rgb="FF000000"/>
        <rFont val="Times New Roman"/>
        <family val="1"/>
      </rPr>
      <t>5)</t>
    </r>
  </si>
  <si>
    <t>0-2D</t>
  </si>
  <si>
    <t>亞培早配；雀巢能恩水解早配；佑爾康貝親</t>
  </si>
  <si>
    <r>
      <t>出生</t>
    </r>
    <r>
      <rPr>
        <sz val="12"/>
        <color rgb="FF000000"/>
        <rFont val="Times New Roman"/>
        <family val="1"/>
      </rPr>
      <t>1M</t>
    </r>
    <r>
      <rPr>
        <sz val="12"/>
        <color rgb="FF000000"/>
        <rFont val="細明體"/>
        <family val="1"/>
        <charset val="136"/>
      </rPr>
      <t>內</t>
    </r>
    <r>
      <rPr>
        <sz val="12"/>
        <color rgb="FF000000"/>
        <rFont val="Times New Roman"/>
        <family val="1"/>
      </rPr>
      <t>-NOW</t>
    </r>
  </si>
  <si>
    <t>出生1M內-NOW</t>
  </si>
  <si>
    <t>出生3M-出生4M</t>
  </si>
  <si>
    <t>醫生開的；寶乖亞</t>
  </si>
  <si>
    <t>揚軒亦</t>
  </si>
  <si>
    <t>莊宸語</t>
  </si>
  <si>
    <t>啟賦早配</t>
  </si>
  <si>
    <r>
      <t>寶乖亞</t>
    </r>
    <r>
      <rPr>
        <sz val="12"/>
        <color rgb="FF000000"/>
        <rFont val="Times New Roman"/>
        <family val="1"/>
      </rPr>
      <t>+</t>
    </r>
    <r>
      <rPr>
        <sz val="12"/>
        <color rgb="FF000000"/>
        <rFont val="細明體"/>
        <family val="1"/>
        <charset val="136"/>
      </rPr>
      <t>醫院開的</t>
    </r>
  </si>
  <si>
    <t>莊宸銨</t>
  </si>
  <si>
    <t>莊士凱</t>
  </si>
  <si>
    <t>綜合營養素</t>
  </si>
  <si>
    <t>2021/12/27-NOW</t>
  </si>
  <si>
    <t>戴幕恩</t>
  </si>
  <si>
    <r>
      <t xml:space="preserve">2022/1/19 </t>
    </r>
    <r>
      <rPr>
        <sz val="12"/>
        <color rgb="FF000000"/>
        <rFont val="細明體"/>
        <family val="1"/>
        <charset val="136"/>
      </rPr>
      <t>一般感冒有發燒</t>
    </r>
  </si>
  <si>
    <t>0-2021/2</t>
  </si>
  <si>
    <r>
      <t>亞培早產兒</t>
    </r>
    <r>
      <rPr>
        <sz val="12"/>
        <color rgb="FF000000"/>
        <rFont val="Times New Roman"/>
        <family val="1"/>
      </rPr>
      <t>(</t>
    </r>
    <r>
      <rPr>
        <sz val="12"/>
        <color rgb="FF000000"/>
        <rFont val="細明體"/>
        <family val="1"/>
        <charset val="136"/>
      </rPr>
      <t>出生</t>
    </r>
    <r>
      <rPr>
        <sz val="12"/>
        <color rgb="FF000000"/>
        <rFont val="Times New Roman"/>
        <family val="1"/>
      </rPr>
      <t>-2021/2/14)</t>
    </r>
    <r>
      <rPr>
        <sz val="12"/>
        <color rgb="FF000000"/>
        <rFont val="細明體"/>
        <family val="1"/>
        <charset val="136"/>
      </rPr>
      <t>；安素</t>
    </r>
    <r>
      <rPr>
        <sz val="12"/>
        <color rgb="FF000000"/>
        <rFont val="Times New Roman"/>
        <family val="1"/>
      </rPr>
      <t>(2021/2/14-NOW)</t>
    </r>
  </si>
  <si>
    <t>2021/11-NOW</t>
  </si>
  <si>
    <t>益腸敏</t>
  </si>
  <si>
    <r>
      <t>感冒藥</t>
    </r>
    <r>
      <rPr>
        <sz val="12"/>
        <color rgb="FF000000"/>
        <rFont val="Times New Roman"/>
        <family val="1"/>
      </rPr>
      <t>(</t>
    </r>
    <r>
      <rPr>
        <sz val="12"/>
        <color rgb="FF000000"/>
        <rFont val="細明體"/>
        <family val="1"/>
        <charset val="136"/>
      </rPr>
      <t>趁媽媽不注意偷玩貓咪集水器，有發燒</t>
    </r>
    <r>
      <rPr>
        <sz val="12"/>
        <color rgb="FF000000"/>
        <rFont val="Times New Roman"/>
        <family val="1"/>
      </rPr>
      <t>)</t>
    </r>
  </si>
  <si>
    <t>戴慕依</t>
  </si>
  <si>
    <t>0-2021/1</t>
  </si>
  <si>
    <t>亞培早產兒</t>
  </si>
  <si>
    <t>陳沛蕎</t>
  </si>
  <si>
    <t>李沅芫</t>
  </si>
  <si>
    <t>0-1W</t>
  </si>
  <si>
    <t>1W-NOW</t>
  </si>
  <si>
    <r>
      <t>寶乖亞</t>
    </r>
    <r>
      <rPr>
        <sz val="12"/>
        <color rgb="FF000000"/>
        <rFont val="Times New Roman"/>
        <family val="1"/>
      </rPr>
      <t>+</t>
    </r>
    <r>
      <rPr>
        <sz val="12"/>
        <color rgb="FF000000"/>
        <rFont val="細明體"/>
        <family val="1"/>
        <charset val="136"/>
      </rPr>
      <t>卡蘿琳</t>
    </r>
  </si>
  <si>
    <t>蘇唯愷</t>
  </si>
  <si>
    <r>
      <t>出生</t>
    </r>
    <r>
      <rPr>
        <sz val="12"/>
        <color rgb="FF000000"/>
        <rFont val="Times New Roman"/>
        <family val="1"/>
      </rPr>
      <t>1Y-NOW</t>
    </r>
  </si>
  <si>
    <t>啟賦、明治、雪印</t>
  </si>
  <si>
    <t>108/11-109/9</t>
  </si>
  <si>
    <r>
      <t>108/11-</t>
    </r>
    <r>
      <rPr>
        <sz val="12"/>
        <color rgb="FF000000"/>
        <rFont val="細明體"/>
        <family val="1"/>
        <charset val="136"/>
      </rPr>
      <t>矯</t>
    </r>
    <r>
      <rPr>
        <sz val="12"/>
        <color rgb="FF000000"/>
        <rFont val="Times New Roman"/>
        <family val="1"/>
      </rPr>
      <t>1.5Y</t>
    </r>
  </si>
  <si>
    <r>
      <t>寶乖亞純</t>
    </r>
    <r>
      <rPr>
        <sz val="12"/>
        <color rgb="FF000000"/>
        <rFont val="Times New Roman"/>
        <family val="1"/>
      </rPr>
      <t>D</t>
    </r>
  </si>
  <si>
    <r>
      <t>益妙兒糖漿</t>
    </r>
    <r>
      <rPr>
        <sz val="12"/>
        <color rgb="FF000000"/>
        <rFont val="Times New Roman"/>
        <family val="1"/>
      </rPr>
      <t>(</t>
    </r>
    <r>
      <rPr>
        <sz val="12"/>
        <color rgb="FF000000"/>
        <rFont val="細明體"/>
        <family val="1"/>
        <charset val="136"/>
      </rPr>
      <t>鋅</t>
    </r>
    <r>
      <rPr>
        <sz val="12"/>
        <color rgb="FF000000"/>
        <rFont val="Times New Roman"/>
        <family val="1"/>
      </rPr>
      <t>+</t>
    </r>
    <r>
      <rPr>
        <sz val="12"/>
        <color rgb="FF000000"/>
        <rFont val="細明體"/>
        <family val="1"/>
        <charset val="136"/>
      </rPr>
      <t>維生素</t>
    </r>
    <r>
      <rPr>
        <sz val="12"/>
        <color rgb="FF000000"/>
        <rFont val="Times New Roman"/>
        <family val="1"/>
      </rPr>
      <t>C</t>
    </r>
    <r>
      <rPr>
        <sz val="12"/>
        <color rgb="FF000000"/>
        <rFont val="細明體"/>
        <family val="1"/>
        <charset val="136"/>
      </rPr>
      <t>糖漿</t>
    </r>
    <r>
      <rPr>
        <sz val="12"/>
        <color rgb="FF000000"/>
        <rFont val="Times New Roman"/>
        <family val="1"/>
      </rPr>
      <t>)</t>
    </r>
  </si>
  <si>
    <t>躍聯</t>
  </si>
  <si>
    <r>
      <t>12/20</t>
    </r>
    <r>
      <rPr>
        <sz val="12"/>
        <color rgb="FF000000"/>
        <rFont val="細明體"/>
        <family val="1"/>
        <charset val="136"/>
      </rPr>
      <t>晚</t>
    </r>
    <r>
      <rPr>
        <sz val="12"/>
        <color rgb="FF000000"/>
        <rFont val="Times New Roman"/>
        <family val="1"/>
      </rPr>
      <t>-12/23</t>
    </r>
    <r>
      <rPr>
        <sz val="12"/>
        <color rgb="FF000000"/>
        <rFont val="細明體"/>
        <family val="1"/>
        <charset val="136"/>
      </rPr>
      <t>早</t>
    </r>
  </si>
  <si>
    <r>
      <t>急性蕁麻診藥</t>
    </r>
    <r>
      <rPr>
        <sz val="12"/>
        <color rgb="FF000000"/>
        <rFont val="Times New Roman"/>
        <family val="1"/>
      </rPr>
      <t>+</t>
    </r>
    <r>
      <rPr>
        <sz val="12"/>
        <color rgb="FF000000"/>
        <rFont val="細明體"/>
        <family val="1"/>
        <charset val="136"/>
      </rPr>
      <t>希普利敏</t>
    </r>
  </si>
  <si>
    <t>張洛菲</t>
  </si>
  <si>
    <r>
      <t>0-</t>
    </r>
    <r>
      <rPr>
        <sz val="12"/>
        <color rgb="FF000000"/>
        <rFont val="細明體"/>
        <family val="1"/>
        <charset val="136"/>
      </rPr>
      <t>出生3.5M</t>
    </r>
  </si>
  <si>
    <r>
      <t>0-NOW</t>
    </r>
    <r>
      <rPr>
        <sz val="12"/>
        <color rgb="FF000000"/>
        <rFont val="細明體"/>
        <family val="1"/>
        <charset val="136"/>
      </rPr>
      <t>；</t>
    </r>
    <r>
      <rPr>
        <sz val="12"/>
        <color rgb="FF000000"/>
        <rFont val="Times New Roman"/>
        <family val="1"/>
      </rPr>
      <t>5/27-NOW</t>
    </r>
  </si>
  <si>
    <t>寶乖亞(益生菌+D)；妙可適</t>
  </si>
  <si>
    <t>葉黃素；鈣；DHA</t>
  </si>
  <si>
    <t>6/15-NOW(這幾天才開始吃)；矯4M-NOW(吃了一個半月)；矯4M-NOW(吃了一個半月)</t>
  </si>
  <si>
    <t>日比野；日比野；日比野</t>
  </si>
  <si>
    <t>張淳軒</t>
  </si>
  <si>
    <t>蕭翊展</t>
  </si>
  <si>
    <t>1M-4.5M</t>
  </si>
  <si>
    <t>滴兒樂</t>
  </si>
  <si>
    <r>
      <t>寶乖亞</t>
    </r>
    <r>
      <rPr>
        <sz val="12"/>
        <color rgb="FF000000"/>
        <rFont val="Times New Roman"/>
        <family val="1"/>
      </rPr>
      <t>(4.5M-NOW)</t>
    </r>
    <r>
      <rPr>
        <sz val="12"/>
        <color rgb="FF000000"/>
        <rFont val="細明體"/>
        <family val="1"/>
        <charset val="136"/>
      </rPr>
      <t>；滴兒樂</t>
    </r>
    <r>
      <rPr>
        <sz val="12"/>
        <color rgb="FF000000"/>
        <rFont val="Times New Roman"/>
        <family val="1"/>
      </rPr>
      <t>(1M-4.5M)</t>
    </r>
  </si>
  <si>
    <t>許展綸</t>
  </si>
  <si>
    <r>
      <t>住院</t>
    </r>
    <r>
      <rPr>
        <sz val="12"/>
        <color rgb="FF000000"/>
        <rFont val="Times New Roman"/>
        <family val="1"/>
      </rPr>
      <t>-</t>
    </r>
    <r>
      <rPr>
        <sz val="12"/>
        <color rgb="FF000000"/>
        <rFont val="細明體"/>
        <family val="1"/>
        <charset val="136"/>
      </rPr>
      <t>矯</t>
    </r>
    <r>
      <rPr>
        <sz val="12"/>
        <color rgb="FF000000"/>
        <rFont val="Times New Roman"/>
        <family val="1"/>
      </rPr>
      <t>4M</t>
    </r>
  </si>
  <si>
    <t>遲睿奇</t>
  </si>
  <si>
    <t>吳星言</t>
  </si>
  <si>
    <t>2022/7/10 COVID19</t>
  </si>
  <si>
    <r>
      <t>0-</t>
    </r>
    <r>
      <rPr>
        <sz val="12"/>
        <color rgb="FF000000"/>
        <rFont val="細明體"/>
        <family val="1"/>
        <charset val="136"/>
      </rPr>
      <t>出院</t>
    </r>
    <r>
      <rPr>
        <sz val="12"/>
        <color rgb="FF000000"/>
        <rFont val="Times New Roman"/>
        <family val="1"/>
      </rPr>
      <t>(10/30)</t>
    </r>
  </si>
  <si>
    <t>3/3-NOW</t>
  </si>
  <si>
    <r>
      <t>3</t>
    </r>
    <r>
      <rPr>
        <sz val="12"/>
        <color rgb="FF000000"/>
        <rFont val="細明體"/>
        <family val="1"/>
        <charset val="136"/>
      </rPr>
      <t>月</t>
    </r>
    <r>
      <rPr>
        <sz val="12"/>
        <color rgb="FF000000"/>
        <rFont val="Times New Roman"/>
        <family val="1"/>
      </rPr>
      <t>-NOW</t>
    </r>
  </si>
  <si>
    <r>
      <t>3</t>
    </r>
    <r>
      <rPr>
        <sz val="12"/>
        <color rgb="FF000000"/>
        <rFont val="細明體"/>
        <family val="1"/>
        <charset val="136"/>
      </rPr>
      <t>月-NOW</t>
    </r>
  </si>
  <si>
    <r>
      <t>2022</t>
    </r>
    <r>
      <rPr>
        <sz val="12"/>
        <color rgb="FF000000"/>
        <rFont val="細明體"/>
        <family val="1"/>
        <charset val="136"/>
      </rPr>
      <t>年</t>
    </r>
    <r>
      <rPr>
        <sz val="12"/>
        <color rgb="FF000000"/>
        <rFont val="Times New Roman"/>
        <family val="1"/>
      </rPr>
      <t>3</t>
    </r>
    <r>
      <rPr>
        <sz val="12"/>
        <color rgb="FF000000"/>
        <rFont val="細明體"/>
        <family val="1"/>
        <charset val="136"/>
      </rPr>
      <t>月</t>
    </r>
  </si>
  <si>
    <t>楊秀燁</t>
  </si>
  <si>
    <t>12/4-NOW</t>
  </si>
  <si>
    <t>能恩水解早配</t>
  </si>
  <si>
    <r>
      <t>12/4-NOW(</t>
    </r>
    <r>
      <rPr>
        <sz val="12"/>
        <color rgb="FF000000"/>
        <rFont val="細明體"/>
        <family val="1"/>
        <charset val="136"/>
      </rPr>
      <t>住院時間不確定</t>
    </r>
    <r>
      <rPr>
        <sz val="12"/>
        <color rgb="FF000000"/>
        <rFont val="Times New Roman"/>
        <family val="1"/>
      </rPr>
      <t>)</t>
    </r>
  </si>
  <si>
    <t>吳芊霈</t>
  </si>
  <si>
    <r>
      <t>美強生優生</t>
    </r>
    <r>
      <rPr>
        <sz val="12"/>
        <color rgb="FF000000"/>
        <rFont val="Times New Roman"/>
        <family val="1"/>
      </rPr>
      <t>A+</t>
    </r>
    <r>
      <rPr>
        <sz val="12"/>
        <color rgb="FF000000"/>
        <rFont val="細明體"/>
        <family val="1"/>
        <charset val="136"/>
      </rPr>
      <t>；</t>
    </r>
    <r>
      <rPr>
        <sz val="12"/>
        <color rgb="FF000000"/>
        <rFont val="Times New Roman"/>
        <family val="1"/>
      </rPr>
      <t>4M</t>
    </r>
    <r>
      <rPr>
        <sz val="12"/>
        <color rgb="FF000000"/>
        <rFont val="細明體"/>
        <family val="1"/>
        <charset val="136"/>
      </rPr>
      <t>前是雀巢能恩水解</t>
    </r>
  </si>
  <si>
    <r>
      <t>寶乖亞</t>
    </r>
    <r>
      <rPr>
        <sz val="12"/>
        <color rgb="FF000000"/>
        <rFont val="Times New Roman"/>
        <family val="1"/>
      </rPr>
      <t>(1M-6M)</t>
    </r>
    <r>
      <rPr>
        <sz val="12"/>
        <color rgb="FF000000"/>
        <rFont val="細明體"/>
        <family val="1"/>
        <charset val="136"/>
      </rPr>
      <t>；卡蘿琳</t>
    </r>
    <r>
      <rPr>
        <sz val="12"/>
        <color rgb="FF000000"/>
        <rFont val="Times New Roman"/>
        <family val="1"/>
      </rPr>
      <t>(3M-NOW)</t>
    </r>
  </si>
  <si>
    <t>全昱順</t>
  </si>
  <si>
    <t>呼吸困難</t>
  </si>
  <si>
    <t>雀巢早配</t>
  </si>
  <si>
    <t>醫院好像有開的樣子</t>
  </si>
  <si>
    <t>余宣霆</t>
  </si>
  <si>
    <r>
      <t>S26</t>
    </r>
    <r>
      <rPr>
        <sz val="12"/>
        <color rgb="FF000000"/>
        <rFont val="細明體"/>
        <family val="1"/>
        <charset val="136"/>
      </rPr>
      <t>金幼兒樂(0-2M)；S26鉑臻(2M-5M)；雀巢能恩水解全護(5M-NOW)</t>
    </r>
  </si>
  <si>
    <r>
      <t>Double Power(0-4M)</t>
    </r>
    <r>
      <rPr>
        <sz val="12"/>
        <color rgb="FF000000"/>
        <rFont val="細明體"/>
        <family val="1"/>
        <charset val="136"/>
      </rPr>
      <t>；寶乖亞(2M-NOW)</t>
    </r>
  </si>
  <si>
    <t>3/7-NOW</t>
  </si>
  <si>
    <t>希普利敏(3/7-3/30 偶爾)；喘安錠(3/30-NOW 2天吃半顆)；勝克敏液(3/30-NOW 每天)；舒鼻適(3/7-NOW)；思咳寧(3/7-NOW)</t>
  </si>
  <si>
    <t>丁仁竣</t>
  </si>
  <si>
    <t>啟賦+明治</t>
  </si>
  <si>
    <t>蔡政品</t>
  </si>
  <si>
    <r>
      <t>S26</t>
    </r>
    <r>
      <rPr>
        <sz val="12"/>
        <color rgb="FF000000"/>
        <rFont val="細明體"/>
        <family val="1"/>
        <charset val="136"/>
      </rPr>
      <t>資兒樂</t>
    </r>
  </si>
  <si>
    <t>賴芃淩</t>
  </si>
  <si>
    <t>0-12D</t>
  </si>
  <si>
    <t>啟賦(住院期間)；諾優能1號(出院之後)</t>
  </si>
  <si>
    <t>吃了一個月</t>
  </si>
  <si>
    <t>4/5~8</t>
  </si>
  <si>
    <t>感冒藥</t>
  </si>
  <si>
    <t>蘇湘荑</t>
  </si>
  <si>
    <t>AR</t>
  </si>
  <si>
    <r>
      <t>1-6M(</t>
    </r>
    <r>
      <rPr>
        <sz val="12"/>
        <color rgb="FF000000"/>
        <rFont val="細明體"/>
        <family val="1"/>
        <charset val="136"/>
      </rPr>
      <t>斷斷續續</t>
    </r>
    <r>
      <rPr>
        <sz val="12"/>
        <color rgb="FF000000"/>
        <rFont val="Times New Roman"/>
        <family val="1"/>
      </rPr>
      <t>)</t>
    </r>
  </si>
  <si>
    <t>卡羅琳</t>
  </si>
  <si>
    <t>方沐臣</t>
  </si>
  <si>
    <t>亞培心美力(吃到3000g)</t>
  </si>
  <si>
    <t>0-矯5M1D (3/29)</t>
  </si>
  <si>
    <t>___-NOW(看病歷，神經內科開的)</t>
  </si>
  <si>
    <r>
      <t>B12(for</t>
    </r>
    <r>
      <rPr>
        <sz val="12"/>
        <color rgb="FF000000"/>
        <rFont val="細明體"/>
        <family val="1"/>
        <charset val="136"/>
      </rPr>
      <t>大腦)</t>
    </r>
  </si>
  <si>
    <t>游珈語</t>
  </si>
  <si>
    <t>許宸燁</t>
  </si>
  <si>
    <t>能恩水解3號</t>
  </si>
  <si>
    <t>林霏</t>
  </si>
  <si>
    <t>啟賦(先前有試過:S-26、能恩、優生)</t>
  </si>
  <si>
    <t>張梓婕</t>
  </si>
  <si>
    <t>AD</t>
  </si>
  <si>
    <t>媽媽有重症肌無力，寶寶剛出生時有跡象但後來沒有</t>
  </si>
  <si>
    <t>5M-NOW</t>
  </si>
  <si>
    <t>廖品澔</t>
  </si>
  <si>
    <t>張粟九</t>
  </si>
  <si>
    <t>邱楟茵</t>
  </si>
  <si>
    <t>2M-5M</t>
  </si>
  <si>
    <t>北歐天然貝比D</t>
  </si>
  <si>
    <t>吳羽希</t>
  </si>
  <si>
    <t>貝比卡爾</t>
  </si>
  <si>
    <r>
      <t>0-</t>
    </r>
    <r>
      <rPr>
        <sz val="12"/>
        <color rgb="FF000000"/>
        <rFont val="細明體"/>
        <family val="1"/>
        <charset val="136"/>
      </rPr>
      <t>矯4M</t>
    </r>
  </si>
  <si>
    <t>住院-出生4M</t>
  </si>
  <si>
    <t>出院-矯4M</t>
  </si>
  <si>
    <r>
      <t>2022</t>
    </r>
    <r>
      <rPr>
        <sz val="12"/>
        <color rgb="FF000000"/>
        <rFont val="細明體"/>
        <family val="1"/>
        <charset val="136"/>
      </rPr>
      <t>七月</t>
    </r>
  </si>
  <si>
    <t>李沄芮</t>
  </si>
  <si>
    <t>7/30~2/21</t>
  </si>
  <si>
    <t>7/27-NOW</t>
  </si>
  <si>
    <r>
      <t>優生</t>
    </r>
    <r>
      <rPr>
        <sz val="12"/>
        <color rgb="FF000000"/>
        <rFont val="Times New Roman"/>
        <family val="1"/>
      </rPr>
      <t>A+ (10/29~NOW)</t>
    </r>
    <r>
      <rPr>
        <sz val="12"/>
        <color rgb="FF000000"/>
        <rFont val="細明體"/>
        <family val="1"/>
        <charset val="136"/>
      </rPr>
      <t>；亞培早配(7/27-10/28)</t>
    </r>
  </si>
  <si>
    <t>8/25-NOW</t>
  </si>
  <si>
    <t>8/24-NOW</t>
  </si>
  <si>
    <t>陳以芯</t>
  </si>
  <si>
    <r>
      <t>2022/6/5 CoVID-19</t>
    </r>
    <r>
      <rPr>
        <sz val="12"/>
        <color rgb="FF000000"/>
        <rFont val="細明體"/>
        <family val="1"/>
        <charset val="136"/>
      </rPr>
      <t>確診</t>
    </r>
  </si>
  <si>
    <r>
      <t>0-</t>
    </r>
    <r>
      <rPr>
        <sz val="12"/>
        <color rgb="FF000000"/>
        <rFont val="細明體"/>
        <family val="1"/>
        <charset val="136"/>
      </rPr>
      <t>出生2M</t>
    </r>
  </si>
  <si>
    <t>亞培心美力水解(6月左右換的)；亞培心美力</t>
  </si>
  <si>
    <t>出院-NOW</t>
  </si>
  <si>
    <t>7/16-7/17</t>
  </si>
  <si>
    <t>感冒藥(有鼻涕；沒有說一定要吃完應該沒有抗生素)</t>
  </si>
  <si>
    <r>
      <t>2022</t>
    </r>
    <r>
      <rPr>
        <sz val="12"/>
        <color rgb="FF000000"/>
        <rFont val="細明體"/>
        <family val="1"/>
        <charset val="136"/>
      </rPr>
      <t>六月底</t>
    </r>
  </si>
  <si>
    <t>周禾羽</t>
  </si>
  <si>
    <r>
      <t>雀巢能恩</t>
    </r>
    <r>
      <rPr>
        <sz val="12"/>
        <color rgb="FF000000"/>
        <rFont val="Times New Roman"/>
        <family val="1"/>
      </rPr>
      <t>2</t>
    </r>
    <r>
      <rPr>
        <sz val="12"/>
        <color rgb="FF000000"/>
        <rFont val="細明體"/>
        <family val="1"/>
        <charset val="136"/>
      </rPr>
      <t>號</t>
    </r>
  </si>
  <si>
    <t>3/7-3/13</t>
  </si>
  <si>
    <t>彭楀涵</t>
  </si>
  <si>
    <t>惠氏、雀巢</t>
  </si>
  <si>
    <t>1M-2M</t>
  </si>
  <si>
    <t>葉瑀渟</t>
  </si>
  <si>
    <t>陳莯莚</t>
  </si>
  <si>
    <t>2021/11/20-NOW</t>
  </si>
  <si>
    <r>
      <t>D</t>
    </r>
    <r>
      <rPr>
        <sz val="12"/>
        <color rgb="FF000000"/>
        <rFont val="細明體"/>
        <family val="1"/>
        <charset val="136"/>
      </rPr>
      <t>益康</t>
    </r>
  </si>
  <si>
    <t>劉芮羽</t>
  </si>
  <si>
    <r>
      <t>0-2021-10</t>
    </r>
    <r>
      <rPr>
        <sz val="12"/>
        <color rgb="FF000000"/>
        <rFont val="細明體"/>
        <family val="1"/>
        <charset val="136"/>
      </rPr>
      <t>月中</t>
    </r>
  </si>
  <si>
    <t>啟賦1號(出生:亞培心美力早產兒配方；9月中:啟賦水解1號；10月中左右:能恩水解早產兒；11月底:啟賦水解1號；1月前後:啟賦1號)</t>
  </si>
  <si>
    <r>
      <t>10/24-NOW (10/24</t>
    </r>
    <r>
      <rPr>
        <sz val="12"/>
        <color rgb="FF000000"/>
        <rFont val="細明體"/>
        <family val="1"/>
        <charset val="136"/>
      </rPr>
      <t>吃一陣子不到一罐就停了，2/5開始又吃吃到現在)</t>
    </r>
  </si>
  <si>
    <r>
      <t>2022</t>
    </r>
    <r>
      <rPr>
        <sz val="12"/>
        <color rgb="FF000000"/>
        <rFont val="細明體"/>
        <family val="1"/>
        <charset val="136"/>
      </rPr>
      <t>二月底左右</t>
    </r>
  </si>
  <si>
    <t>曾歆喬</t>
  </si>
  <si>
    <t>5M-6M</t>
  </si>
  <si>
    <t>馨貝比</t>
  </si>
  <si>
    <r>
      <t>1M-3M</t>
    </r>
    <r>
      <rPr>
        <sz val="12"/>
        <color rgb="FF000000"/>
        <rFont val="細明體"/>
        <family val="1"/>
        <charset val="136"/>
      </rPr>
      <t>；6M-NOW</t>
    </r>
  </si>
  <si>
    <t>寶乖亞(益生菌+D)；寶乖亞(益生菌+D)</t>
  </si>
  <si>
    <t>陳律萱</t>
  </si>
  <si>
    <t>血管瘤</t>
  </si>
  <si>
    <t>出生-出生4M</t>
  </si>
  <si>
    <t>雪印</t>
  </si>
  <si>
    <r>
      <t>0-</t>
    </r>
    <r>
      <rPr>
        <sz val="12"/>
        <color rgb="FF000000"/>
        <rFont val="細明體"/>
        <family val="1"/>
        <charset val="136"/>
      </rPr>
      <t>出生</t>
    </r>
    <r>
      <rPr>
        <sz val="12"/>
        <color rgb="FF000000"/>
        <rFont val="Times New Roman"/>
        <family val="1"/>
      </rPr>
      <t>3M</t>
    </r>
    <r>
      <rPr>
        <sz val="12"/>
        <color rgb="FF000000"/>
        <rFont val="細明體"/>
        <family val="1"/>
        <charset val="136"/>
      </rPr>
      <t>；出生3M-NOW</t>
    </r>
  </si>
  <si>
    <t>醫院開的；寶乖亞(益生菌+D)</t>
  </si>
  <si>
    <t>出生4.5M</t>
  </si>
  <si>
    <t>李梓珈</t>
  </si>
  <si>
    <t>謝玥涵</t>
  </si>
  <si>
    <t>小感冒(3/30-4/6)</t>
  </si>
  <si>
    <r>
      <t>S26</t>
    </r>
    <r>
      <rPr>
        <sz val="12"/>
        <color rgb="FF000000"/>
        <rFont val="細明體"/>
        <family val="1"/>
        <charset val="136"/>
      </rPr>
      <t>金愛兒樂(0-2022/5/18)；桂格愛力心(2022/5/18-NOW)</t>
    </r>
  </si>
  <si>
    <t>2022/5/10-NOW</t>
  </si>
  <si>
    <t>Nordic Naturrals Baby's Vitamin D3</t>
  </si>
  <si>
    <t>藻精蛋白滴液-綜合草本</t>
  </si>
  <si>
    <t>2022/4/30-NOW</t>
  </si>
  <si>
    <t>鑫耀生技有限公司</t>
  </si>
  <si>
    <t>黃金牛初乳蛋白粉</t>
  </si>
  <si>
    <r>
      <t>2021/12</t>
    </r>
    <r>
      <rPr>
        <sz val="12"/>
        <color rgb="FF000000"/>
        <rFont val="細明體"/>
        <family val="1"/>
        <charset val="136"/>
      </rPr>
      <t>底-NOW</t>
    </r>
  </si>
  <si>
    <t>沛滴兒D3益生菌</t>
  </si>
  <si>
    <t>梁登睿</t>
  </si>
  <si>
    <t>張家汯</t>
  </si>
  <si>
    <t>惠氏S26金愛兒樂</t>
  </si>
  <si>
    <t>潘羿妡</t>
  </si>
  <si>
    <t>貝樂美</t>
  </si>
  <si>
    <t>出生6M-NOW</t>
  </si>
  <si>
    <t>小兒敏菌</t>
  </si>
  <si>
    <t>吳懙行</t>
  </si>
  <si>
    <t>2022/5/12 COVID-19</t>
  </si>
  <si>
    <t>足內翻</t>
  </si>
  <si>
    <t>宗逸</t>
  </si>
  <si>
    <t>張庭銨</t>
  </si>
  <si>
    <t>試管，萎縮2-3次</t>
  </si>
  <si>
    <t>住院期間偶爾會忘記呼吸</t>
  </si>
  <si>
    <t>前2天吃了一口</t>
  </si>
  <si>
    <r>
      <t>2022</t>
    </r>
    <r>
      <rPr>
        <sz val="12"/>
        <color rgb="FF000000"/>
        <rFont val="細明體"/>
        <family val="1"/>
        <charset val="136"/>
      </rPr>
      <t>年4月</t>
    </r>
  </si>
  <si>
    <t>姚禹亨</t>
  </si>
  <si>
    <r>
      <t>0-2022</t>
    </r>
    <r>
      <rPr>
        <sz val="12"/>
        <color rgb="FF000000"/>
        <rFont val="細明體"/>
        <family val="1"/>
        <charset val="136"/>
      </rPr>
      <t>年一月</t>
    </r>
  </si>
  <si>
    <t>新安琪兒</t>
  </si>
  <si>
    <r>
      <t>0-</t>
    </r>
    <r>
      <rPr>
        <sz val="12"/>
        <color rgb="FF000000"/>
        <rFont val="細明體"/>
        <family val="1"/>
        <charset val="136"/>
      </rPr>
      <t>矯正</t>
    </r>
    <r>
      <rPr>
        <sz val="12"/>
        <color rgb="FF000000"/>
        <rFont val="Times New Roman"/>
        <family val="1"/>
      </rPr>
      <t>1Y</t>
    </r>
  </si>
  <si>
    <t>醫院開的；健康力益暢敏</t>
  </si>
  <si>
    <t>乳鐵蛋白</t>
  </si>
  <si>
    <r>
      <t>2021</t>
    </r>
    <r>
      <rPr>
        <sz val="12"/>
        <color rgb="FF000000"/>
        <rFont val="細明體"/>
        <family val="1"/>
        <charset val="136"/>
      </rPr>
      <t>年四月中-NOW</t>
    </r>
  </si>
  <si>
    <t>鄒沐忻</t>
  </si>
  <si>
    <t>blood date</t>
    <phoneticPr fontId="3" type="noConversion"/>
  </si>
  <si>
    <t>serum</t>
    <phoneticPr fontId="3" type="noConversion"/>
  </si>
  <si>
    <t>serum 300 ul</t>
    <phoneticPr fontId="3" type="noConversion"/>
  </si>
  <si>
    <t>serum Y</t>
    <phoneticPr fontId="3" type="noConversion"/>
  </si>
  <si>
    <t>EDTA</t>
    <phoneticPr fontId="3" type="noConversion"/>
  </si>
  <si>
    <t>EDTA 400 ul</t>
    <phoneticPr fontId="3" type="noConversion"/>
  </si>
  <si>
    <t>EDTA 1.5 ml</t>
    <phoneticPr fontId="3" type="noConversion"/>
  </si>
  <si>
    <t>EDTA Y</t>
    <phoneticPr fontId="3" type="noConversion"/>
  </si>
  <si>
    <t>EDTA PBMC vail</t>
    <phoneticPr fontId="3" type="noConversion"/>
  </si>
  <si>
    <t>Heparin</t>
    <phoneticPr fontId="3" type="noConversion"/>
  </si>
  <si>
    <r>
      <t xml:space="preserve">Heparin </t>
    </r>
    <r>
      <rPr>
        <sz val="12"/>
        <color theme="1"/>
        <rFont val="新細明體"/>
        <family val="2"/>
        <charset val="136"/>
      </rPr>
      <t>回收</t>
    </r>
    <phoneticPr fontId="3" type="noConversion"/>
  </si>
  <si>
    <t>Heparin 120 ul</t>
    <phoneticPr fontId="3" type="noConversion"/>
  </si>
  <si>
    <t>Heparin 400 ul</t>
    <phoneticPr fontId="3" type="noConversion"/>
  </si>
  <si>
    <t>Heparin 1.5 ml</t>
    <phoneticPr fontId="3" type="noConversion"/>
  </si>
  <si>
    <t>Heparin Y</t>
    <phoneticPr fontId="3" type="noConversion"/>
  </si>
  <si>
    <t>Heparin PBMC (DNA)</t>
    <phoneticPr fontId="3" type="noConversion"/>
  </si>
  <si>
    <t>Heparin PBMC (RNA)</t>
    <phoneticPr fontId="3" type="noConversion"/>
  </si>
  <si>
    <t>urine date</t>
    <phoneticPr fontId="3" type="noConversion"/>
  </si>
  <si>
    <t>urine NMR</t>
    <phoneticPr fontId="3" type="noConversion"/>
  </si>
  <si>
    <t>urine</t>
    <phoneticPr fontId="3" type="noConversion"/>
  </si>
  <si>
    <r>
      <t xml:space="preserve">Urine </t>
    </r>
    <r>
      <rPr>
        <sz val="12"/>
        <color theme="1"/>
        <rFont val="新細明體"/>
        <family val="2"/>
        <charset val="136"/>
      </rPr>
      <t>大盒</t>
    </r>
    <phoneticPr fontId="3" type="noConversion"/>
  </si>
  <si>
    <t>urine 1 ml</t>
    <phoneticPr fontId="3" type="noConversion"/>
  </si>
  <si>
    <t>urine 1.5 ml</t>
    <phoneticPr fontId="3" type="noConversion"/>
  </si>
  <si>
    <t>urine 4 ml</t>
    <phoneticPr fontId="3" type="noConversion"/>
  </si>
  <si>
    <t>urine Y ml</t>
    <phoneticPr fontId="3" type="noConversion"/>
  </si>
  <si>
    <t>stool date 1</t>
    <phoneticPr fontId="3" type="noConversion"/>
  </si>
  <si>
    <t>stool 1</t>
    <phoneticPr fontId="3" type="noConversion"/>
  </si>
  <si>
    <t>stool 2</t>
  </si>
  <si>
    <t>swab date</t>
    <phoneticPr fontId="3" type="noConversion"/>
  </si>
  <si>
    <t>swab 1</t>
  </si>
  <si>
    <t>Healthy: 0 ; Other: 1</t>
    <phoneticPr fontId="3" type="noConversion"/>
  </si>
  <si>
    <r>
      <rPr>
        <sz val="12"/>
        <color theme="1"/>
        <rFont val="細明體"/>
        <family val="3"/>
        <charset val="136"/>
      </rPr>
      <t>放棄</t>
    </r>
    <phoneticPr fontId="3" type="noConversion"/>
  </si>
  <si>
    <t>2 ml</t>
    <phoneticPr fontId="3" type="noConversion"/>
  </si>
  <si>
    <t>陳彥安(陳靖仁)</t>
    <phoneticPr fontId="3" type="noConversion"/>
  </si>
  <si>
    <t>300 ul</t>
    <phoneticPr fontId="3" type="noConversion"/>
  </si>
  <si>
    <t>600 ul*2</t>
    <phoneticPr fontId="3" type="noConversion"/>
  </si>
  <si>
    <t>1.8 ml</t>
    <phoneticPr fontId="3" type="noConversion"/>
  </si>
  <si>
    <t>750 ul</t>
    <phoneticPr fontId="3" type="noConversion"/>
  </si>
  <si>
    <t>900 ul*2</t>
    <phoneticPr fontId="3" type="noConversion"/>
  </si>
  <si>
    <t>150 ul</t>
    <phoneticPr fontId="3" type="noConversion"/>
  </si>
  <si>
    <t>500 ul</t>
    <phoneticPr fontId="3" type="noConversion"/>
  </si>
  <si>
    <r>
      <rPr>
        <sz val="12"/>
        <color theme="1"/>
        <rFont val="細明體"/>
        <family val="3"/>
        <charset val="136"/>
      </rPr>
      <t>不抽</t>
    </r>
    <phoneticPr fontId="3" type="noConversion"/>
  </si>
  <si>
    <t>1(250 ul)</t>
    <phoneticPr fontId="3" type="noConversion"/>
  </si>
  <si>
    <t>400 ul</t>
    <phoneticPr fontId="3" type="noConversion"/>
  </si>
  <si>
    <t>1.45 ml</t>
    <phoneticPr fontId="3" type="noConversion"/>
  </si>
  <si>
    <t>1.3 ml</t>
    <phoneticPr fontId="3" type="noConversion"/>
  </si>
  <si>
    <t>3 ml</t>
    <phoneticPr fontId="3" type="noConversion"/>
  </si>
  <si>
    <t>1 ml</t>
    <phoneticPr fontId="3" type="noConversion"/>
  </si>
  <si>
    <t>700 ul</t>
    <phoneticPr fontId="3" type="noConversion"/>
  </si>
  <si>
    <t>900 ul *2</t>
    <phoneticPr fontId="3" type="noConversion"/>
  </si>
  <si>
    <t>1 (750 ul)</t>
    <phoneticPr fontId="3" type="noConversion"/>
  </si>
  <si>
    <t>1.4 ml</t>
    <phoneticPr fontId="3" type="noConversion"/>
  </si>
  <si>
    <t>850 ul</t>
    <phoneticPr fontId="3" type="noConversion"/>
  </si>
  <si>
    <t>450 ul</t>
    <phoneticPr fontId="3" type="noConversion"/>
  </si>
  <si>
    <t>沒留到</t>
    <phoneticPr fontId="3" type="noConversion"/>
  </si>
  <si>
    <t>1.35 ml</t>
    <phoneticPr fontId="3" type="noConversion"/>
  </si>
  <si>
    <t>1.2 ml</t>
    <phoneticPr fontId="3" type="noConversion"/>
  </si>
  <si>
    <t>3.5 ml</t>
    <phoneticPr fontId="3" type="noConversion"/>
  </si>
  <si>
    <t>200 ul</t>
    <phoneticPr fontId="3" type="noConversion"/>
  </si>
  <si>
    <t>600 ul*1</t>
    <phoneticPr fontId="3" type="noConversion"/>
  </si>
  <si>
    <t>2.7 ml</t>
    <phoneticPr fontId="3" type="noConversion"/>
  </si>
  <si>
    <t xml:space="preserve">150 ul </t>
    <phoneticPr fontId="3" type="noConversion"/>
  </si>
  <si>
    <t>800 ul</t>
    <phoneticPr fontId="3" type="noConversion"/>
  </si>
  <si>
    <t>600 ul</t>
    <phoneticPr fontId="3" type="noConversion"/>
  </si>
  <si>
    <t>1 (300 ul)</t>
    <phoneticPr fontId="3" type="noConversion"/>
  </si>
  <si>
    <t>2.5 ml</t>
    <phoneticPr fontId="3" type="noConversion"/>
  </si>
  <si>
    <t>1 (1.4 ml)</t>
    <phoneticPr fontId="3" type="noConversion"/>
  </si>
  <si>
    <r>
      <rPr>
        <sz val="12"/>
        <rFont val="細明體"/>
        <family val="3"/>
        <charset val="136"/>
      </rPr>
      <t>不做</t>
    </r>
    <phoneticPr fontId="3" type="noConversion"/>
  </si>
  <si>
    <t>1.03 ml</t>
    <phoneticPr fontId="3" type="noConversion"/>
  </si>
  <si>
    <t>900 ul*1</t>
    <phoneticPr fontId="3" type="noConversion"/>
  </si>
  <si>
    <t>1.5 ml</t>
    <phoneticPr fontId="3" type="noConversion"/>
  </si>
  <si>
    <t>50 ul</t>
    <phoneticPr fontId="3" type="noConversion"/>
  </si>
  <si>
    <t>120 ul</t>
    <phoneticPr fontId="3" type="noConversion"/>
  </si>
  <si>
    <t>870 ul</t>
    <phoneticPr fontId="3" type="noConversion"/>
  </si>
  <si>
    <t>2.8 ml</t>
    <phoneticPr fontId="3" type="noConversion"/>
  </si>
  <si>
    <t>900 ul</t>
    <phoneticPr fontId="3" type="noConversion"/>
  </si>
  <si>
    <t>10M</t>
    <phoneticPr fontId="3" type="noConversion"/>
  </si>
  <si>
    <t>100 ul</t>
    <phoneticPr fontId="3" type="noConversion"/>
  </si>
  <si>
    <t>550 ul</t>
    <phoneticPr fontId="3" type="noConversion"/>
  </si>
  <si>
    <t>330 ul</t>
    <phoneticPr fontId="3" type="noConversion"/>
  </si>
  <si>
    <t>420 ul</t>
    <phoneticPr fontId="3" type="noConversion"/>
  </si>
  <si>
    <t>350 ul</t>
    <phoneticPr fontId="3" type="noConversion"/>
  </si>
  <si>
    <t>160 ul</t>
    <phoneticPr fontId="3" type="noConversion"/>
  </si>
  <si>
    <t>250 ul</t>
    <phoneticPr fontId="3" type="noConversion"/>
  </si>
  <si>
    <t>1.25 ml</t>
    <phoneticPr fontId="3" type="noConversion"/>
  </si>
  <si>
    <t>1.1 ml</t>
    <phoneticPr fontId="3" type="noConversion"/>
  </si>
  <si>
    <t>240 ul</t>
    <phoneticPr fontId="3" type="noConversion"/>
  </si>
  <si>
    <t>30 ul</t>
    <phoneticPr fontId="3" type="noConversion"/>
  </si>
  <si>
    <r>
      <rPr>
        <sz val="12"/>
        <color theme="1"/>
        <rFont val="細明體"/>
        <family val="3"/>
        <charset val="136"/>
      </rPr>
      <t>不做</t>
    </r>
    <phoneticPr fontId="3" type="noConversion"/>
  </si>
  <si>
    <t>650 ul</t>
    <phoneticPr fontId="3" type="noConversion"/>
  </si>
  <si>
    <t>2.6 ml</t>
    <phoneticPr fontId="3" type="noConversion"/>
  </si>
  <si>
    <t>1.08 ml</t>
    <phoneticPr fontId="3" type="noConversion"/>
  </si>
  <si>
    <t>不抽</t>
    <phoneticPr fontId="3" type="noConversion"/>
  </si>
  <si>
    <t>3.6 ml</t>
    <phoneticPr fontId="3" type="noConversion"/>
  </si>
  <si>
    <t>不做</t>
    <phoneticPr fontId="3" type="noConversion"/>
  </si>
  <si>
    <t>1.02 ml</t>
    <phoneticPr fontId="3" type="noConversion"/>
  </si>
  <si>
    <t>1Y</t>
    <phoneticPr fontId="3" type="noConversion"/>
  </si>
  <si>
    <t>1.05 ml</t>
    <phoneticPr fontId="3" type="noConversion"/>
  </si>
  <si>
    <t>920 ul</t>
    <phoneticPr fontId="3" type="noConversion"/>
  </si>
  <si>
    <t>90 ul</t>
    <phoneticPr fontId="3" type="noConversion"/>
  </si>
  <si>
    <t>260 ul</t>
    <phoneticPr fontId="3" type="noConversion"/>
  </si>
  <si>
    <t>1.32 ul</t>
    <phoneticPr fontId="3" type="noConversion"/>
  </si>
  <si>
    <t>940 ul</t>
    <phoneticPr fontId="3" type="noConversion"/>
  </si>
  <si>
    <t>210 ul</t>
    <phoneticPr fontId="3" type="noConversion"/>
  </si>
  <si>
    <t>660 ul</t>
    <phoneticPr fontId="3" type="noConversion"/>
  </si>
  <si>
    <t>40 ul</t>
    <phoneticPr fontId="3" type="noConversion"/>
  </si>
  <si>
    <t>2022/3/3+3/4</t>
    <phoneticPr fontId="3" type="noConversion"/>
  </si>
  <si>
    <t>680 ul</t>
    <phoneticPr fontId="3" type="noConversion"/>
  </si>
  <si>
    <t>280 ul</t>
    <phoneticPr fontId="3" type="noConversion"/>
  </si>
  <si>
    <t>520 ul</t>
    <phoneticPr fontId="3" type="noConversion"/>
  </si>
  <si>
    <t>80 ul</t>
    <phoneticPr fontId="3" type="noConversion"/>
  </si>
  <si>
    <t>1.28 ml</t>
    <phoneticPr fontId="3" type="noConversion"/>
  </si>
  <si>
    <t>930 ul</t>
    <phoneticPr fontId="3" type="noConversion"/>
  </si>
  <si>
    <t>180 ul</t>
    <phoneticPr fontId="3" type="noConversion"/>
  </si>
  <si>
    <t>900 ul*3</t>
    <phoneticPr fontId="3" type="noConversion"/>
  </si>
  <si>
    <t>1 (850 ul)</t>
    <phoneticPr fontId="3" type="noConversion"/>
  </si>
  <si>
    <t>220 ul</t>
    <phoneticPr fontId="3" type="noConversion"/>
  </si>
  <si>
    <t>880 ul</t>
    <phoneticPr fontId="3" type="noConversion"/>
  </si>
  <si>
    <t>2.9 ml</t>
    <phoneticPr fontId="3" type="noConversion"/>
  </si>
  <si>
    <t>230 ul</t>
    <phoneticPr fontId="3" type="noConversion"/>
  </si>
  <si>
    <t>1.15 ml</t>
    <phoneticPr fontId="3" type="noConversion"/>
  </si>
  <si>
    <t>70 ul</t>
    <phoneticPr fontId="3" type="noConversion"/>
  </si>
  <si>
    <t>60 ul</t>
    <phoneticPr fontId="3" type="noConversion"/>
  </si>
  <si>
    <t>65 ul</t>
    <phoneticPr fontId="3" type="noConversion"/>
  </si>
  <si>
    <t>730 ul</t>
    <phoneticPr fontId="3" type="noConversion"/>
  </si>
  <si>
    <t>3.8 ml</t>
    <phoneticPr fontId="3" type="noConversion"/>
  </si>
  <si>
    <t>1.34 ml</t>
    <phoneticPr fontId="3" type="noConversion"/>
  </si>
  <si>
    <t>1.32 ml</t>
    <phoneticPr fontId="3" type="noConversion"/>
  </si>
  <si>
    <t>1.23 ml</t>
    <phoneticPr fontId="3" type="noConversion"/>
  </si>
  <si>
    <t>1.14 ml</t>
    <phoneticPr fontId="3" type="noConversion"/>
  </si>
  <si>
    <t>3.9 ml</t>
    <phoneticPr fontId="3" type="noConversion"/>
  </si>
  <si>
    <t>1.49 ml</t>
    <phoneticPr fontId="3" type="noConversion"/>
  </si>
  <si>
    <t>1 (320 ul)</t>
    <phoneticPr fontId="3" type="noConversion"/>
  </si>
  <si>
    <t>1 (1.45 ml)</t>
    <phoneticPr fontId="3" type="noConversion"/>
  </si>
  <si>
    <t>760 ul</t>
    <phoneticPr fontId="3" type="noConversion"/>
  </si>
  <si>
    <t>170 ul</t>
    <phoneticPr fontId="3" type="noConversion"/>
  </si>
  <si>
    <t>360 ul</t>
    <phoneticPr fontId="3" type="noConversion"/>
  </si>
  <si>
    <t>85 ul</t>
    <phoneticPr fontId="3" type="noConversion"/>
  </si>
  <si>
    <t>560 ul</t>
    <phoneticPr fontId="3" type="noConversion"/>
  </si>
  <si>
    <t>830 ul</t>
    <phoneticPr fontId="3" type="noConversion"/>
  </si>
  <si>
    <t>?ml</t>
    <phoneticPr fontId="3" type="noConversion"/>
  </si>
  <si>
    <t>620 ul</t>
    <phoneticPr fontId="3" type="noConversion"/>
  </si>
  <si>
    <t>270 ul</t>
    <phoneticPr fontId="3" type="noConversion"/>
  </si>
  <si>
    <t>2.4 ml</t>
    <phoneticPr fontId="3" type="noConversion"/>
  </si>
  <si>
    <t>拒</t>
    <phoneticPr fontId="3" type="noConversion"/>
  </si>
  <si>
    <t>380 ul</t>
    <phoneticPr fontId="3" type="noConversion"/>
  </si>
  <si>
    <r>
      <rPr>
        <sz val="12"/>
        <color theme="1"/>
        <rFont val="細明體"/>
        <family val="3"/>
        <charset val="136"/>
      </rPr>
      <t>發</t>
    </r>
    <r>
      <rPr>
        <sz val="12"/>
        <color theme="1"/>
        <rFont val="Times New Roman"/>
        <family val="1"/>
      </rPr>
      <t>(</t>
    </r>
    <r>
      <rPr>
        <sz val="12"/>
        <color theme="1"/>
        <rFont val="細明體"/>
        <family val="3"/>
        <charset val="136"/>
      </rPr>
      <t>完整</t>
    </r>
    <r>
      <rPr>
        <sz val="12"/>
        <color theme="1"/>
        <rFont val="Times New Roman"/>
        <family val="1"/>
      </rPr>
      <t>)</t>
    </r>
    <r>
      <rPr>
        <sz val="12"/>
        <color theme="1"/>
        <rFont val="細明體"/>
        <family val="3"/>
        <charset val="136"/>
      </rPr>
      <t>報告</t>
    </r>
    <phoneticPr fontId="3" type="noConversion"/>
  </si>
  <si>
    <r>
      <rPr>
        <sz val="12"/>
        <color theme="1"/>
        <rFont val="新細明體"/>
        <family val="2"/>
        <charset val="136"/>
      </rPr>
      <t>送檢日</t>
    </r>
    <phoneticPr fontId="3" type="noConversion"/>
  </si>
  <si>
    <r>
      <rPr>
        <sz val="12"/>
        <color theme="1"/>
        <rFont val="新細明體"/>
        <family val="2"/>
        <charset val="136"/>
      </rPr>
      <t>檢體回收日</t>
    </r>
    <phoneticPr fontId="3" type="noConversion"/>
  </si>
  <si>
    <t>allergic report date</t>
    <phoneticPr fontId="3" type="noConversion"/>
  </si>
  <si>
    <t>Total IgE</t>
    <phoneticPr fontId="3" type="noConversion"/>
  </si>
  <si>
    <t>report date</t>
    <phoneticPr fontId="3" type="noConversion"/>
  </si>
  <si>
    <t>T-CD3</t>
    <phoneticPr fontId="3" type="noConversion"/>
  </si>
  <si>
    <t>B-CD19</t>
    <phoneticPr fontId="3" type="noConversion"/>
  </si>
  <si>
    <t>ABSOL-CD3</t>
    <phoneticPr fontId="3" type="noConversion"/>
  </si>
  <si>
    <t>ABSOL-CD19</t>
    <phoneticPr fontId="3" type="noConversion"/>
  </si>
  <si>
    <t>CD4 T Cell</t>
    <phoneticPr fontId="3" type="noConversion"/>
  </si>
  <si>
    <t>ABSOL-CD4</t>
    <phoneticPr fontId="3" type="noConversion"/>
  </si>
  <si>
    <t>CD8 T Cell</t>
    <phoneticPr fontId="3" type="noConversion"/>
  </si>
  <si>
    <t>ABSOL-CD8</t>
    <phoneticPr fontId="3" type="noConversion"/>
  </si>
  <si>
    <t>CD4/CD8</t>
    <phoneticPr fontId="3" type="noConversion"/>
  </si>
  <si>
    <t>NK Cell</t>
    <phoneticPr fontId="3" type="noConversion"/>
  </si>
  <si>
    <t>ABSOL-NK Cells</t>
    <phoneticPr fontId="3" type="noConversion"/>
  </si>
  <si>
    <t>&lt;2</t>
    <phoneticPr fontId="3" type="noConversion"/>
  </si>
  <si>
    <t>問卷_2Y</t>
    <phoneticPr fontId="3" type="noConversion"/>
  </si>
  <si>
    <t>Ht (cm)</t>
    <phoneticPr fontId="3" type="noConversion"/>
  </si>
  <si>
    <t>Wt (kg)</t>
    <phoneticPr fontId="3" type="noConversion"/>
  </si>
  <si>
    <t>BMI</t>
    <phoneticPr fontId="3" type="noConversion"/>
  </si>
  <si>
    <r>
      <rPr>
        <sz val="12"/>
        <color theme="1"/>
        <rFont val="新細明體"/>
        <family val="2"/>
        <charset val="136"/>
      </rPr>
      <t>頭圍</t>
    </r>
    <r>
      <rPr>
        <sz val="12"/>
        <color theme="1"/>
        <rFont val="Times New Roman"/>
        <family val="1"/>
      </rPr>
      <t xml:space="preserve"> (cm)</t>
    </r>
    <phoneticPr fontId="3" type="noConversion"/>
  </si>
  <si>
    <t>GA week</t>
    <phoneticPr fontId="3" type="noConversion"/>
  </si>
  <si>
    <t>GA day</t>
    <phoneticPr fontId="3" type="noConversion"/>
  </si>
  <si>
    <t>Term/Preterm</t>
    <phoneticPr fontId="3" type="noConversion"/>
  </si>
  <si>
    <t>Delivery</t>
    <phoneticPr fontId="3" type="noConversion"/>
  </si>
  <si>
    <t>assist</t>
    <phoneticPr fontId="3" type="noConversion"/>
  </si>
  <si>
    <t>APGAR at 1 min</t>
    <phoneticPr fontId="3" type="noConversion"/>
  </si>
  <si>
    <t>APGAR at 5 min</t>
    <phoneticPr fontId="3" type="noConversion"/>
  </si>
  <si>
    <t>B Wt (g)</t>
    <phoneticPr fontId="3" type="noConversion"/>
  </si>
  <si>
    <t>B Ht (cm)</t>
    <phoneticPr fontId="3" type="noConversion"/>
  </si>
  <si>
    <r>
      <t xml:space="preserve">B </t>
    </r>
    <r>
      <rPr>
        <sz val="12"/>
        <color theme="1"/>
        <rFont val="新細明體"/>
        <family val="2"/>
        <charset val="136"/>
      </rPr>
      <t>頭圍</t>
    </r>
    <r>
      <rPr>
        <sz val="12"/>
        <color theme="1"/>
        <rFont val="Times New Roman"/>
        <family val="1"/>
      </rPr>
      <t xml:space="preserve"> (cm)</t>
    </r>
    <phoneticPr fontId="3" type="noConversion"/>
  </si>
  <si>
    <r>
      <t xml:space="preserve">B </t>
    </r>
    <r>
      <rPr>
        <sz val="12"/>
        <color theme="1"/>
        <rFont val="新細明體"/>
        <family val="2"/>
        <charset val="136"/>
      </rPr>
      <t>胸圍</t>
    </r>
    <r>
      <rPr>
        <sz val="12"/>
        <color theme="1"/>
        <rFont val="Times New Roman"/>
        <family val="1"/>
      </rPr>
      <t xml:space="preserve"> (cm)</t>
    </r>
    <phoneticPr fontId="3" type="noConversion"/>
  </si>
  <si>
    <t>Mon Birth date</t>
    <phoneticPr fontId="3" type="noConversion"/>
  </si>
  <si>
    <t>Mon age</t>
    <phoneticPr fontId="3" type="noConversion"/>
  </si>
  <si>
    <t>Preterm</t>
    <phoneticPr fontId="3" type="noConversion"/>
  </si>
  <si>
    <t>Abortion</t>
    <phoneticPr fontId="3" type="noConversion"/>
  </si>
  <si>
    <t>Live</t>
    <phoneticPr fontId="3" type="noConversion"/>
  </si>
  <si>
    <t>Preeclampsia</t>
    <phoneticPr fontId="3" type="noConversion"/>
  </si>
  <si>
    <t>HT</t>
    <phoneticPr fontId="3" type="noConversion"/>
  </si>
  <si>
    <t>GDM</t>
    <phoneticPr fontId="3" type="noConversion"/>
  </si>
  <si>
    <t>PPROM</t>
    <phoneticPr fontId="3" type="noConversion"/>
  </si>
  <si>
    <t>Chorioamnioitis</t>
    <phoneticPr fontId="3" type="noConversion"/>
  </si>
  <si>
    <r>
      <rPr>
        <sz val="12"/>
        <color theme="1"/>
        <rFont val="新細明體"/>
        <family val="2"/>
        <charset val="136"/>
      </rPr>
      <t>不清楚</t>
    </r>
    <phoneticPr fontId="3" type="noConversion"/>
  </si>
  <si>
    <t>Steroid</t>
    <phoneticPr fontId="3" type="noConversion"/>
  </si>
  <si>
    <t>Antibiotics</t>
    <phoneticPr fontId="3" type="noConversion"/>
  </si>
  <si>
    <t>smoke exposure</t>
    <phoneticPr fontId="3" type="noConversion"/>
  </si>
  <si>
    <t>Mom smoke</t>
    <phoneticPr fontId="3" type="noConversion"/>
  </si>
  <si>
    <t>Mom smoke quantity per day</t>
    <phoneticPr fontId="3" type="noConversion"/>
  </si>
  <si>
    <t>Dad smoke</t>
    <phoneticPr fontId="3" type="noConversion"/>
  </si>
  <si>
    <t>Dad smoke quantity per day</t>
    <phoneticPr fontId="3" type="noConversion"/>
  </si>
  <si>
    <t>Others smoke1</t>
    <phoneticPr fontId="3" type="noConversion"/>
  </si>
  <si>
    <t>Others smoke quantity per day</t>
    <phoneticPr fontId="3" type="noConversion"/>
  </si>
  <si>
    <t>Others smoke2</t>
    <phoneticPr fontId="3" type="noConversion"/>
  </si>
  <si>
    <t>Others approach frequency (per month)</t>
    <phoneticPr fontId="3" type="noConversion"/>
  </si>
  <si>
    <t>half year diseases</t>
    <phoneticPr fontId="3" type="noConversion"/>
  </si>
  <si>
    <t>half year wheezes</t>
    <phoneticPr fontId="3" type="noConversion"/>
  </si>
  <si>
    <t>half year Bronchiolitis</t>
    <phoneticPr fontId="3" type="noConversion"/>
  </si>
  <si>
    <t>half year RSV infection</t>
    <phoneticPr fontId="3" type="noConversion"/>
  </si>
  <si>
    <t>half year Bronchopneumonia</t>
    <phoneticPr fontId="3" type="noConversion"/>
  </si>
  <si>
    <t>halfyear other disease</t>
    <phoneticPr fontId="3" type="noConversion"/>
  </si>
  <si>
    <t>Disease</t>
    <phoneticPr fontId="3" type="noConversion"/>
  </si>
  <si>
    <t>RDS</t>
    <phoneticPr fontId="3" type="noConversion"/>
  </si>
  <si>
    <t>PDA</t>
    <phoneticPr fontId="3" type="noConversion"/>
  </si>
  <si>
    <t>ASD</t>
    <phoneticPr fontId="3" type="noConversion"/>
  </si>
  <si>
    <t>VSD</t>
    <phoneticPr fontId="3" type="noConversion"/>
  </si>
  <si>
    <t>IVH</t>
    <phoneticPr fontId="3" type="noConversion"/>
  </si>
  <si>
    <t>Neonatal jaundice</t>
    <phoneticPr fontId="3" type="noConversion"/>
  </si>
  <si>
    <t>NEC</t>
    <phoneticPr fontId="3" type="noConversion"/>
  </si>
  <si>
    <t>AOP</t>
    <phoneticPr fontId="3" type="noConversion"/>
  </si>
  <si>
    <t>ROP</t>
    <phoneticPr fontId="3" type="noConversion"/>
  </si>
  <si>
    <t>Sepsis</t>
    <phoneticPr fontId="3" type="noConversion"/>
  </si>
  <si>
    <t>other disease</t>
    <phoneticPr fontId="3" type="noConversion"/>
  </si>
  <si>
    <t>once disease</t>
    <phoneticPr fontId="3" type="noConversion"/>
  </si>
  <si>
    <t>once RDS</t>
    <phoneticPr fontId="3" type="noConversion"/>
  </si>
  <si>
    <t>once PDA</t>
    <phoneticPr fontId="3" type="noConversion"/>
  </si>
  <si>
    <t>once ASD</t>
    <phoneticPr fontId="3" type="noConversion"/>
  </si>
  <si>
    <t>once VSD</t>
    <phoneticPr fontId="3" type="noConversion"/>
  </si>
  <si>
    <t>once IVH</t>
    <phoneticPr fontId="3" type="noConversion"/>
  </si>
  <si>
    <t>once Neonatal jaundice</t>
    <phoneticPr fontId="3" type="noConversion"/>
  </si>
  <si>
    <t>once NEC</t>
    <phoneticPr fontId="3" type="noConversion"/>
  </si>
  <si>
    <t>once AOP</t>
    <phoneticPr fontId="3" type="noConversion"/>
  </si>
  <si>
    <t>once ROP</t>
    <phoneticPr fontId="3" type="noConversion"/>
  </si>
  <si>
    <t>once Sepsis</t>
    <phoneticPr fontId="3" type="noConversion"/>
  </si>
  <si>
    <t>once other disease</t>
    <phoneticPr fontId="3" type="noConversion"/>
  </si>
  <si>
    <t>Oxygen</t>
    <phoneticPr fontId="3" type="noConversion"/>
  </si>
  <si>
    <r>
      <t>FiO</t>
    </r>
    <r>
      <rPr>
        <vertAlign val="subscript"/>
        <sz val="12"/>
        <color theme="1"/>
        <rFont val="Times New Roman"/>
        <family val="1"/>
      </rPr>
      <t>2</t>
    </r>
    <r>
      <rPr>
        <sz val="12"/>
        <color theme="1"/>
        <rFont val="Times New Roman"/>
        <family val="1"/>
      </rPr>
      <t xml:space="preserve"> (/L)</t>
    </r>
    <phoneticPr fontId="3" type="noConversion"/>
  </si>
  <si>
    <t>Breast feeding</t>
    <phoneticPr fontId="3" type="noConversion"/>
  </si>
  <si>
    <t>Breast feeding duration</t>
    <phoneticPr fontId="3" type="noConversion"/>
  </si>
  <si>
    <t>Fortified BF</t>
    <phoneticPr fontId="3" type="noConversion"/>
  </si>
  <si>
    <t>Fortified BF brand</t>
    <phoneticPr fontId="3" type="noConversion"/>
  </si>
  <si>
    <t>Formula</t>
    <phoneticPr fontId="3" type="noConversion"/>
  </si>
  <si>
    <t>Formula duration</t>
    <phoneticPr fontId="3" type="noConversion"/>
  </si>
  <si>
    <t>Formula brand</t>
    <phoneticPr fontId="3" type="noConversion"/>
  </si>
  <si>
    <t>Fe</t>
    <phoneticPr fontId="3" type="noConversion"/>
  </si>
  <si>
    <t>Fe duration</t>
    <phoneticPr fontId="3" type="noConversion"/>
  </si>
  <si>
    <t>D3</t>
    <phoneticPr fontId="3" type="noConversion"/>
  </si>
  <si>
    <t>D3 duration</t>
    <phoneticPr fontId="3" type="noConversion"/>
  </si>
  <si>
    <t>D3 brand</t>
    <phoneticPr fontId="3" type="noConversion"/>
  </si>
  <si>
    <t>Probiotics</t>
    <phoneticPr fontId="3" type="noConversion"/>
  </si>
  <si>
    <t xml:space="preserve">Probiotics duration </t>
    <phoneticPr fontId="3" type="noConversion"/>
  </si>
  <si>
    <t>Probiotics brand</t>
    <phoneticPr fontId="3" type="noConversion"/>
  </si>
  <si>
    <t>other 1</t>
    <phoneticPr fontId="3" type="noConversion"/>
  </si>
  <si>
    <t>other duration 1</t>
    <phoneticPr fontId="3" type="noConversion"/>
  </si>
  <si>
    <t>other brand 1</t>
    <phoneticPr fontId="3" type="noConversion"/>
  </si>
  <si>
    <t>drug</t>
    <phoneticPr fontId="3" type="noConversion"/>
  </si>
  <si>
    <t>drug duration</t>
    <phoneticPr fontId="3" type="noConversion"/>
  </si>
  <si>
    <t>drug name</t>
    <phoneticPr fontId="3" type="noConversion"/>
  </si>
  <si>
    <t>Solid food</t>
    <phoneticPr fontId="3" type="noConversion"/>
  </si>
  <si>
    <t>Solid food start</t>
    <phoneticPr fontId="3" type="noConversion"/>
  </si>
  <si>
    <t>Feeding method</t>
    <phoneticPr fontId="3" type="noConversion"/>
  </si>
  <si>
    <t>OTHER</t>
    <phoneticPr fontId="3" type="noConversion"/>
  </si>
  <si>
    <t>七月初感冒</t>
    <phoneticPr fontId="3" type="noConversion"/>
  </si>
  <si>
    <t>0-6M</t>
    <phoneticPr fontId="3" type="noConversion"/>
  </si>
  <si>
    <t>0-NOW</t>
    <phoneticPr fontId="3" type="noConversion"/>
  </si>
  <si>
    <t>諾優能</t>
    <phoneticPr fontId="3" type="noConversion"/>
  </si>
  <si>
    <t>1Y-1.5Y</t>
    <phoneticPr fontId="3" type="noConversion"/>
  </si>
  <si>
    <t>達摩本草</t>
    <phoneticPr fontId="3" type="noConversion"/>
  </si>
  <si>
    <t>綜合營養素</t>
    <phoneticPr fontId="3" type="noConversion"/>
  </si>
  <si>
    <t>1Y-NOW</t>
    <phoneticPr fontId="3" type="noConversion"/>
  </si>
  <si>
    <t>日比野</t>
    <phoneticPr fontId="3" type="noConversion"/>
  </si>
  <si>
    <t>寶寶優力鈣；金盞花葉黃素</t>
    <phoneticPr fontId="3" type="noConversion"/>
  </si>
  <si>
    <t>日比野；日比野</t>
    <phoneticPr fontId="3" type="noConversion"/>
  </si>
  <si>
    <r>
      <t>4 (</t>
    </r>
    <r>
      <rPr>
        <sz val="12"/>
        <color theme="1"/>
        <rFont val="細明體"/>
        <family val="3"/>
        <charset val="136"/>
      </rPr>
      <t>外勞</t>
    </r>
    <r>
      <rPr>
        <sz val="12"/>
        <color theme="1"/>
        <rFont val="Times New Roman"/>
        <family val="1"/>
      </rPr>
      <t>)</t>
    </r>
    <phoneticPr fontId="3" type="noConversion"/>
  </si>
  <si>
    <r>
      <rPr>
        <sz val="12"/>
        <color theme="1"/>
        <rFont val="細明體"/>
        <family val="3"/>
        <charset val="136"/>
      </rPr>
      <t>肺炎</t>
    </r>
    <phoneticPr fontId="3" type="noConversion"/>
  </si>
  <si>
    <r>
      <rPr>
        <sz val="12"/>
        <color theme="1"/>
        <rFont val="細明體"/>
        <family val="3"/>
        <charset val="136"/>
      </rPr>
      <t>小安素</t>
    </r>
    <phoneticPr fontId="3" type="noConversion"/>
  </si>
  <si>
    <r>
      <rPr>
        <sz val="12"/>
        <color theme="1"/>
        <rFont val="細明體"/>
        <family val="3"/>
        <charset val="136"/>
      </rPr>
      <t>亞培</t>
    </r>
    <phoneticPr fontId="3" type="noConversion"/>
  </si>
  <si>
    <t>0-8M</t>
    <phoneticPr fontId="3" type="noConversion"/>
  </si>
  <si>
    <r>
      <rPr>
        <sz val="12"/>
        <color theme="1"/>
        <rFont val="細明體"/>
        <family val="3"/>
        <charset val="136"/>
      </rPr>
      <t>現在往前推六個月都有吃</t>
    </r>
    <phoneticPr fontId="3" type="noConversion"/>
  </si>
  <si>
    <r>
      <rPr>
        <sz val="12"/>
        <color theme="1"/>
        <rFont val="細明體"/>
        <family val="3"/>
        <charset val="136"/>
      </rPr>
      <t>綜合維他命</t>
    </r>
    <phoneticPr fontId="3" type="noConversion"/>
  </si>
  <si>
    <t>1M6M</t>
    <phoneticPr fontId="3" type="noConversion"/>
  </si>
  <si>
    <r>
      <t>0-</t>
    </r>
    <r>
      <rPr>
        <sz val="12"/>
        <color theme="1"/>
        <rFont val="細明體"/>
        <family val="3"/>
        <charset val="136"/>
      </rPr>
      <t>矯</t>
    </r>
    <r>
      <rPr>
        <sz val="12"/>
        <color theme="1"/>
        <rFont val="Times New Roman"/>
        <family val="1"/>
      </rPr>
      <t>1Y</t>
    </r>
    <phoneticPr fontId="3" type="noConversion"/>
  </si>
  <si>
    <r>
      <rPr>
        <sz val="12"/>
        <color theme="1"/>
        <rFont val="細明體"/>
        <family val="3"/>
        <charset val="136"/>
      </rPr>
      <t>新安琪兒</t>
    </r>
    <phoneticPr fontId="3" type="noConversion"/>
  </si>
  <si>
    <r>
      <rPr>
        <sz val="12"/>
        <color theme="1"/>
        <rFont val="細明體"/>
        <family val="3"/>
        <charset val="136"/>
      </rPr>
      <t>矯</t>
    </r>
    <r>
      <rPr>
        <sz val="12"/>
        <color theme="1"/>
        <rFont val="Times New Roman"/>
        <family val="1"/>
      </rPr>
      <t>1Y</t>
    </r>
    <phoneticPr fontId="3" type="noConversion"/>
  </si>
  <si>
    <r>
      <rPr>
        <sz val="12"/>
        <color theme="1"/>
        <rFont val="細明體"/>
        <family val="3"/>
        <charset val="136"/>
      </rPr>
      <t>優寶滴</t>
    </r>
    <phoneticPr fontId="3" type="noConversion"/>
  </si>
  <si>
    <t>6M-NOW</t>
    <phoneticPr fontId="3" type="noConversion"/>
  </si>
  <si>
    <r>
      <rPr>
        <sz val="12"/>
        <color theme="1"/>
        <rFont val="細明體"/>
        <family val="3"/>
        <charset val="136"/>
      </rPr>
      <t>心美力</t>
    </r>
    <phoneticPr fontId="3" type="noConversion"/>
  </si>
  <si>
    <t>1+2</t>
    <phoneticPr fontId="3" type="noConversion"/>
  </si>
  <si>
    <t>1M-1Y</t>
    <phoneticPr fontId="3" type="noConversion"/>
  </si>
  <si>
    <r>
      <rPr>
        <sz val="12"/>
        <color theme="1"/>
        <rFont val="細明體"/>
        <family val="3"/>
        <charset val="136"/>
      </rPr>
      <t>親護</t>
    </r>
    <r>
      <rPr>
        <sz val="12"/>
        <color theme="1"/>
        <rFont val="Times New Roman"/>
        <family val="1"/>
      </rPr>
      <t>(</t>
    </r>
    <r>
      <rPr>
        <sz val="12"/>
        <color theme="1"/>
        <rFont val="細明體"/>
        <family val="3"/>
        <charset val="136"/>
      </rPr>
      <t>亞培心美力</t>
    </r>
    <r>
      <rPr>
        <sz val="12"/>
        <color theme="1"/>
        <rFont val="Times New Roman"/>
        <family val="1"/>
      </rPr>
      <t>)</t>
    </r>
    <phoneticPr fontId="3" type="noConversion"/>
  </si>
  <si>
    <t>5M</t>
    <phoneticPr fontId="3" type="noConversion"/>
  </si>
  <si>
    <t>0-20D</t>
    <phoneticPr fontId="3" type="noConversion"/>
  </si>
  <si>
    <t>20D-NOW</t>
    <phoneticPr fontId="3" type="noConversion"/>
  </si>
  <si>
    <r>
      <rPr>
        <sz val="12"/>
        <color theme="1"/>
        <rFont val="細明體"/>
        <family val="3"/>
        <charset val="136"/>
      </rPr>
      <t>亞培早產兒專用奶粉；亞培經典</t>
    </r>
    <phoneticPr fontId="3" type="noConversion"/>
  </si>
  <si>
    <t>0-1Y</t>
    <phoneticPr fontId="3" type="noConversion"/>
  </si>
  <si>
    <r>
      <rPr>
        <sz val="12"/>
        <color theme="1"/>
        <rFont val="細明體"/>
        <family val="3"/>
        <charset val="136"/>
      </rPr>
      <t>忘了</t>
    </r>
    <r>
      <rPr>
        <sz val="12"/>
        <color theme="1"/>
        <rFont val="Times New Roman"/>
        <family val="1"/>
      </rPr>
      <t>(</t>
    </r>
    <r>
      <rPr>
        <sz val="12"/>
        <color theme="1"/>
        <rFont val="細明體"/>
        <family val="3"/>
        <charset val="136"/>
      </rPr>
      <t>上面有兔子</t>
    </r>
    <r>
      <rPr>
        <sz val="12"/>
        <color theme="1"/>
        <rFont val="Times New Roman"/>
        <family val="1"/>
      </rPr>
      <t>)</t>
    </r>
    <phoneticPr fontId="3" type="noConversion"/>
  </si>
  <si>
    <r>
      <rPr>
        <sz val="12"/>
        <color theme="1"/>
        <rFont val="細明體"/>
        <family val="3"/>
        <charset val="136"/>
      </rPr>
      <t>矯</t>
    </r>
    <r>
      <rPr>
        <sz val="12"/>
        <color theme="1"/>
        <rFont val="Times New Roman"/>
        <family val="1"/>
      </rPr>
      <t>4M</t>
    </r>
    <phoneticPr fontId="3" type="noConversion"/>
  </si>
  <si>
    <t>4M-6M</t>
    <phoneticPr fontId="3" type="noConversion"/>
  </si>
  <si>
    <t>S26</t>
    <phoneticPr fontId="3" type="noConversion"/>
  </si>
  <si>
    <t>3M-4M</t>
    <phoneticPr fontId="3" type="noConversion"/>
  </si>
  <si>
    <t>寶乖亞(益生菌+D)</t>
    <phoneticPr fontId="3" type="noConversion"/>
  </si>
  <si>
    <r>
      <t>500</t>
    </r>
    <r>
      <rPr>
        <sz val="12"/>
        <color theme="1"/>
        <rFont val="細明體"/>
        <family val="3"/>
        <charset val="136"/>
      </rPr>
      <t>元_</t>
    </r>
    <r>
      <rPr>
        <sz val="12"/>
        <color theme="1"/>
        <rFont val="Times New Roman"/>
        <family val="1"/>
      </rPr>
      <t>2Y</t>
    </r>
    <phoneticPr fontId="3" type="noConversion"/>
  </si>
  <si>
    <t>blood date_2Y</t>
    <phoneticPr fontId="3" type="noConversion"/>
  </si>
  <si>
    <t>serum 300 ul_2Y</t>
    <phoneticPr fontId="3" type="noConversion"/>
  </si>
  <si>
    <t>serum Y_2Y</t>
    <phoneticPr fontId="3" type="noConversion"/>
  </si>
  <si>
    <t>EDTA_2Y</t>
    <phoneticPr fontId="3" type="noConversion"/>
  </si>
  <si>
    <t>EDTA 400 ul_2Y</t>
    <phoneticPr fontId="3" type="noConversion"/>
  </si>
  <si>
    <t>EDTA 1.5 ml_2Y</t>
    <phoneticPr fontId="3" type="noConversion"/>
  </si>
  <si>
    <t>EDTA Y_2Y</t>
    <phoneticPr fontId="3" type="noConversion"/>
  </si>
  <si>
    <t>EDTA PBMC vail_2Y</t>
    <phoneticPr fontId="3" type="noConversion"/>
  </si>
  <si>
    <t>Heparin_2Y</t>
    <phoneticPr fontId="3" type="noConversion"/>
  </si>
  <si>
    <r>
      <t xml:space="preserve">Heparin </t>
    </r>
    <r>
      <rPr>
        <sz val="12"/>
        <color theme="1"/>
        <rFont val="新細明體"/>
        <family val="2"/>
        <charset val="136"/>
      </rPr>
      <t>回收</t>
    </r>
    <r>
      <rPr>
        <sz val="12"/>
        <color theme="1"/>
        <rFont val="Times New Roman"/>
        <family val="1"/>
      </rPr>
      <t>_2Y</t>
    </r>
    <phoneticPr fontId="3" type="noConversion"/>
  </si>
  <si>
    <t>Heparin 120 ul_2Y</t>
    <phoneticPr fontId="3" type="noConversion"/>
  </si>
  <si>
    <t>Heparin 400 ul_2Y</t>
    <phoneticPr fontId="3" type="noConversion"/>
  </si>
  <si>
    <t>Heparin 1.5 ml_2Y</t>
    <phoneticPr fontId="3" type="noConversion"/>
  </si>
  <si>
    <t>Heparin Y_2Y</t>
    <phoneticPr fontId="3" type="noConversion"/>
  </si>
  <si>
    <t>Heparin PBMC (DNA)_2Y</t>
    <phoneticPr fontId="3" type="noConversion"/>
  </si>
  <si>
    <t>Heparin PBMC (RNA)_2Y</t>
    <phoneticPr fontId="3" type="noConversion"/>
  </si>
  <si>
    <t>urine date_2Y</t>
    <phoneticPr fontId="3" type="noConversion"/>
  </si>
  <si>
    <t>urine_2Y</t>
    <phoneticPr fontId="3" type="noConversion"/>
  </si>
  <si>
    <r>
      <t xml:space="preserve">Urine </t>
    </r>
    <r>
      <rPr>
        <sz val="12"/>
        <color theme="1"/>
        <rFont val="新細明體"/>
        <family val="2"/>
        <charset val="136"/>
      </rPr>
      <t>大盒</t>
    </r>
    <r>
      <rPr>
        <sz val="12"/>
        <color theme="1"/>
        <rFont val="Times New Roman"/>
        <family val="1"/>
      </rPr>
      <t>_2Y</t>
    </r>
    <phoneticPr fontId="3" type="noConversion"/>
  </si>
  <si>
    <t>urine 1 ml_2Y</t>
    <phoneticPr fontId="3" type="noConversion"/>
  </si>
  <si>
    <t>urine 1.5 ml_2Y</t>
    <phoneticPr fontId="3" type="noConversion"/>
  </si>
  <si>
    <t>urine 4 ml_2Y</t>
    <phoneticPr fontId="3" type="noConversion"/>
  </si>
  <si>
    <t>urine Y ml_2Y</t>
    <phoneticPr fontId="3" type="noConversion"/>
  </si>
  <si>
    <t>stool date 1_2Y</t>
    <phoneticPr fontId="3" type="noConversion"/>
  </si>
  <si>
    <t>stool 1_2Y</t>
    <phoneticPr fontId="3" type="noConversion"/>
  </si>
  <si>
    <t>stool date 2_2Y</t>
    <phoneticPr fontId="3" type="noConversion"/>
  </si>
  <si>
    <t>stool 2_2Y</t>
    <phoneticPr fontId="3" type="noConversion"/>
  </si>
  <si>
    <t>swab date_2Y</t>
    <phoneticPr fontId="3" type="noConversion"/>
  </si>
  <si>
    <t>swab 1_2Y</t>
    <phoneticPr fontId="3" type="noConversion"/>
  </si>
  <si>
    <t xml:space="preserve">1.1 ml </t>
    <phoneticPr fontId="3" type="noConversion"/>
  </si>
  <si>
    <t>拒絕</t>
    <phoneticPr fontId="3" type="noConversion"/>
  </si>
  <si>
    <t>100ml</t>
    <phoneticPr fontId="3" type="noConversion"/>
  </si>
  <si>
    <t>500*2</t>
    <phoneticPr fontId="3" type="noConversion"/>
  </si>
  <si>
    <t>1.5ml</t>
    <phoneticPr fontId="3" type="noConversion"/>
  </si>
  <si>
    <r>
      <rPr>
        <sz val="12"/>
        <rFont val="細明體"/>
        <family val="3"/>
        <charset val="136"/>
      </rPr>
      <t>沒留到</t>
    </r>
    <phoneticPr fontId="3" type="noConversion"/>
  </si>
  <si>
    <t>100ul</t>
    <phoneticPr fontId="3" type="noConversion"/>
  </si>
  <si>
    <t>留不到</t>
    <phoneticPr fontId="3" type="noConversion"/>
  </si>
  <si>
    <t>1.26 ml</t>
    <phoneticPr fontId="3" type="noConversion"/>
  </si>
  <si>
    <t>540 ul</t>
    <phoneticPr fontId="3" type="noConversion"/>
  </si>
  <si>
    <t>580 ul</t>
    <phoneticPr fontId="3" type="noConversion"/>
  </si>
  <si>
    <t>320 ul</t>
    <phoneticPr fontId="3" type="noConversion"/>
  </si>
  <si>
    <t>670 ul</t>
    <phoneticPr fontId="3" type="noConversion"/>
  </si>
  <si>
    <t>2.2 ml</t>
    <phoneticPr fontId="3" type="noConversion"/>
  </si>
  <si>
    <r>
      <rPr>
        <sz val="12"/>
        <color theme="1"/>
        <rFont val="細明體"/>
        <family val="3"/>
        <charset val="136"/>
      </rPr>
      <t>亞培早產兒配方；明治</t>
    </r>
    <phoneticPr fontId="3" type="noConversion"/>
  </si>
  <si>
    <t>0-11M</t>
    <phoneticPr fontId="3" type="noConversion"/>
  </si>
  <si>
    <t>11-12M</t>
    <phoneticPr fontId="3" type="noConversion"/>
  </si>
  <si>
    <r>
      <rPr>
        <sz val="12"/>
        <color theme="1"/>
        <rFont val="細明體"/>
        <family val="3"/>
        <charset val="136"/>
      </rPr>
      <t>雀巢能恩水解</t>
    </r>
    <phoneticPr fontId="3" type="noConversion"/>
  </si>
  <si>
    <t>1Y10M-NOW</t>
    <phoneticPr fontId="3" type="noConversion"/>
  </si>
  <si>
    <r>
      <rPr>
        <sz val="12"/>
        <color theme="1"/>
        <rFont val="細明體"/>
        <family val="3"/>
        <charset val="136"/>
      </rPr>
      <t>愛維他</t>
    </r>
    <phoneticPr fontId="3" type="noConversion"/>
  </si>
  <si>
    <t>4.5M</t>
    <phoneticPr fontId="3" type="noConversion"/>
  </si>
  <si>
    <t>0-2W</t>
    <phoneticPr fontId="3" type="noConversion"/>
  </si>
  <si>
    <r>
      <t>0-1Y</t>
    </r>
    <r>
      <rPr>
        <sz val="12"/>
        <color theme="1"/>
        <rFont val="細明體"/>
        <family val="3"/>
        <charset val="136"/>
      </rPr>
      <t>喝亞培早產兒配方，之後是卡洛塔尼羊奶，現在喝桂格成長奶粉</t>
    </r>
    <phoneticPr fontId="3" type="noConversion"/>
  </si>
  <si>
    <r>
      <rPr>
        <sz val="12"/>
        <color theme="1"/>
        <rFont val="細明體"/>
        <family val="3"/>
        <charset val="136"/>
      </rPr>
      <t>住院</t>
    </r>
    <r>
      <rPr>
        <sz val="12"/>
        <color theme="1"/>
        <rFont val="Times New Roman"/>
        <family val="1"/>
      </rPr>
      <t>-1Y</t>
    </r>
    <r>
      <rPr>
        <sz val="12"/>
        <color theme="1"/>
        <rFont val="細明體"/>
        <family val="3"/>
        <charset val="136"/>
      </rPr>
      <t>以前</t>
    </r>
    <phoneticPr fontId="3" type="noConversion"/>
  </si>
  <si>
    <r>
      <t>1Y6M(1-2</t>
    </r>
    <r>
      <rPr>
        <sz val="12"/>
        <color theme="1"/>
        <rFont val="細明體"/>
        <family val="3"/>
        <charset val="136"/>
      </rPr>
      <t>次</t>
    </r>
    <r>
      <rPr>
        <sz val="12"/>
        <color theme="1"/>
        <rFont val="Times New Roman"/>
        <family val="1"/>
      </rPr>
      <t>)</t>
    </r>
    <phoneticPr fontId="3" type="noConversion"/>
  </si>
  <si>
    <r>
      <rPr>
        <sz val="12"/>
        <color theme="1"/>
        <rFont val="細明體"/>
        <family val="3"/>
        <charset val="136"/>
      </rPr>
      <t>諾貝兒</t>
    </r>
    <phoneticPr fontId="3" type="noConversion"/>
  </si>
  <si>
    <r>
      <rPr>
        <sz val="12"/>
        <color theme="1"/>
        <rFont val="細明體"/>
        <family val="3"/>
        <charset val="136"/>
      </rPr>
      <t>癲癇</t>
    </r>
    <phoneticPr fontId="3" type="noConversion"/>
  </si>
  <si>
    <r>
      <rPr>
        <sz val="12"/>
        <color theme="1"/>
        <rFont val="細明體"/>
        <family val="3"/>
        <charset val="136"/>
      </rPr>
      <t>寶乖亞</t>
    </r>
    <phoneticPr fontId="3" type="noConversion"/>
  </si>
  <si>
    <r>
      <t>DHA</t>
    </r>
    <r>
      <rPr>
        <sz val="12"/>
        <color theme="1"/>
        <rFont val="細明體"/>
        <family val="3"/>
        <charset val="136"/>
      </rPr>
      <t>藻粉</t>
    </r>
    <phoneticPr fontId="3" type="noConversion"/>
  </si>
  <si>
    <t>1Y8M-NOW</t>
    <phoneticPr fontId="3" type="noConversion"/>
  </si>
  <si>
    <r>
      <rPr>
        <sz val="12"/>
        <color theme="1"/>
        <rFont val="細明體"/>
        <family val="3"/>
        <charset val="136"/>
      </rPr>
      <t>優兒康</t>
    </r>
    <phoneticPr fontId="3" type="noConversion"/>
  </si>
  <si>
    <r>
      <rPr>
        <sz val="12"/>
        <color theme="1"/>
        <rFont val="細明體"/>
        <family val="3"/>
        <charset val="136"/>
      </rPr>
      <t>鈣粉</t>
    </r>
    <phoneticPr fontId="3" type="noConversion"/>
  </si>
  <si>
    <t>1Y8M</t>
    <phoneticPr fontId="3" type="noConversion"/>
  </si>
  <si>
    <r>
      <rPr>
        <sz val="12"/>
        <color theme="1"/>
        <rFont val="細明體"/>
        <family val="3"/>
        <charset val="136"/>
      </rPr>
      <t>亞培心美麗</t>
    </r>
    <r>
      <rPr>
        <sz val="12"/>
        <color theme="1"/>
        <rFont val="Times New Roman"/>
        <family val="1"/>
      </rPr>
      <t>1</t>
    </r>
    <phoneticPr fontId="3" type="noConversion"/>
  </si>
  <si>
    <t>1.5-2Y</t>
    <phoneticPr fontId="3" type="noConversion"/>
  </si>
  <si>
    <r>
      <rPr>
        <sz val="12"/>
        <color theme="1"/>
        <rFont val="細明體"/>
        <family val="3"/>
        <charset val="136"/>
      </rPr>
      <t>朱醫師開的</t>
    </r>
    <phoneticPr fontId="3" type="noConversion"/>
  </si>
  <si>
    <t>1.3ul</t>
    <phoneticPr fontId="3" type="noConversion"/>
  </si>
  <si>
    <t>2.3ml</t>
    <phoneticPr fontId="3" type="noConversion"/>
  </si>
  <si>
    <t xml:space="preserve">   case no.</t>
    <phoneticPr fontId="3" type="noConversion"/>
  </si>
  <si>
    <r>
      <rPr>
        <sz val="12"/>
        <color rgb="FF000000"/>
        <rFont val="PMingLiU"/>
        <family val="1"/>
        <charset val="136"/>
      </rPr>
      <t>早上、睡前</t>
    </r>
    <r>
      <rPr>
        <sz val="12"/>
        <color rgb="FF000000"/>
        <rFont val="Times New Roman"/>
        <family val="1"/>
      </rPr>
      <t xml:space="preserve"> 500ml以內</t>
    </r>
    <phoneticPr fontId="3" type="noConversion"/>
  </si>
  <si>
    <t>雀巢</t>
    <phoneticPr fontId="3" type="noConversion"/>
  </si>
  <si>
    <t>收成兩歲</t>
    <phoneticPr fontId="3" type="noConversion"/>
  </si>
  <si>
    <r>
      <t>2</t>
    </r>
    <r>
      <rPr>
        <sz val="12"/>
        <color theme="1"/>
        <rFont val="細明體"/>
        <family val="3"/>
        <charset val="136"/>
      </rPr>
      <t>包</t>
    </r>
    <phoneticPr fontId="3" type="noConversion"/>
  </si>
  <si>
    <t>1+2+3</t>
    <phoneticPr fontId="3" type="noConversion"/>
  </si>
  <si>
    <r>
      <rPr>
        <sz val="12"/>
        <color theme="1"/>
        <rFont val="細明體"/>
        <family val="3"/>
        <charset val="136"/>
      </rPr>
      <t>看病歷</t>
    </r>
    <phoneticPr fontId="3" type="noConversion"/>
  </si>
  <si>
    <r>
      <rPr>
        <sz val="12"/>
        <color theme="1"/>
        <rFont val="細明體"/>
        <family val="3"/>
        <charset val="136"/>
      </rPr>
      <t>看病歷確認</t>
    </r>
    <phoneticPr fontId="3" type="noConversion"/>
  </si>
  <si>
    <t>2M-12/17</t>
    <phoneticPr fontId="3" type="noConversion"/>
  </si>
  <si>
    <r>
      <rPr>
        <sz val="12"/>
        <color theme="1"/>
        <rFont val="細明體"/>
        <family val="3"/>
        <charset val="136"/>
      </rPr>
      <t>美強生</t>
    </r>
    <phoneticPr fontId="3" type="noConversion"/>
  </si>
  <si>
    <r>
      <rPr>
        <sz val="12"/>
        <color theme="1"/>
        <rFont val="細明體"/>
        <family val="3"/>
        <charset val="136"/>
      </rPr>
      <t>住院時吃的要看病歷確認、能恩水解</t>
    </r>
    <phoneticPr fontId="3" type="noConversion"/>
  </si>
  <si>
    <t>2M-8/16</t>
    <phoneticPr fontId="3" type="noConversion"/>
  </si>
  <si>
    <r>
      <t>7</t>
    </r>
    <r>
      <rPr>
        <sz val="12"/>
        <color theme="1"/>
        <rFont val="細明體"/>
        <family val="3"/>
        <charset val="136"/>
      </rPr>
      <t>月</t>
    </r>
    <r>
      <rPr>
        <sz val="12"/>
        <color theme="1"/>
        <rFont val="Times New Roman"/>
        <family val="1"/>
      </rPr>
      <t>-NOW</t>
    </r>
    <phoneticPr fontId="3" type="noConversion"/>
  </si>
  <si>
    <r>
      <rPr>
        <sz val="12"/>
        <color theme="1"/>
        <rFont val="細明體"/>
        <family val="3"/>
        <charset val="136"/>
      </rPr>
      <t>葡眾</t>
    </r>
    <phoneticPr fontId="3" type="noConversion"/>
  </si>
  <si>
    <t>NICU-NOW</t>
    <phoneticPr fontId="3" type="noConversion"/>
  </si>
  <si>
    <r>
      <rPr>
        <sz val="12"/>
        <color theme="1"/>
        <rFont val="細明體"/>
        <family val="3"/>
        <charset val="136"/>
      </rPr>
      <t>寶益兒</t>
    </r>
    <phoneticPr fontId="3" type="noConversion"/>
  </si>
  <si>
    <t>1. Spironolactone (25 mg) 2. Famotidine 20 mg/tab 3. Metoclopramide syrup 4. Furosemide oral soln 5. Sildenafil citrate 20 mg/f.c tab</t>
    <phoneticPr fontId="3" type="noConversion"/>
  </si>
  <si>
    <r>
      <t>6</t>
    </r>
    <r>
      <rPr>
        <sz val="12"/>
        <color theme="1"/>
        <rFont val="細明體"/>
        <family val="3"/>
        <charset val="136"/>
      </rPr>
      <t>月</t>
    </r>
    <phoneticPr fontId="3" type="noConversion"/>
  </si>
  <si>
    <r>
      <rPr>
        <sz val="12"/>
        <color theme="1"/>
        <rFont val="細明體"/>
        <family val="3"/>
        <charset val="136"/>
      </rPr>
      <t>甲狀腺低下</t>
    </r>
    <phoneticPr fontId="3" type="noConversion"/>
  </si>
  <si>
    <r>
      <rPr>
        <sz val="12"/>
        <color theme="1"/>
        <rFont val="細明體"/>
        <family val="3"/>
        <charset val="136"/>
      </rPr>
      <t>甲狀腺低下</t>
    </r>
    <r>
      <rPr>
        <sz val="12"/>
        <color theme="1"/>
        <rFont val="Times New Roman"/>
        <family val="1"/>
      </rPr>
      <t>/</t>
    </r>
    <r>
      <rPr>
        <sz val="12"/>
        <color theme="1"/>
        <rFont val="細明體"/>
        <family val="3"/>
        <charset val="136"/>
      </rPr>
      <t>雙側疝氣</t>
    </r>
    <phoneticPr fontId="3" type="noConversion"/>
  </si>
  <si>
    <t>0-5M</t>
    <phoneticPr fontId="3" type="noConversion"/>
  </si>
  <si>
    <t>0-3M</t>
    <phoneticPr fontId="3" type="noConversion"/>
  </si>
  <si>
    <r>
      <rPr>
        <sz val="12"/>
        <color theme="1"/>
        <rFont val="細明體"/>
        <family val="3"/>
        <charset val="136"/>
      </rPr>
      <t>亞培早產兒奶粉</t>
    </r>
    <phoneticPr fontId="3" type="noConversion"/>
  </si>
  <si>
    <t>Thyroxine sodium 1/3#qd</t>
    <phoneticPr fontId="3" type="noConversion"/>
  </si>
  <si>
    <r>
      <rPr>
        <sz val="12"/>
        <color theme="1"/>
        <rFont val="細明體"/>
        <family val="3"/>
        <charset val="136"/>
      </rPr>
      <t>啟賦</t>
    </r>
    <r>
      <rPr>
        <sz val="12"/>
        <color theme="1"/>
        <rFont val="Times New Roman"/>
        <family val="1"/>
      </rPr>
      <t>(</t>
    </r>
    <r>
      <rPr>
        <sz val="12"/>
        <color theme="1"/>
        <rFont val="細明體"/>
        <family val="3"/>
        <charset val="136"/>
      </rPr>
      <t>以前喝過能恩水解、心美力</t>
    </r>
    <r>
      <rPr>
        <sz val="12"/>
        <color theme="1"/>
        <rFont val="Times New Roman"/>
        <family val="1"/>
      </rPr>
      <t>)</t>
    </r>
    <phoneticPr fontId="3" type="noConversion"/>
  </si>
  <si>
    <r>
      <rPr>
        <sz val="12"/>
        <color theme="1"/>
        <rFont val="細明體"/>
        <family val="3"/>
        <charset val="136"/>
      </rPr>
      <t>心臟開刀</t>
    </r>
    <r>
      <rPr>
        <sz val="12"/>
        <color theme="1"/>
        <rFont val="Times New Roman"/>
        <family val="1"/>
      </rPr>
      <t>(</t>
    </r>
    <r>
      <rPr>
        <sz val="12"/>
        <color theme="1"/>
        <rFont val="細明體"/>
        <family val="3"/>
        <charset val="136"/>
      </rPr>
      <t>血管未必合</t>
    </r>
    <r>
      <rPr>
        <sz val="12"/>
        <color theme="1"/>
        <rFont val="Times New Roman"/>
        <family val="1"/>
      </rPr>
      <t>)</t>
    </r>
    <r>
      <rPr>
        <sz val="12"/>
        <color theme="1"/>
        <rFont val="細明體"/>
        <family val="3"/>
        <charset val="136"/>
      </rPr>
      <t>；</t>
    </r>
    <r>
      <rPr>
        <sz val="12"/>
        <color theme="1"/>
        <rFont val="Times New Roman"/>
        <family val="1"/>
      </rPr>
      <t>4/7~5/3</t>
    </r>
    <r>
      <rPr>
        <sz val="12"/>
        <color theme="1"/>
        <rFont val="細明體"/>
        <family val="3"/>
        <charset val="136"/>
      </rPr>
      <t>住院</t>
    </r>
    <r>
      <rPr>
        <sz val="12"/>
        <color theme="1"/>
        <rFont val="Times New Roman"/>
        <family val="1"/>
      </rPr>
      <t>(</t>
    </r>
    <r>
      <rPr>
        <sz val="12"/>
        <color theme="1"/>
        <rFont val="細明體"/>
        <family val="3"/>
        <charset val="136"/>
      </rPr>
      <t>暫停呼吸器</t>
    </r>
    <r>
      <rPr>
        <sz val="12"/>
        <color theme="1"/>
        <rFont val="Times New Roman"/>
        <family val="1"/>
      </rPr>
      <t>&gt;</t>
    </r>
    <r>
      <rPr>
        <sz val="12"/>
        <color theme="1"/>
        <rFont val="細明體"/>
        <family val="3"/>
        <charset val="136"/>
      </rPr>
      <t>喘</t>
    </r>
    <r>
      <rPr>
        <sz val="12"/>
        <color theme="1"/>
        <rFont val="Times New Roman"/>
        <family val="1"/>
      </rPr>
      <t>)</t>
    </r>
    <phoneticPr fontId="3" type="noConversion"/>
  </si>
  <si>
    <r>
      <t>0-4/7</t>
    </r>
    <r>
      <rPr>
        <sz val="12"/>
        <color theme="1"/>
        <rFont val="細明體"/>
        <family val="3"/>
        <charset val="136"/>
      </rPr>
      <t>；</t>
    </r>
    <r>
      <rPr>
        <sz val="12"/>
        <color theme="1"/>
        <rFont val="Times New Roman"/>
        <family val="1"/>
      </rPr>
      <t>5/3-6/25</t>
    </r>
    <phoneticPr fontId="3" type="noConversion"/>
  </si>
  <si>
    <r>
      <t>4/7-5/3</t>
    </r>
    <r>
      <rPr>
        <sz val="12"/>
        <color theme="1"/>
        <rFont val="細明體"/>
        <family val="3"/>
        <charset val="136"/>
      </rPr>
      <t>；</t>
    </r>
    <r>
      <rPr>
        <sz val="12"/>
        <color theme="1"/>
        <rFont val="Times New Roman"/>
        <family val="1"/>
      </rPr>
      <t>6/27-NOW</t>
    </r>
    <phoneticPr fontId="3" type="noConversion"/>
  </si>
  <si>
    <r>
      <rPr>
        <sz val="12"/>
        <color theme="1"/>
        <rFont val="細明體"/>
        <family val="3"/>
        <charset val="136"/>
      </rPr>
      <t>亞培心美力；</t>
    </r>
    <r>
      <rPr>
        <sz val="12"/>
        <color theme="1"/>
        <rFont val="Times New Roman"/>
        <family val="1"/>
      </rPr>
      <t>8/5</t>
    </r>
    <r>
      <rPr>
        <sz val="12"/>
        <color theme="1"/>
        <rFont val="細明體"/>
        <family val="3"/>
        <charset val="136"/>
      </rPr>
      <t>換</t>
    </r>
    <r>
      <rPr>
        <sz val="12"/>
        <color theme="1"/>
        <rFont val="Times New Roman"/>
        <family val="1"/>
      </rPr>
      <t>S-26</t>
    </r>
    <phoneticPr fontId="3" type="noConversion"/>
  </si>
  <si>
    <r>
      <rPr>
        <sz val="12"/>
        <color theme="1"/>
        <rFont val="細明體"/>
        <family val="3"/>
        <charset val="136"/>
      </rPr>
      <t>住院</t>
    </r>
    <r>
      <rPr>
        <sz val="12"/>
        <color theme="1"/>
        <rFont val="Times New Roman"/>
        <family val="1"/>
      </rPr>
      <t>-NOW</t>
    </r>
    <phoneticPr fontId="3" type="noConversion"/>
  </si>
  <si>
    <r>
      <rPr>
        <sz val="12"/>
        <color theme="1"/>
        <rFont val="細明體"/>
        <family val="3"/>
        <charset val="136"/>
      </rPr>
      <t>醫院開的</t>
    </r>
    <phoneticPr fontId="3" type="noConversion"/>
  </si>
  <si>
    <r>
      <rPr>
        <sz val="12"/>
        <color theme="1"/>
        <rFont val="細明體"/>
        <family val="3"/>
        <charset val="136"/>
      </rPr>
      <t>蜜蜜熊嬰幼兒綜合維他命滴液</t>
    </r>
    <phoneticPr fontId="3" type="noConversion"/>
  </si>
  <si>
    <t>Vit B6</t>
    <phoneticPr fontId="3" type="noConversion"/>
  </si>
  <si>
    <r>
      <t>0-</t>
    </r>
    <r>
      <rPr>
        <sz val="12"/>
        <color theme="1"/>
        <rFont val="細明體"/>
        <family val="3"/>
        <charset val="136"/>
      </rPr>
      <t>矯</t>
    </r>
    <r>
      <rPr>
        <sz val="12"/>
        <color theme="1"/>
        <rFont val="Times New Roman"/>
        <family val="1"/>
      </rPr>
      <t>1M</t>
    </r>
    <phoneticPr fontId="3" type="noConversion"/>
  </si>
  <si>
    <r>
      <rPr>
        <sz val="12"/>
        <color theme="1"/>
        <rFont val="細明體"/>
        <family val="3"/>
        <charset val="136"/>
      </rPr>
      <t>亞培新美力</t>
    </r>
    <r>
      <rPr>
        <sz val="12"/>
        <color theme="1"/>
        <rFont val="Times New Roman"/>
        <family val="1"/>
      </rPr>
      <t>&gt;S26&gt;</t>
    </r>
    <r>
      <rPr>
        <sz val="12"/>
        <color theme="1"/>
        <rFont val="細明體"/>
        <family val="3"/>
        <charset val="136"/>
      </rPr>
      <t>能恩水解</t>
    </r>
    <phoneticPr fontId="3" type="noConversion"/>
  </si>
  <si>
    <r>
      <rPr>
        <sz val="12"/>
        <color theme="1"/>
        <rFont val="細明體"/>
        <family val="3"/>
        <charset val="136"/>
      </rPr>
      <t>住院期間</t>
    </r>
    <phoneticPr fontId="3" type="noConversion"/>
  </si>
  <si>
    <t>1/27-2/5</t>
    <phoneticPr fontId="3" type="noConversion"/>
  </si>
  <si>
    <r>
      <rPr>
        <sz val="12"/>
        <color theme="1"/>
        <rFont val="細明體"/>
        <family val="3"/>
        <charset val="136"/>
      </rPr>
      <t>希普利敏</t>
    </r>
    <phoneticPr fontId="3" type="noConversion"/>
  </si>
  <si>
    <t>0-1M</t>
    <phoneticPr fontId="3" type="noConversion"/>
  </si>
  <si>
    <r>
      <t xml:space="preserve">0-3M </t>
    </r>
    <r>
      <rPr>
        <sz val="12"/>
        <color theme="1"/>
        <rFont val="細明體"/>
        <family val="3"/>
        <charset val="136"/>
      </rPr>
      <t>能恩水解</t>
    </r>
    <r>
      <rPr>
        <sz val="12"/>
        <color theme="1"/>
        <rFont val="Times New Roman"/>
        <family val="1"/>
      </rPr>
      <t>1</t>
    </r>
    <r>
      <rPr>
        <sz val="12"/>
        <color theme="1"/>
        <rFont val="細明體"/>
        <family val="3"/>
        <charset val="136"/>
      </rPr>
      <t>；</t>
    </r>
    <r>
      <rPr>
        <sz val="12"/>
        <color theme="1"/>
        <rFont val="Times New Roman"/>
        <family val="1"/>
      </rPr>
      <t xml:space="preserve">3M-NOW </t>
    </r>
    <r>
      <rPr>
        <sz val="12"/>
        <color theme="1"/>
        <rFont val="細明體"/>
        <family val="3"/>
        <charset val="136"/>
      </rPr>
      <t>雪印金強子</t>
    </r>
    <r>
      <rPr>
        <sz val="12"/>
        <color theme="1"/>
        <rFont val="Times New Roman"/>
        <family val="1"/>
      </rPr>
      <t>1 plus</t>
    </r>
    <phoneticPr fontId="3" type="noConversion"/>
  </si>
  <si>
    <t>4M-NOW</t>
    <phoneticPr fontId="3" type="noConversion"/>
  </si>
  <si>
    <r>
      <rPr>
        <sz val="12"/>
        <color theme="1"/>
        <rFont val="細明體"/>
        <family val="3"/>
        <charset val="136"/>
      </rPr>
      <t>澤山</t>
    </r>
    <r>
      <rPr>
        <sz val="12"/>
        <color theme="1"/>
        <rFont val="Times New Roman"/>
        <family val="1"/>
      </rPr>
      <t>Lactoferrin</t>
    </r>
    <phoneticPr fontId="3" type="noConversion"/>
  </si>
  <si>
    <r>
      <rPr>
        <sz val="12"/>
        <color theme="1"/>
        <rFont val="細明體"/>
        <family val="3"/>
        <charset val="136"/>
      </rPr>
      <t>葉黃素</t>
    </r>
    <phoneticPr fontId="3" type="noConversion"/>
  </si>
  <si>
    <r>
      <rPr>
        <sz val="12"/>
        <color theme="1"/>
        <rFont val="細明體"/>
        <family val="3"/>
        <charset val="136"/>
      </rPr>
      <t>日比野</t>
    </r>
    <phoneticPr fontId="3" type="noConversion"/>
  </si>
  <si>
    <r>
      <t>2022</t>
    </r>
    <r>
      <rPr>
        <sz val="12"/>
        <color theme="1"/>
        <rFont val="細明體"/>
        <family val="3"/>
        <charset val="136"/>
      </rPr>
      <t>一月初</t>
    </r>
    <phoneticPr fontId="3" type="noConversion"/>
  </si>
  <si>
    <r>
      <t>0-</t>
    </r>
    <r>
      <rPr>
        <sz val="12"/>
        <color theme="1"/>
        <rFont val="細明體"/>
        <family val="3"/>
        <charset val="136"/>
      </rPr>
      <t>出生</t>
    </r>
    <r>
      <rPr>
        <sz val="12"/>
        <color theme="1"/>
        <rFont val="Times New Roman"/>
        <family val="1"/>
      </rPr>
      <t>10D</t>
    </r>
    <phoneticPr fontId="3" type="noConversion"/>
  </si>
  <si>
    <r>
      <rPr>
        <sz val="12"/>
        <color theme="1"/>
        <rFont val="細明體"/>
        <family val="3"/>
        <charset val="136"/>
      </rPr>
      <t>雀巢能恩早配</t>
    </r>
    <phoneticPr fontId="3" type="noConversion"/>
  </si>
  <si>
    <r>
      <rPr>
        <sz val="12"/>
        <color theme="1"/>
        <rFont val="細明體"/>
        <family val="3"/>
        <charset val="136"/>
      </rPr>
      <t>妙麗散</t>
    </r>
    <r>
      <rPr>
        <sz val="12"/>
        <color theme="1"/>
        <rFont val="Times New Roman"/>
        <family val="1"/>
      </rPr>
      <t>+</t>
    </r>
    <r>
      <rPr>
        <sz val="12"/>
        <color theme="1"/>
        <rFont val="細明體"/>
        <family val="3"/>
        <charset val="136"/>
      </rPr>
      <t>寶乖亞</t>
    </r>
    <phoneticPr fontId="3" type="noConversion"/>
  </si>
  <si>
    <r>
      <rPr>
        <sz val="12"/>
        <color theme="1"/>
        <rFont val="細明體"/>
        <family val="3"/>
        <charset val="136"/>
      </rPr>
      <t>粽合維他命</t>
    </r>
    <phoneticPr fontId="3" type="noConversion"/>
  </si>
  <si>
    <r>
      <rPr>
        <sz val="12"/>
        <color theme="1"/>
        <rFont val="細明體"/>
        <family val="3"/>
        <charset val="136"/>
      </rPr>
      <t>出生</t>
    </r>
    <r>
      <rPr>
        <sz val="12"/>
        <color theme="1"/>
        <rFont val="Times New Roman"/>
        <family val="1"/>
      </rPr>
      <t>1M-NOW</t>
    </r>
    <phoneticPr fontId="3" type="noConversion"/>
  </si>
  <si>
    <r>
      <rPr>
        <sz val="12"/>
        <color theme="1"/>
        <rFont val="細明體"/>
        <family val="3"/>
        <charset val="136"/>
      </rPr>
      <t>出生</t>
    </r>
    <r>
      <rPr>
        <sz val="12"/>
        <color theme="1"/>
        <rFont val="Times New Roman"/>
        <family val="1"/>
      </rPr>
      <t>4M-NOW</t>
    </r>
    <phoneticPr fontId="3" type="noConversion"/>
  </si>
  <si>
    <r>
      <rPr>
        <sz val="12"/>
        <color theme="1"/>
        <rFont val="細明體"/>
        <family val="3"/>
        <charset val="136"/>
      </rPr>
      <t>血管瘤的藥</t>
    </r>
    <phoneticPr fontId="3" type="noConversion"/>
  </si>
  <si>
    <r>
      <rPr>
        <sz val="12"/>
        <color theme="1"/>
        <rFont val="細明體"/>
        <family val="3"/>
        <charset val="136"/>
      </rPr>
      <t>能恩水解早產兒配方</t>
    </r>
    <phoneticPr fontId="3" type="noConversion"/>
  </si>
  <si>
    <t>7/2-NOW</t>
    <phoneticPr fontId="3" type="noConversion"/>
  </si>
  <si>
    <r>
      <t xml:space="preserve">Zn, </t>
    </r>
    <r>
      <rPr>
        <sz val="12"/>
        <color theme="1"/>
        <rFont val="細明體"/>
        <family val="3"/>
        <charset val="136"/>
      </rPr>
      <t>幫助消化的藥</t>
    </r>
    <phoneticPr fontId="3" type="noConversion"/>
  </si>
  <si>
    <r>
      <rPr>
        <sz val="12"/>
        <color theme="1"/>
        <rFont val="細明體"/>
        <family val="3"/>
        <charset val="136"/>
      </rPr>
      <t>心臟；腦室擴大</t>
    </r>
    <r>
      <rPr>
        <sz val="12"/>
        <color theme="1"/>
        <rFont val="Times New Roman"/>
        <family val="1"/>
      </rPr>
      <t>(</t>
    </r>
    <r>
      <rPr>
        <sz val="12"/>
        <color theme="1"/>
        <rFont val="細明體"/>
        <family val="3"/>
        <charset val="136"/>
      </rPr>
      <t>皆於長庚追蹤</t>
    </r>
    <r>
      <rPr>
        <sz val="12"/>
        <color theme="1"/>
        <rFont val="Times New Roman"/>
        <family val="1"/>
      </rPr>
      <t>)</t>
    </r>
    <phoneticPr fontId="3" type="noConversion"/>
  </si>
  <si>
    <r>
      <rPr>
        <sz val="12"/>
        <color theme="1"/>
        <rFont val="細明體"/>
        <family val="3"/>
        <charset val="136"/>
      </rPr>
      <t>看病歷</t>
    </r>
    <r>
      <rPr>
        <sz val="12"/>
        <color theme="1"/>
        <rFont val="Times New Roman"/>
        <family val="1"/>
      </rPr>
      <t>!!</t>
    </r>
    <phoneticPr fontId="3" type="noConversion"/>
  </si>
  <si>
    <t>0-7M</t>
    <phoneticPr fontId="3" type="noConversion"/>
  </si>
  <si>
    <r>
      <rPr>
        <sz val="12"/>
        <color theme="1"/>
        <rFont val="細明體"/>
        <family val="3"/>
        <charset val="136"/>
      </rPr>
      <t>新美力</t>
    </r>
    <phoneticPr fontId="3" type="noConversion"/>
  </si>
  <si>
    <r>
      <t>9</t>
    </r>
    <r>
      <rPr>
        <sz val="12"/>
        <color theme="1"/>
        <rFont val="細明體"/>
        <family val="3"/>
        <charset val="136"/>
      </rPr>
      <t>月</t>
    </r>
    <r>
      <rPr>
        <sz val="12"/>
        <color theme="1"/>
        <rFont val="Times New Roman"/>
        <family val="1"/>
      </rPr>
      <t>-NOW</t>
    </r>
    <phoneticPr fontId="3" type="noConversion"/>
  </si>
  <si>
    <r>
      <rPr>
        <sz val="12"/>
        <color theme="1"/>
        <rFont val="細明體"/>
        <family val="3"/>
        <charset val="136"/>
      </rPr>
      <t>心美力早產</t>
    </r>
    <phoneticPr fontId="3" type="noConversion"/>
  </si>
  <si>
    <r>
      <t>6</t>
    </r>
    <r>
      <rPr>
        <sz val="12"/>
        <color theme="1"/>
        <rFont val="細明體"/>
        <family val="3"/>
        <charset val="136"/>
      </rPr>
      <t>月</t>
    </r>
    <r>
      <rPr>
        <sz val="12"/>
        <color theme="1"/>
        <rFont val="Times New Roman"/>
        <family val="1"/>
      </rPr>
      <t>-NOW</t>
    </r>
    <phoneticPr fontId="3" type="noConversion"/>
  </si>
  <si>
    <r>
      <rPr>
        <sz val="12"/>
        <color theme="1"/>
        <rFont val="細明體"/>
        <family val="3"/>
        <charset val="136"/>
      </rPr>
      <t>長庚開的</t>
    </r>
    <phoneticPr fontId="3" type="noConversion"/>
  </si>
  <si>
    <r>
      <rPr>
        <sz val="12"/>
        <color theme="1"/>
        <rFont val="細明體"/>
        <family val="3"/>
        <charset val="136"/>
      </rPr>
      <t>胃藥</t>
    </r>
    <r>
      <rPr>
        <sz val="12"/>
        <color theme="1"/>
        <rFont val="Times New Roman"/>
        <family val="1"/>
      </rPr>
      <t>(</t>
    </r>
    <r>
      <rPr>
        <sz val="12"/>
        <color theme="1"/>
        <rFont val="細明體"/>
        <family val="3"/>
        <charset val="136"/>
      </rPr>
      <t>長庚開的</t>
    </r>
    <r>
      <rPr>
        <sz val="12"/>
        <color theme="1"/>
        <rFont val="Times New Roman"/>
        <family val="1"/>
      </rPr>
      <t>)</t>
    </r>
    <phoneticPr fontId="3" type="noConversion"/>
  </si>
  <si>
    <r>
      <rPr>
        <sz val="12"/>
        <color theme="1"/>
        <rFont val="細明體"/>
        <family val="3"/>
        <charset val="136"/>
      </rPr>
      <t>矯</t>
    </r>
    <r>
      <rPr>
        <sz val="12"/>
        <color theme="1"/>
        <rFont val="Times New Roman"/>
        <family val="1"/>
      </rPr>
      <t>6M(7</t>
    </r>
    <r>
      <rPr>
        <sz val="12"/>
        <color theme="1"/>
        <rFont val="細明體"/>
        <family val="3"/>
        <charset val="136"/>
      </rPr>
      <t>月</t>
    </r>
    <r>
      <rPr>
        <sz val="12"/>
        <color theme="1"/>
        <rFont val="Times New Roman"/>
        <family val="1"/>
      </rPr>
      <t>)</t>
    </r>
    <r>
      <rPr>
        <sz val="12"/>
        <color theme="1"/>
        <rFont val="細明體"/>
        <family val="3"/>
        <charset val="136"/>
      </rPr>
      <t>，吃了</t>
    </r>
    <r>
      <rPr>
        <sz val="12"/>
        <color theme="1"/>
        <rFont val="Times New Roman"/>
        <family val="1"/>
      </rPr>
      <t>3</t>
    </r>
    <r>
      <rPr>
        <sz val="12"/>
        <color theme="1"/>
        <rFont val="細明體"/>
        <family val="3"/>
        <charset val="136"/>
      </rPr>
      <t>週但一直吐，聽急診建議就停了，現只喝奶</t>
    </r>
    <phoneticPr fontId="3" type="noConversion"/>
  </si>
  <si>
    <r>
      <rPr>
        <sz val="12"/>
        <color theme="1"/>
        <rFont val="細明體"/>
        <family val="3"/>
        <charset val="136"/>
      </rPr>
      <t>美強生母乳添加劑</t>
    </r>
    <phoneticPr fontId="3" type="noConversion"/>
  </si>
  <si>
    <r>
      <rPr>
        <sz val="12"/>
        <color theme="1"/>
        <rFont val="細明體"/>
        <family val="3"/>
        <charset val="136"/>
      </rPr>
      <t>諾優貝</t>
    </r>
    <phoneticPr fontId="3" type="noConversion"/>
  </si>
  <si>
    <r>
      <t>0-</t>
    </r>
    <r>
      <rPr>
        <sz val="12"/>
        <color theme="1"/>
        <rFont val="細明體"/>
        <family val="3"/>
        <charset val="136"/>
      </rPr>
      <t>矯</t>
    </r>
    <r>
      <rPr>
        <sz val="12"/>
        <color theme="1"/>
        <rFont val="Times New Roman"/>
        <family val="1"/>
      </rPr>
      <t>4M</t>
    </r>
    <phoneticPr fontId="3" type="noConversion"/>
  </si>
  <si>
    <r>
      <t>0-</t>
    </r>
    <r>
      <rPr>
        <sz val="12"/>
        <color theme="1"/>
        <rFont val="細明體"/>
        <family val="3"/>
        <charset val="136"/>
      </rPr>
      <t>矯</t>
    </r>
    <r>
      <rPr>
        <sz val="12"/>
        <color theme="1"/>
        <rFont val="Times New Roman"/>
        <family val="1"/>
      </rPr>
      <t>3M</t>
    </r>
    <r>
      <rPr>
        <sz val="12"/>
        <color theme="1"/>
        <rFont val="細明體"/>
        <family val="3"/>
        <charset val="136"/>
      </rPr>
      <t>；矯</t>
    </r>
    <r>
      <rPr>
        <sz val="12"/>
        <color theme="1"/>
        <rFont val="Times New Roman"/>
        <family val="1"/>
      </rPr>
      <t>4M-NOW</t>
    </r>
    <phoneticPr fontId="3" type="noConversion"/>
  </si>
  <si>
    <r>
      <rPr>
        <sz val="12"/>
        <color theme="1"/>
        <rFont val="細明體"/>
        <family val="3"/>
        <charset val="136"/>
      </rPr>
      <t>祐爾康金貝親</t>
    </r>
    <phoneticPr fontId="3" type="noConversion"/>
  </si>
  <si>
    <r>
      <rPr>
        <sz val="12"/>
        <color theme="1"/>
        <rFont val="細明體"/>
        <family val="3"/>
        <charset val="136"/>
      </rPr>
      <t>聲門下狹窄、慢性肝病</t>
    </r>
    <phoneticPr fontId="3" type="noConversion"/>
  </si>
  <si>
    <t>202011-202102</t>
    <phoneticPr fontId="3" type="noConversion"/>
  </si>
  <si>
    <r>
      <rPr>
        <sz val="12"/>
        <color theme="1"/>
        <rFont val="細明體"/>
        <family val="3"/>
        <charset val="136"/>
      </rPr>
      <t>亞培心美力早產配方</t>
    </r>
    <phoneticPr fontId="3" type="noConversion"/>
  </si>
  <si>
    <r>
      <rPr>
        <sz val="12"/>
        <color theme="1"/>
        <rFont val="細明體"/>
        <family val="3"/>
        <charset val="136"/>
      </rPr>
      <t>益腹寧</t>
    </r>
    <phoneticPr fontId="3" type="noConversion"/>
  </si>
  <si>
    <t>Thyroxine Sodium</t>
    <phoneticPr fontId="3" type="noConversion"/>
  </si>
  <si>
    <r>
      <rPr>
        <sz val="12"/>
        <color theme="1"/>
        <rFont val="細明體"/>
        <family val="3"/>
        <charset val="136"/>
      </rPr>
      <t>亞培心美力早產兒配方</t>
    </r>
    <phoneticPr fontId="3" type="noConversion"/>
  </si>
  <si>
    <r>
      <rPr>
        <sz val="12"/>
        <color theme="1"/>
        <rFont val="細明體"/>
        <family val="3"/>
        <charset val="136"/>
      </rPr>
      <t>出院</t>
    </r>
    <r>
      <rPr>
        <sz val="12"/>
        <color theme="1"/>
        <rFont val="Times New Roman"/>
        <family val="1"/>
      </rPr>
      <t>-NOW</t>
    </r>
    <phoneticPr fontId="3" type="noConversion"/>
  </si>
  <si>
    <r>
      <rPr>
        <sz val="12"/>
        <color theme="1"/>
        <rFont val="細明體"/>
        <family val="3"/>
        <charset val="136"/>
      </rPr>
      <t>出生</t>
    </r>
    <r>
      <rPr>
        <sz val="12"/>
        <color theme="1"/>
        <rFont val="Times New Roman"/>
        <family val="1"/>
      </rPr>
      <t>2M-NOW</t>
    </r>
    <phoneticPr fontId="3" type="noConversion"/>
  </si>
  <si>
    <r>
      <rPr>
        <sz val="12"/>
        <color theme="1"/>
        <rFont val="細明體"/>
        <family val="3"/>
        <charset val="136"/>
      </rPr>
      <t>能恩水解</t>
    </r>
    <r>
      <rPr>
        <sz val="12"/>
        <color theme="1"/>
        <rFont val="Times New Roman"/>
        <family val="1"/>
      </rPr>
      <t>Stage 1</t>
    </r>
    <phoneticPr fontId="3" type="noConversion"/>
  </si>
  <si>
    <r>
      <t>S26</t>
    </r>
    <r>
      <rPr>
        <sz val="12"/>
        <color theme="1"/>
        <rFont val="細明體"/>
        <family val="3"/>
        <charset val="136"/>
      </rPr>
      <t/>
    </r>
    <phoneticPr fontId="3" type="noConversion"/>
  </si>
  <si>
    <t>出院-矯3M</t>
    <phoneticPr fontId="3" type="noConversion"/>
  </si>
  <si>
    <t>出生2M-出生5M</t>
    <phoneticPr fontId="3" type="noConversion"/>
  </si>
  <si>
    <t>寶乖亞</t>
    <phoneticPr fontId="3" type="noConversion"/>
  </si>
  <si>
    <t>綜合維他命</t>
    <phoneticPr fontId="3" type="noConversion"/>
  </si>
  <si>
    <t>出院-矯6M</t>
    <phoneticPr fontId="3" type="noConversion"/>
  </si>
  <si>
    <t>寶益兒</t>
    <phoneticPr fontId="3" type="noConversion"/>
  </si>
  <si>
    <t>5/2-NOW</t>
    <phoneticPr fontId="3" type="noConversion"/>
  </si>
  <si>
    <r>
      <t>0-</t>
    </r>
    <r>
      <rPr>
        <sz val="12"/>
        <color theme="1"/>
        <rFont val="細明體"/>
        <family val="3"/>
        <charset val="136"/>
      </rPr>
      <t>矯</t>
    </r>
    <r>
      <rPr>
        <sz val="12"/>
        <color theme="1"/>
        <rFont val="Times New Roman"/>
        <family val="1"/>
      </rPr>
      <t>5M</t>
    </r>
    <phoneticPr fontId="3" type="noConversion"/>
  </si>
  <si>
    <r>
      <rPr>
        <sz val="12"/>
        <color theme="1"/>
        <rFont val="細明體"/>
        <family val="3"/>
        <charset val="136"/>
      </rPr>
      <t>矯</t>
    </r>
    <r>
      <rPr>
        <sz val="12"/>
        <color theme="1"/>
        <rFont val="Times New Roman"/>
        <family val="1"/>
      </rPr>
      <t>2M-NOW</t>
    </r>
    <phoneticPr fontId="3" type="noConversion"/>
  </si>
  <si>
    <r>
      <t>S26</t>
    </r>
    <r>
      <rPr>
        <sz val="12"/>
        <color theme="1"/>
        <rFont val="細明體"/>
        <family val="3"/>
        <charset val="136"/>
      </rPr>
      <t>早產兒配方；</t>
    </r>
    <r>
      <rPr>
        <sz val="12"/>
        <color theme="1"/>
        <rFont val="Times New Roman"/>
        <family val="1"/>
      </rPr>
      <t>S26</t>
    </r>
    <r>
      <rPr>
        <sz val="12"/>
        <color theme="1"/>
        <rFont val="細明體"/>
        <family val="3"/>
        <charset val="136"/>
      </rPr>
      <t>惠兒樂</t>
    </r>
    <phoneticPr fontId="3" type="noConversion"/>
  </si>
  <si>
    <r>
      <rPr>
        <sz val="12"/>
        <color theme="1"/>
        <rFont val="細明體"/>
        <family val="3"/>
        <charset val="136"/>
      </rPr>
      <t>矯</t>
    </r>
    <r>
      <rPr>
        <sz val="12"/>
        <color theme="1"/>
        <rFont val="Times New Roman"/>
        <family val="1"/>
      </rPr>
      <t>5M-NOW(</t>
    </r>
    <r>
      <rPr>
        <sz val="12"/>
        <color theme="1"/>
        <rFont val="細明體"/>
        <family val="3"/>
        <charset val="136"/>
      </rPr>
      <t>約</t>
    </r>
    <r>
      <rPr>
        <sz val="12"/>
        <color theme="1"/>
        <rFont val="Times New Roman"/>
        <family val="1"/>
      </rPr>
      <t>2</t>
    </r>
    <r>
      <rPr>
        <sz val="12"/>
        <color theme="1"/>
        <rFont val="細明體"/>
        <family val="3"/>
        <charset val="136"/>
      </rPr>
      <t>週</t>
    </r>
    <r>
      <rPr>
        <sz val="12"/>
        <color theme="1"/>
        <rFont val="Times New Roman"/>
        <family val="1"/>
      </rPr>
      <t>)</t>
    </r>
    <phoneticPr fontId="3" type="noConversion"/>
  </si>
  <si>
    <r>
      <rPr>
        <sz val="12"/>
        <color theme="1"/>
        <rFont val="細明體"/>
        <family val="3"/>
        <charset val="136"/>
      </rPr>
      <t>安麗</t>
    </r>
    <phoneticPr fontId="3" type="noConversion"/>
  </si>
  <si>
    <r>
      <rPr>
        <sz val="12"/>
        <color theme="1"/>
        <rFont val="細明體"/>
        <family val="3"/>
        <charset val="136"/>
      </rPr>
      <t>矯</t>
    </r>
    <r>
      <rPr>
        <sz val="12"/>
        <color theme="1"/>
        <rFont val="Times New Roman"/>
        <family val="1"/>
      </rPr>
      <t>3M-NOW</t>
    </r>
    <phoneticPr fontId="3" type="noConversion"/>
  </si>
  <si>
    <r>
      <t>Propranolol (</t>
    </r>
    <r>
      <rPr>
        <sz val="12"/>
        <color theme="1"/>
        <rFont val="細明體"/>
        <family val="3"/>
        <charset val="136"/>
      </rPr>
      <t>治療血管瘤</t>
    </r>
    <r>
      <rPr>
        <sz val="12"/>
        <color theme="1"/>
        <rFont val="Times New Roman"/>
        <family val="1"/>
      </rPr>
      <t>?)</t>
    </r>
    <phoneticPr fontId="3" type="noConversion"/>
  </si>
  <si>
    <r>
      <rPr>
        <sz val="12"/>
        <color theme="1"/>
        <rFont val="細明體"/>
        <family val="3"/>
        <charset val="136"/>
      </rPr>
      <t>矯</t>
    </r>
    <r>
      <rPr>
        <sz val="12"/>
        <color theme="1"/>
        <rFont val="Times New Roman"/>
        <family val="1"/>
      </rPr>
      <t>4M18D</t>
    </r>
    <phoneticPr fontId="3" type="noConversion"/>
  </si>
  <si>
    <t>0-4M</t>
    <phoneticPr fontId="3" type="noConversion"/>
  </si>
  <si>
    <t>1M-NOW</t>
    <phoneticPr fontId="3" type="noConversion"/>
  </si>
  <si>
    <t>2M-NOW</t>
    <phoneticPr fontId="3" type="noConversion"/>
  </si>
  <si>
    <r>
      <t>0-</t>
    </r>
    <r>
      <rPr>
        <sz val="12"/>
        <color theme="1"/>
        <rFont val="細明體"/>
        <family val="3"/>
        <charset val="136"/>
      </rPr>
      <t>醫師停開</t>
    </r>
    <phoneticPr fontId="3" type="noConversion"/>
  </si>
  <si>
    <r>
      <rPr>
        <sz val="12"/>
        <color theme="1"/>
        <rFont val="細明體"/>
        <family val="3"/>
        <charset val="136"/>
      </rPr>
      <t>醫院的</t>
    </r>
    <phoneticPr fontId="3" type="noConversion"/>
  </si>
  <si>
    <r>
      <t>9</t>
    </r>
    <r>
      <rPr>
        <sz val="12"/>
        <color theme="1"/>
        <rFont val="細明體"/>
        <family val="3"/>
        <charset val="136"/>
      </rPr>
      <t>月底吃了三天</t>
    </r>
    <phoneticPr fontId="3" type="noConversion"/>
  </si>
  <si>
    <r>
      <t>3M(</t>
    </r>
    <r>
      <rPr>
        <sz val="12"/>
        <color theme="1"/>
        <rFont val="細明體"/>
        <family val="3"/>
        <charset val="136"/>
      </rPr>
      <t>湯水</t>
    </r>
    <r>
      <rPr>
        <sz val="12"/>
        <color theme="1"/>
        <rFont val="Times New Roman"/>
        <family val="1"/>
      </rPr>
      <t>)</t>
    </r>
    <r>
      <rPr>
        <sz val="12"/>
        <color theme="1"/>
        <rFont val="細明體"/>
        <family val="3"/>
        <charset val="136"/>
      </rPr>
      <t>，</t>
    </r>
    <r>
      <rPr>
        <sz val="12"/>
        <color theme="1"/>
        <rFont val="Times New Roman"/>
        <family val="1"/>
      </rPr>
      <t>8M(</t>
    </r>
    <r>
      <rPr>
        <sz val="12"/>
        <color theme="1"/>
        <rFont val="細明體"/>
        <family val="3"/>
        <charset val="136"/>
      </rPr>
      <t>糊狀菜</t>
    </r>
    <r>
      <rPr>
        <sz val="12"/>
        <color theme="1"/>
        <rFont val="Times New Roman"/>
        <family val="1"/>
      </rPr>
      <t>)</t>
    </r>
    <phoneticPr fontId="3" type="noConversion"/>
  </si>
  <si>
    <r>
      <rPr>
        <sz val="12"/>
        <color theme="1"/>
        <rFont val="細明體"/>
        <family val="3"/>
        <charset val="136"/>
      </rPr>
      <t>能恩水解</t>
    </r>
    <phoneticPr fontId="3" type="noConversion"/>
  </si>
  <si>
    <r>
      <t>(</t>
    </r>
    <r>
      <rPr>
        <sz val="12"/>
        <color theme="1"/>
        <rFont val="細明體"/>
        <family val="3"/>
        <charset val="136"/>
      </rPr>
      <t>採便便時沒吃</t>
    </r>
    <r>
      <rPr>
        <sz val="12"/>
        <color theme="1"/>
        <rFont val="Times New Roman"/>
        <family val="1"/>
      </rPr>
      <t>)</t>
    </r>
    <phoneticPr fontId="3" type="noConversion"/>
  </si>
  <si>
    <r>
      <rPr>
        <sz val="12"/>
        <color theme="1"/>
        <rFont val="細明體"/>
        <family val="3"/>
        <charset val="136"/>
      </rPr>
      <t>感冒退燒</t>
    </r>
    <phoneticPr fontId="3" type="noConversion"/>
  </si>
  <si>
    <r>
      <t>0-</t>
    </r>
    <r>
      <rPr>
        <sz val="12"/>
        <color theme="1"/>
        <rFont val="細明體"/>
        <family val="3"/>
        <charset val="136"/>
      </rPr>
      <t>出生</t>
    </r>
    <r>
      <rPr>
        <sz val="12"/>
        <color theme="1"/>
        <rFont val="Times New Roman"/>
        <family val="1"/>
      </rPr>
      <t>6M</t>
    </r>
    <phoneticPr fontId="3" type="noConversion"/>
  </si>
  <si>
    <r>
      <rPr>
        <sz val="12"/>
        <color theme="1"/>
        <rFont val="細明體"/>
        <family val="3"/>
        <charset val="136"/>
      </rPr>
      <t>出生</t>
    </r>
    <r>
      <rPr>
        <sz val="12"/>
        <color theme="1"/>
        <rFont val="Times New Roman"/>
        <family val="1"/>
      </rPr>
      <t>6M-NOW</t>
    </r>
    <phoneticPr fontId="3" type="noConversion"/>
  </si>
  <si>
    <r>
      <rPr>
        <sz val="12"/>
        <color theme="1"/>
        <rFont val="細明體"/>
        <family val="3"/>
        <charset val="136"/>
      </rPr>
      <t>諾優貝</t>
    </r>
    <r>
      <rPr>
        <sz val="12"/>
        <color theme="1"/>
        <rFont val="Times New Roman"/>
        <family val="1"/>
      </rPr>
      <t>2</t>
    </r>
    <r>
      <rPr>
        <sz val="12"/>
        <color theme="1"/>
        <rFont val="細明體"/>
        <family val="3"/>
        <charset val="136"/>
      </rPr>
      <t>號</t>
    </r>
    <phoneticPr fontId="3" type="noConversion"/>
  </si>
  <si>
    <r>
      <rPr>
        <sz val="12"/>
        <color theme="1"/>
        <rFont val="細明體"/>
        <family val="3"/>
        <charset val="136"/>
      </rPr>
      <t>卡洛琳</t>
    </r>
    <phoneticPr fontId="3" type="noConversion"/>
  </si>
  <si>
    <t>1/11-1/24</t>
    <phoneticPr fontId="3" type="noConversion"/>
  </si>
  <si>
    <r>
      <rPr>
        <sz val="12"/>
        <color theme="1"/>
        <rFont val="細明體"/>
        <family val="3"/>
        <charset val="136"/>
      </rPr>
      <t>感冒藥</t>
    </r>
    <r>
      <rPr>
        <sz val="12"/>
        <color theme="1"/>
        <rFont val="Times New Roman"/>
        <family val="1"/>
      </rPr>
      <t>(</t>
    </r>
    <r>
      <rPr>
        <sz val="12"/>
        <color theme="1"/>
        <rFont val="細明體"/>
        <family val="3"/>
        <charset val="136"/>
      </rPr>
      <t>醫院開的</t>
    </r>
    <r>
      <rPr>
        <sz val="12"/>
        <color theme="1"/>
        <rFont val="Times New Roman"/>
        <family val="1"/>
      </rPr>
      <t>)</t>
    </r>
    <phoneticPr fontId="3" type="noConversion"/>
  </si>
  <si>
    <r>
      <rPr>
        <sz val="12"/>
        <color theme="1"/>
        <rFont val="細明體"/>
        <family val="3"/>
        <charset val="136"/>
      </rPr>
      <t>出生</t>
    </r>
    <r>
      <rPr>
        <sz val="12"/>
        <color theme="1"/>
        <rFont val="Times New Roman"/>
        <family val="1"/>
      </rPr>
      <t>5M</t>
    </r>
    <phoneticPr fontId="3" type="noConversion"/>
  </si>
  <si>
    <t>8/30-10/31</t>
    <phoneticPr fontId="3" type="noConversion"/>
  </si>
  <si>
    <t>11/1-NOW</t>
    <phoneticPr fontId="3" type="noConversion"/>
  </si>
  <si>
    <t>5/3-5/5</t>
    <phoneticPr fontId="3" type="noConversion"/>
  </si>
  <si>
    <t>蕁麻疹藥(必爾生口服藥；勝克敏液；希普利敏液)</t>
    <phoneticPr fontId="3" type="noConversion"/>
  </si>
  <si>
    <r>
      <t>2022/3</t>
    </r>
    <r>
      <rPr>
        <sz val="12"/>
        <color theme="1"/>
        <rFont val="細明體"/>
        <family val="3"/>
        <charset val="136"/>
      </rPr>
      <t>月初</t>
    </r>
    <phoneticPr fontId="3" type="noConversion"/>
  </si>
  <si>
    <t>0-2M</t>
    <phoneticPr fontId="3" type="noConversion"/>
  </si>
  <si>
    <r>
      <rPr>
        <sz val="12"/>
        <color theme="1"/>
        <rFont val="細明體"/>
        <family val="3"/>
        <charset val="136"/>
      </rPr>
      <t>林貝兒</t>
    </r>
    <phoneticPr fontId="3" type="noConversion"/>
  </si>
  <si>
    <r>
      <rPr>
        <sz val="12"/>
        <color theme="1"/>
        <rFont val="細明體"/>
        <family val="3"/>
        <charset val="136"/>
      </rPr>
      <t>卡蘿琳</t>
    </r>
    <phoneticPr fontId="3" type="noConversion"/>
  </si>
  <si>
    <r>
      <rPr>
        <sz val="12"/>
        <color theme="1"/>
        <rFont val="細明體"/>
        <family val="3"/>
        <charset val="136"/>
      </rPr>
      <t>雀巢早產兒配方</t>
    </r>
    <r>
      <rPr>
        <sz val="12"/>
        <color theme="1"/>
        <rFont val="Times New Roman"/>
        <family val="1"/>
      </rPr>
      <t>(0-3M)</t>
    </r>
    <r>
      <rPr>
        <sz val="12"/>
        <color theme="1"/>
        <rFont val="細明體"/>
        <family val="3"/>
        <charset val="136"/>
      </rPr>
      <t>；雪印金強子</t>
    </r>
    <r>
      <rPr>
        <sz val="12"/>
        <color theme="1"/>
        <rFont val="Times New Roman"/>
        <family val="1"/>
      </rPr>
      <t>(3-9M)</t>
    </r>
    <phoneticPr fontId="3" type="noConversion"/>
  </si>
  <si>
    <r>
      <rPr>
        <sz val="12"/>
        <color theme="1"/>
        <rFont val="細明體"/>
        <family val="3"/>
        <charset val="136"/>
      </rPr>
      <t>寶益兒</t>
    </r>
    <r>
      <rPr>
        <sz val="12"/>
        <color theme="1"/>
        <rFont val="Times New Roman"/>
        <family val="1"/>
      </rPr>
      <t>(</t>
    </r>
    <r>
      <rPr>
        <sz val="12"/>
        <color theme="1"/>
        <rFont val="細明體"/>
        <family val="3"/>
        <charset val="136"/>
      </rPr>
      <t>醫生開的</t>
    </r>
    <r>
      <rPr>
        <sz val="12"/>
        <color theme="1"/>
        <rFont val="Times New Roman"/>
        <family val="1"/>
      </rPr>
      <t>)</t>
    </r>
    <phoneticPr fontId="3" type="noConversion"/>
  </si>
  <si>
    <t>8M-NOW</t>
    <phoneticPr fontId="3" type="noConversion"/>
  </si>
  <si>
    <t>S-26</t>
    <phoneticPr fontId="3" type="noConversion"/>
  </si>
  <si>
    <r>
      <rPr>
        <sz val="12"/>
        <color theme="1"/>
        <rFont val="細明體"/>
        <family val="3"/>
        <charset val="136"/>
      </rPr>
      <t>研究計畫</t>
    </r>
    <phoneticPr fontId="3" type="noConversion"/>
  </si>
  <si>
    <r>
      <rPr>
        <sz val="12"/>
        <color theme="1"/>
        <rFont val="細明體"/>
        <family val="3"/>
        <charset val="136"/>
      </rPr>
      <t>亞培親護</t>
    </r>
    <phoneticPr fontId="3" type="noConversion"/>
  </si>
  <si>
    <r>
      <t>0-</t>
    </r>
    <r>
      <rPr>
        <sz val="12"/>
        <color theme="1"/>
        <rFont val="細明體"/>
        <family val="3"/>
        <charset val="136"/>
      </rPr>
      <t>矯</t>
    </r>
    <r>
      <rPr>
        <sz val="12"/>
        <color theme="1"/>
        <rFont val="Times New Roman"/>
        <family val="1"/>
      </rPr>
      <t>2M</t>
    </r>
    <phoneticPr fontId="3" type="noConversion"/>
  </si>
  <si>
    <r>
      <rPr>
        <sz val="12"/>
        <color theme="1"/>
        <rFont val="細明體"/>
        <family val="3"/>
        <charset val="136"/>
      </rPr>
      <t>矯</t>
    </r>
    <r>
      <rPr>
        <sz val="12"/>
        <color theme="1"/>
        <rFont val="Times New Roman"/>
        <family val="1"/>
      </rPr>
      <t>1M-NOW</t>
    </r>
    <phoneticPr fontId="3" type="noConversion"/>
  </si>
  <si>
    <r>
      <rPr>
        <sz val="12"/>
        <color theme="1"/>
        <rFont val="細明體"/>
        <family val="3"/>
        <charset val="136"/>
      </rPr>
      <t>卡洛塔妮</t>
    </r>
    <phoneticPr fontId="3" type="noConversion"/>
  </si>
  <si>
    <r>
      <rPr>
        <sz val="12"/>
        <color theme="1"/>
        <rFont val="細明體"/>
        <family val="3"/>
        <charset val="136"/>
      </rPr>
      <t>上上週吃了</t>
    </r>
    <r>
      <rPr>
        <sz val="12"/>
        <color theme="1"/>
        <rFont val="Times New Roman"/>
        <family val="1"/>
      </rPr>
      <t>3~5</t>
    </r>
    <r>
      <rPr>
        <sz val="12"/>
        <color theme="1"/>
        <rFont val="細明體"/>
        <family val="3"/>
        <charset val="136"/>
      </rPr>
      <t>天</t>
    </r>
    <phoneticPr fontId="3" type="noConversion"/>
  </si>
  <si>
    <t>?</t>
    <phoneticPr fontId="3" type="noConversion"/>
  </si>
  <si>
    <r>
      <rPr>
        <sz val="12"/>
        <color theme="1"/>
        <rFont val="細明體"/>
        <family val="3"/>
        <charset val="136"/>
      </rPr>
      <t>桂格愛力心</t>
    </r>
    <phoneticPr fontId="3" type="noConversion"/>
  </si>
  <si>
    <r>
      <rPr>
        <sz val="12"/>
        <color theme="1"/>
        <rFont val="細明體"/>
        <family val="3"/>
        <charset val="136"/>
      </rPr>
      <t>矯</t>
    </r>
    <r>
      <rPr>
        <sz val="12"/>
        <color theme="1"/>
        <rFont val="Times New Roman"/>
        <family val="1"/>
      </rPr>
      <t>5M-NOW</t>
    </r>
    <phoneticPr fontId="3" type="noConversion"/>
  </si>
  <si>
    <r>
      <rPr>
        <sz val="12"/>
        <color theme="1"/>
        <rFont val="細明體"/>
        <family val="3"/>
        <charset val="136"/>
      </rPr>
      <t>持續</t>
    </r>
    <phoneticPr fontId="3" type="noConversion"/>
  </si>
  <si>
    <r>
      <rPr>
        <sz val="12"/>
        <color theme="1"/>
        <rFont val="細明體"/>
        <family val="3"/>
        <charset val="136"/>
      </rPr>
      <t>心臟</t>
    </r>
    <phoneticPr fontId="3" type="noConversion"/>
  </si>
  <si>
    <r>
      <rPr>
        <sz val="12"/>
        <color theme="1"/>
        <rFont val="細明體"/>
        <family val="3"/>
        <charset val="136"/>
      </rPr>
      <t>矯</t>
    </r>
    <r>
      <rPr>
        <sz val="12"/>
        <color theme="1"/>
        <rFont val="Times New Roman"/>
        <family val="1"/>
      </rPr>
      <t>5M</t>
    </r>
    <phoneticPr fontId="3" type="noConversion"/>
  </si>
  <si>
    <r>
      <t>0-</t>
    </r>
    <r>
      <rPr>
        <sz val="12"/>
        <color theme="1"/>
        <rFont val="細明體"/>
        <family val="3"/>
        <charset val="136"/>
      </rPr>
      <t>出生</t>
    </r>
    <r>
      <rPr>
        <sz val="12"/>
        <color theme="1"/>
        <rFont val="Times New Roman"/>
        <family val="1"/>
      </rPr>
      <t>3M</t>
    </r>
    <phoneticPr fontId="3" type="noConversion"/>
  </si>
  <si>
    <r>
      <rPr>
        <sz val="12"/>
        <color theme="1"/>
        <rFont val="細明體"/>
        <family val="3"/>
        <charset val="136"/>
      </rPr>
      <t>出生</t>
    </r>
    <r>
      <rPr>
        <sz val="12"/>
        <color theme="1"/>
        <rFont val="Times New Roman"/>
        <family val="1"/>
      </rPr>
      <t>3M-NOW</t>
    </r>
    <phoneticPr fontId="3" type="noConversion"/>
  </si>
  <si>
    <r>
      <rPr>
        <sz val="12"/>
        <color theme="1"/>
        <rFont val="細明體"/>
        <family val="3"/>
        <charset val="136"/>
      </rPr>
      <t>能恩水解</t>
    </r>
    <r>
      <rPr>
        <sz val="12"/>
        <color theme="1"/>
        <rFont val="Times New Roman"/>
        <family val="1"/>
      </rPr>
      <t>Stage 2</t>
    </r>
    <r>
      <rPr>
        <sz val="12"/>
        <color theme="1"/>
        <rFont val="細明體"/>
        <family val="3"/>
        <charset val="136"/>
      </rPr>
      <t>；住院期間為院方配製</t>
    </r>
    <phoneticPr fontId="3" type="noConversion"/>
  </si>
  <si>
    <r>
      <rPr>
        <sz val="12"/>
        <color theme="1"/>
        <rFont val="細明體"/>
        <family val="3"/>
        <charset val="136"/>
      </rPr>
      <t>出生</t>
    </r>
    <r>
      <rPr>
        <sz val="12"/>
        <color theme="1"/>
        <rFont val="Times New Roman"/>
        <family val="1"/>
      </rPr>
      <t>5M-NOW</t>
    </r>
    <phoneticPr fontId="3" type="noConversion"/>
  </si>
  <si>
    <r>
      <rPr>
        <sz val="12"/>
        <color theme="1"/>
        <rFont val="細明體"/>
        <family val="3"/>
        <charset val="136"/>
      </rPr>
      <t>肺高壓藥；鎮定劑</t>
    </r>
    <phoneticPr fontId="3" type="noConversion"/>
  </si>
  <si>
    <t>3M-NOW</t>
    <phoneticPr fontId="3" type="noConversion"/>
  </si>
  <si>
    <r>
      <rPr>
        <sz val="12"/>
        <color theme="1"/>
        <rFont val="細明體"/>
        <family val="3"/>
        <charset val="136"/>
      </rPr>
      <t>矯</t>
    </r>
    <r>
      <rPr>
        <sz val="12"/>
        <color theme="1"/>
        <rFont val="Times New Roman"/>
        <family val="1"/>
      </rPr>
      <t>3M-</t>
    </r>
    <r>
      <rPr>
        <sz val="12"/>
        <color theme="1"/>
        <rFont val="細明體"/>
        <family val="3"/>
        <charset val="136"/>
      </rPr>
      <t>矯</t>
    </r>
    <r>
      <rPr>
        <sz val="12"/>
        <color theme="1"/>
        <rFont val="Times New Roman"/>
        <family val="1"/>
      </rPr>
      <t>7M</t>
    </r>
    <phoneticPr fontId="3" type="noConversion"/>
  </si>
  <si>
    <r>
      <rPr>
        <sz val="12"/>
        <color theme="1"/>
        <rFont val="細明體"/>
        <family val="3"/>
        <charset val="136"/>
      </rPr>
      <t>矯</t>
    </r>
    <r>
      <rPr>
        <sz val="12"/>
        <color theme="1"/>
        <rFont val="Times New Roman"/>
        <family val="1"/>
      </rPr>
      <t>6M-NOW</t>
    </r>
    <phoneticPr fontId="3" type="noConversion"/>
  </si>
  <si>
    <r>
      <rPr>
        <sz val="12"/>
        <color theme="1"/>
        <rFont val="細明體"/>
        <family val="3"/>
        <charset val="136"/>
      </rPr>
      <t>矯</t>
    </r>
    <r>
      <rPr>
        <sz val="12"/>
        <color theme="1"/>
        <rFont val="Times New Roman"/>
        <family val="1"/>
      </rPr>
      <t>6M</t>
    </r>
    <phoneticPr fontId="3" type="noConversion"/>
  </si>
  <si>
    <t>2W-NOW</t>
    <phoneticPr fontId="3" type="noConversion"/>
  </si>
  <si>
    <r>
      <rPr>
        <sz val="12"/>
        <color theme="1"/>
        <rFont val="細明體"/>
        <family val="3"/>
        <charset val="136"/>
      </rPr>
      <t>能恩</t>
    </r>
    <phoneticPr fontId="3" type="noConversion"/>
  </si>
  <si>
    <r>
      <rPr>
        <sz val="12"/>
        <color theme="1"/>
        <rFont val="細明體"/>
        <family val="3"/>
        <charset val="136"/>
      </rPr>
      <t>上週</t>
    </r>
    <phoneticPr fontId="3" type="noConversion"/>
  </si>
  <si>
    <r>
      <rPr>
        <sz val="12"/>
        <color theme="1"/>
        <rFont val="細明體"/>
        <family val="3"/>
        <charset val="136"/>
      </rPr>
      <t>感冒藥</t>
    </r>
    <r>
      <rPr>
        <sz val="12"/>
        <color theme="1"/>
        <rFont val="Times New Roman"/>
        <family val="1"/>
      </rPr>
      <t>(</t>
    </r>
    <r>
      <rPr>
        <sz val="12"/>
        <color theme="1"/>
        <rFont val="細明體"/>
        <family val="3"/>
        <charset val="136"/>
      </rPr>
      <t>有抗生素、米瑞液、喘液</t>
    </r>
    <r>
      <rPr>
        <sz val="12"/>
        <color theme="1"/>
        <rFont val="Times New Roman"/>
        <family val="1"/>
      </rPr>
      <t>)</t>
    </r>
    <phoneticPr fontId="3" type="noConversion"/>
  </si>
  <si>
    <t>出生-出生1M</t>
    <phoneticPr fontId="3" type="noConversion"/>
  </si>
  <si>
    <t>出生1M-NOW</t>
    <phoneticPr fontId="3" type="noConversion"/>
  </si>
  <si>
    <t>能恩1號(之前是能恩早配)</t>
    <phoneticPr fontId="3" type="noConversion"/>
  </si>
  <si>
    <t>出生-NOW</t>
    <phoneticPr fontId="3" type="noConversion"/>
  </si>
  <si>
    <t>出生4M-出生6M</t>
    <phoneticPr fontId="3" type="noConversion"/>
  </si>
  <si>
    <r>
      <rPr>
        <sz val="12"/>
        <color theme="1"/>
        <rFont val="細明體"/>
        <family val="3"/>
        <charset val="136"/>
      </rPr>
      <t>寶乖亞</t>
    </r>
    <r>
      <rPr>
        <sz val="12"/>
        <color theme="1"/>
        <rFont val="Times New Roman"/>
        <family val="1"/>
      </rPr>
      <t>(</t>
    </r>
    <r>
      <rPr>
        <sz val="12"/>
        <color theme="1"/>
        <rFont val="細明體"/>
        <family val="3"/>
        <charset val="136"/>
      </rPr>
      <t>益生菌</t>
    </r>
    <r>
      <rPr>
        <sz val="12"/>
        <color theme="1"/>
        <rFont val="Times New Roman"/>
        <family val="1"/>
      </rPr>
      <t>+D)</t>
    </r>
    <phoneticPr fontId="3" type="noConversion"/>
  </si>
  <si>
    <t>蜜蜜熊嬰幼兒綜合維他命滴液</t>
    <phoneticPr fontId="3" type="noConversion"/>
  </si>
  <si>
    <r>
      <t>0-</t>
    </r>
    <r>
      <rPr>
        <sz val="12"/>
        <color theme="1"/>
        <rFont val="細明體"/>
        <family val="3"/>
        <charset val="136"/>
      </rPr>
      <t>出生</t>
    </r>
    <r>
      <rPr>
        <sz val="12"/>
        <color theme="1"/>
        <rFont val="Times New Roman"/>
        <family val="1"/>
      </rPr>
      <t>1M</t>
    </r>
    <phoneticPr fontId="3" type="noConversion"/>
  </si>
  <si>
    <t>亞培早配(0-2/21)；諾優貝1號(2/21-NOW)</t>
    <phoneticPr fontId="3" type="noConversion"/>
  </si>
  <si>
    <t>甲狀腺低下藥</t>
    <phoneticPr fontId="3" type="noConversion"/>
  </si>
  <si>
    <r>
      <t>0-</t>
    </r>
    <r>
      <rPr>
        <sz val="12"/>
        <color theme="1"/>
        <rFont val="細明體"/>
        <family val="3"/>
        <charset val="136"/>
      </rPr>
      <t>矯</t>
    </r>
    <r>
      <rPr>
        <sz val="12"/>
        <color theme="1"/>
        <rFont val="Times New Roman"/>
        <family val="1"/>
      </rPr>
      <t>3M</t>
    </r>
    <phoneticPr fontId="3" type="noConversion"/>
  </si>
  <si>
    <r>
      <rPr>
        <sz val="12"/>
        <color theme="1"/>
        <rFont val="細明體"/>
        <family val="3"/>
        <charset val="136"/>
      </rPr>
      <t>亞培早產</t>
    </r>
    <r>
      <rPr>
        <sz val="12"/>
        <color theme="1"/>
        <rFont val="Times New Roman"/>
        <family val="1"/>
      </rPr>
      <t>(</t>
    </r>
    <r>
      <rPr>
        <sz val="12"/>
        <color theme="1"/>
        <rFont val="細明體"/>
        <family val="3"/>
        <charset val="136"/>
      </rPr>
      <t>出院</t>
    </r>
    <r>
      <rPr>
        <sz val="12"/>
        <color theme="1"/>
        <rFont val="Times New Roman"/>
        <family val="1"/>
      </rPr>
      <t>-</t>
    </r>
    <r>
      <rPr>
        <sz val="12"/>
        <color theme="1"/>
        <rFont val="細明體"/>
        <family val="3"/>
        <charset val="136"/>
      </rPr>
      <t>矯</t>
    </r>
    <r>
      <rPr>
        <sz val="12"/>
        <color theme="1"/>
        <rFont val="Times New Roman"/>
        <family val="1"/>
      </rPr>
      <t>4M)</t>
    </r>
    <r>
      <rPr>
        <sz val="12"/>
        <color theme="1"/>
        <rFont val="細明體"/>
        <family val="3"/>
        <charset val="136"/>
      </rPr>
      <t>；能恩水解</t>
    </r>
    <r>
      <rPr>
        <sz val="12"/>
        <color theme="1"/>
        <rFont val="Times New Roman"/>
        <family val="1"/>
      </rPr>
      <t>(</t>
    </r>
    <r>
      <rPr>
        <sz val="12"/>
        <color theme="1"/>
        <rFont val="細明體"/>
        <family val="3"/>
        <charset val="136"/>
      </rPr>
      <t>矯</t>
    </r>
    <r>
      <rPr>
        <sz val="12"/>
        <color theme="1"/>
        <rFont val="Times New Roman"/>
        <family val="1"/>
      </rPr>
      <t>4M-NOW)</t>
    </r>
    <phoneticPr fontId="3" type="noConversion"/>
  </si>
  <si>
    <r>
      <rPr>
        <sz val="12"/>
        <color theme="1"/>
        <rFont val="細明體"/>
        <family val="3"/>
        <charset val="136"/>
      </rPr>
      <t>寶兒樂</t>
    </r>
    <phoneticPr fontId="3" type="noConversion"/>
  </si>
  <si>
    <r>
      <rPr>
        <sz val="12"/>
        <color theme="1"/>
        <rFont val="細明體"/>
        <family val="3"/>
        <charset val="136"/>
      </rPr>
      <t>卵圓孔未關閉</t>
    </r>
    <phoneticPr fontId="3" type="noConversion"/>
  </si>
  <si>
    <r>
      <rPr>
        <sz val="12"/>
        <color theme="1"/>
        <rFont val="細明體"/>
        <family val="3"/>
        <charset val="136"/>
      </rPr>
      <t>能恩；惠氏</t>
    </r>
    <r>
      <rPr>
        <sz val="12"/>
        <color theme="1"/>
        <rFont val="Times New Roman"/>
        <family val="1"/>
      </rPr>
      <t>S26</t>
    </r>
    <phoneticPr fontId="3" type="noConversion"/>
  </si>
  <si>
    <r>
      <rPr>
        <sz val="12"/>
        <color theme="1"/>
        <rFont val="細明體"/>
        <family val="3"/>
        <charset val="136"/>
      </rPr>
      <t>寶乖亞</t>
    </r>
    <r>
      <rPr>
        <sz val="12"/>
        <color theme="1"/>
        <rFont val="Times New Roman"/>
        <family val="1"/>
      </rPr>
      <t>(</t>
    </r>
    <r>
      <rPr>
        <sz val="12"/>
        <color theme="1"/>
        <rFont val="細明體"/>
        <family val="3"/>
        <charset val="136"/>
      </rPr>
      <t>益生菌</t>
    </r>
    <r>
      <rPr>
        <sz val="12"/>
        <color theme="1"/>
        <rFont val="Times New Roman"/>
        <family val="1"/>
      </rPr>
      <t>+D</t>
    </r>
    <r>
      <rPr>
        <sz val="12"/>
        <color theme="1"/>
        <rFont val="細明體"/>
        <family val="3"/>
        <charset val="136"/>
      </rPr>
      <t>，住院吃到現在</t>
    </r>
    <r>
      <rPr>
        <sz val="12"/>
        <color theme="1"/>
        <rFont val="Times New Roman"/>
        <family val="1"/>
      </rPr>
      <t>)</t>
    </r>
    <r>
      <rPr>
        <sz val="12"/>
        <color theme="1"/>
        <rFont val="細明體"/>
        <family val="3"/>
        <charset val="136"/>
      </rPr>
      <t>；</t>
    </r>
    <r>
      <rPr>
        <sz val="12"/>
        <color theme="1"/>
        <rFont val="Times New Roman"/>
        <family val="1"/>
      </rPr>
      <t>(</t>
    </r>
    <r>
      <rPr>
        <sz val="12"/>
        <color theme="1"/>
        <rFont val="細明體"/>
        <family val="3"/>
        <charset val="136"/>
      </rPr>
      <t>高長不確定開什麼</t>
    </r>
    <r>
      <rPr>
        <sz val="12"/>
        <color theme="1"/>
        <rFont val="Times New Roman"/>
        <family val="1"/>
      </rPr>
      <t>)</t>
    </r>
    <r>
      <rPr>
        <sz val="12"/>
        <color theme="1"/>
        <rFont val="細明體"/>
        <family val="3"/>
        <charset val="136"/>
      </rPr>
      <t>；妙麗散</t>
    </r>
    <r>
      <rPr>
        <sz val="12"/>
        <color theme="1"/>
        <rFont val="Times New Roman"/>
        <family val="1"/>
      </rPr>
      <t>(</t>
    </r>
    <r>
      <rPr>
        <sz val="12"/>
        <color theme="1"/>
        <rFont val="細明體"/>
        <family val="3"/>
        <charset val="136"/>
      </rPr>
      <t>林口開的</t>
    </r>
    <r>
      <rPr>
        <sz val="12"/>
        <color theme="1"/>
        <rFont val="Times New Roman"/>
        <family val="1"/>
      </rPr>
      <t>)</t>
    </r>
    <phoneticPr fontId="3" type="noConversion"/>
  </si>
  <si>
    <t>7/19-NOW</t>
    <phoneticPr fontId="3" type="noConversion"/>
  </si>
  <si>
    <r>
      <t>12</t>
    </r>
    <r>
      <rPr>
        <sz val="12"/>
        <color theme="1"/>
        <rFont val="細明體"/>
        <family val="3"/>
        <charset val="136"/>
      </rPr>
      <t>月初，沒有症狀就停了，現在沒有</t>
    </r>
    <phoneticPr fontId="3" type="noConversion"/>
  </si>
  <si>
    <r>
      <rPr>
        <sz val="12"/>
        <color theme="1"/>
        <rFont val="細明體"/>
        <family val="3"/>
        <charset val="136"/>
      </rPr>
      <t>希普利敏、暢痰、思咳、舒鼻適</t>
    </r>
    <phoneticPr fontId="3" type="noConversion"/>
  </si>
  <si>
    <r>
      <rPr>
        <sz val="12"/>
        <color theme="1"/>
        <rFont val="細明體"/>
        <family val="3"/>
        <charset val="136"/>
      </rPr>
      <t>尿道發炎</t>
    </r>
    <phoneticPr fontId="3" type="noConversion"/>
  </si>
  <si>
    <r>
      <t>0-</t>
    </r>
    <r>
      <rPr>
        <sz val="12"/>
        <color theme="1"/>
        <rFont val="細明體"/>
        <family val="3"/>
        <charset val="136"/>
      </rPr>
      <t>出生</t>
    </r>
    <r>
      <rPr>
        <sz val="12"/>
        <color theme="1"/>
        <rFont val="Times New Roman"/>
        <family val="1"/>
      </rPr>
      <t>4M</t>
    </r>
    <phoneticPr fontId="3" type="noConversion"/>
  </si>
  <si>
    <r>
      <rPr>
        <sz val="12"/>
        <color theme="1"/>
        <rFont val="細明體"/>
        <family val="3"/>
        <charset val="136"/>
      </rPr>
      <t>桂格</t>
    </r>
    <phoneticPr fontId="3" type="noConversion"/>
  </si>
  <si>
    <r>
      <t>0-</t>
    </r>
    <r>
      <rPr>
        <sz val="12"/>
        <color theme="1"/>
        <rFont val="細明體"/>
        <family val="3"/>
        <charset val="136"/>
      </rPr>
      <t>出生</t>
    </r>
    <r>
      <rPr>
        <sz val="12"/>
        <color theme="1"/>
        <rFont val="Times New Roman"/>
        <family val="1"/>
      </rPr>
      <t>5M</t>
    </r>
    <phoneticPr fontId="3" type="noConversion"/>
  </si>
  <si>
    <r>
      <rPr>
        <sz val="12"/>
        <color theme="1"/>
        <rFont val="細明體"/>
        <family val="3"/>
        <charset val="136"/>
      </rPr>
      <t>肺高壓</t>
    </r>
    <phoneticPr fontId="3" type="noConversion"/>
  </si>
  <si>
    <r>
      <rPr>
        <sz val="12"/>
        <color theme="1"/>
        <rFont val="細明體"/>
        <family val="3"/>
        <charset val="136"/>
      </rPr>
      <t>金悅健</t>
    </r>
    <phoneticPr fontId="3" type="noConversion"/>
  </si>
  <si>
    <r>
      <rPr>
        <sz val="12"/>
        <color theme="1"/>
        <rFont val="細明體"/>
        <family val="3"/>
        <charset val="136"/>
      </rPr>
      <t>肺高壓的藥</t>
    </r>
    <phoneticPr fontId="3" type="noConversion"/>
  </si>
  <si>
    <r>
      <rPr>
        <sz val="12"/>
        <color theme="1"/>
        <rFont val="細明體"/>
        <family val="3"/>
        <charset val="136"/>
      </rPr>
      <t>腦癲癇的藥</t>
    </r>
    <phoneticPr fontId="3" type="noConversion"/>
  </si>
  <si>
    <t>3M-6M</t>
    <phoneticPr fontId="3" type="noConversion"/>
  </si>
  <si>
    <r>
      <rPr>
        <sz val="12"/>
        <color theme="1"/>
        <rFont val="細明體"/>
        <family val="3"/>
        <charset val="136"/>
      </rPr>
      <t>雀巢能恩</t>
    </r>
    <r>
      <rPr>
        <sz val="12"/>
        <color theme="1"/>
        <rFont val="Times New Roman"/>
        <family val="1"/>
      </rPr>
      <t>HA1</t>
    </r>
    <phoneticPr fontId="3" type="noConversion"/>
  </si>
  <si>
    <r>
      <t>HA1</t>
    </r>
    <r>
      <rPr>
        <sz val="12"/>
        <color theme="1"/>
        <rFont val="細明體"/>
        <family val="3"/>
        <charset val="136"/>
      </rPr>
      <t>雀巢水解</t>
    </r>
    <phoneticPr fontId="3" type="noConversion"/>
  </si>
  <si>
    <r>
      <t>1M-2M</t>
    </r>
    <r>
      <rPr>
        <sz val="12"/>
        <color theme="1"/>
        <rFont val="細明體"/>
        <family val="3"/>
        <charset val="136"/>
      </rPr>
      <t>；</t>
    </r>
    <r>
      <rPr>
        <sz val="12"/>
        <color theme="1"/>
        <rFont val="Times New Roman"/>
        <family val="1"/>
      </rPr>
      <t>12/20-NOW</t>
    </r>
    <phoneticPr fontId="3" type="noConversion"/>
  </si>
  <si>
    <r>
      <rPr>
        <sz val="12"/>
        <color theme="1"/>
        <rFont val="細明體"/>
        <family val="3"/>
        <charset val="136"/>
      </rPr>
      <t>寶乖亞；妙麗散</t>
    </r>
    <phoneticPr fontId="3" type="noConversion"/>
  </si>
  <si>
    <r>
      <rPr>
        <sz val="12"/>
        <color theme="1"/>
        <rFont val="細明體"/>
        <family val="3"/>
        <charset val="136"/>
      </rPr>
      <t>少於</t>
    </r>
    <r>
      <rPr>
        <sz val="12"/>
        <color theme="1"/>
        <rFont val="Times New Roman"/>
        <family val="1"/>
      </rPr>
      <t>10</t>
    </r>
    <r>
      <rPr>
        <sz val="12"/>
        <color theme="1"/>
        <rFont val="細明體"/>
        <family val="3"/>
        <charset val="136"/>
      </rPr>
      <t>次</t>
    </r>
    <r>
      <rPr>
        <sz val="12"/>
        <color theme="1"/>
        <rFont val="Times New Roman"/>
        <family val="1"/>
      </rPr>
      <t>(4M-5M)</t>
    </r>
    <phoneticPr fontId="3" type="noConversion"/>
  </si>
  <si>
    <r>
      <rPr>
        <sz val="12"/>
        <color theme="1"/>
        <rFont val="細明體"/>
        <family val="3"/>
        <charset val="136"/>
      </rPr>
      <t>乳糖寶</t>
    </r>
    <r>
      <rPr>
        <sz val="12"/>
        <color theme="1"/>
        <rFont val="Times New Roman"/>
        <family val="1"/>
      </rPr>
      <t>+</t>
    </r>
    <r>
      <rPr>
        <sz val="12"/>
        <color theme="1"/>
        <rFont val="細明體"/>
        <family val="3"/>
        <charset val="136"/>
      </rPr>
      <t>黃金初乳蛋白</t>
    </r>
    <phoneticPr fontId="3" type="noConversion"/>
  </si>
  <si>
    <t>Panda baby</t>
    <phoneticPr fontId="3" type="noConversion"/>
  </si>
  <si>
    <t>出生1M-4M</t>
    <phoneticPr fontId="3" type="noConversion"/>
  </si>
  <si>
    <t>出生4M-NOW</t>
    <phoneticPr fontId="3" type="noConversion"/>
  </si>
  <si>
    <t>貝親</t>
    <phoneticPr fontId="3" type="noConversion"/>
  </si>
  <si>
    <t>出生2M-出生4M</t>
    <phoneticPr fontId="3" type="noConversion"/>
  </si>
  <si>
    <t>出生1M-出生4M</t>
    <phoneticPr fontId="3" type="noConversion"/>
  </si>
  <si>
    <t>PDF S-26</t>
    <phoneticPr fontId="3" type="noConversion"/>
  </si>
  <si>
    <r>
      <t>0-</t>
    </r>
    <r>
      <rPr>
        <sz val="12"/>
        <color theme="1"/>
        <rFont val="細明體"/>
        <family val="3"/>
        <charset val="136"/>
      </rPr>
      <t>出生</t>
    </r>
    <r>
      <rPr>
        <sz val="12"/>
        <color theme="1"/>
        <rFont val="Times New Roman"/>
        <family val="1"/>
      </rPr>
      <t>7M</t>
    </r>
    <phoneticPr fontId="3" type="noConversion"/>
  </si>
  <si>
    <r>
      <t>0-</t>
    </r>
    <r>
      <rPr>
        <sz val="12"/>
        <color theme="1"/>
        <rFont val="細明體"/>
        <family val="3"/>
        <charset val="136"/>
      </rPr>
      <t>出生</t>
    </r>
    <r>
      <rPr>
        <sz val="12"/>
        <color theme="1"/>
        <rFont val="Times New Roman"/>
        <family val="1"/>
      </rPr>
      <t>9M</t>
    </r>
    <phoneticPr fontId="3" type="noConversion"/>
  </si>
  <si>
    <r>
      <rPr>
        <sz val="12"/>
        <color theme="1"/>
        <rFont val="細明體"/>
        <family val="3"/>
        <charset val="136"/>
      </rPr>
      <t>妙可適</t>
    </r>
    <phoneticPr fontId="3" type="noConversion"/>
  </si>
  <si>
    <r>
      <rPr>
        <sz val="12"/>
        <color theme="1"/>
        <rFont val="細明體"/>
        <family val="3"/>
        <charset val="136"/>
      </rPr>
      <t>血管瘤、甲狀腺、黃疸</t>
    </r>
    <phoneticPr fontId="3" type="noConversion"/>
  </si>
  <si>
    <r>
      <t>2021</t>
    </r>
    <r>
      <rPr>
        <sz val="12"/>
        <color theme="1"/>
        <rFont val="細明體"/>
        <family val="3"/>
        <charset val="136"/>
      </rPr>
      <t>年</t>
    </r>
    <r>
      <rPr>
        <sz val="12"/>
        <color theme="1"/>
        <rFont val="Times New Roman"/>
        <family val="1"/>
      </rPr>
      <t>9</t>
    </r>
    <r>
      <rPr>
        <sz val="12"/>
        <color theme="1"/>
        <rFont val="細明體"/>
        <family val="3"/>
        <charset val="136"/>
      </rPr>
      <t>月</t>
    </r>
    <phoneticPr fontId="3" type="noConversion"/>
  </si>
  <si>
    <r>
      <rPr>
        <sz val="12"/>
        <color theme="1"/>
        <rFont val="細明體"/>
        <family val="3"/>
        <charset val="136"/>
      </rPr>
      <t>雀巢水解</t>
    </r>
    <phoneticPr fontId="3" type="noConversion"/>
  </si>
  <si>
    <r>
      <rPr>
        <sz val="12"/>
        <color theme="1"/>
        <rFont val="細明體"/>
        <family val="3"/>
        <charset val="136"/>
      </rPr>
      <t>寶益兒</t>
    </r>
    <r>
      <rPr>
        <sz val="12"/>
        <color theme="1"/>
        <rFont val="Times New Roman"/>
        <family val="1"/>
      </rPr>
      <t>(</t>
    </r>
    <r>
      <rPr>
        <sz val="12"/>
        <color theme="1"/>
        <rFont val="細明體"/>
        <family val="3"/>
        <charset val="136"/>
      </rPr>
      <t>純</t>
    </r>
    <r>
      <rPr>
        <sz val="12"/>
        <color theme="1"/>
        <rFont val="Times New Roman"/>
        <family val="1"/>
      </rPr>
      <t>D3)</t>
    </r>
    <phoneticPr fontId="3" type="noConversion"/>
  </si>
  <si>
    <r>
      <t>0-</t>
    </r>
    <r>
      <rPr>
        <sz val="12"/>
        <color theme="1"/>
        <rFont val="細明體"/>
        <family val="3"/>
        <charset val="136"/>
      </rPr>
      <t>出院</t>
    </r>
    <phoneticPr fontId="3" type="noConversion"/>
  </si>
  <si>
    <r>
      <rPr>
        <sz val="12"/>
        <color theme="1"/>
        <rFont val="細明體"/>
        <family val="3"/>
        <charset val="136"/>
      </rPr>
      <t>能恩全護</t>
    </r>
    <phoneticPr fontId="3" type="noConversion"/>
  </si>
  <si>
    <r>
      <rPr>
        <sz val="12"/>
        <color theme="1"/>
        <rFont val="細明體"/>
        <family val="3"/>
        <charset val="136"/>
      </rPr>
      <t>月比野</t>
    </r>
    <phoneticPr fontId="3" type="noConversion"/>
  </si>
  <si>
    <t>900*2</t>
    <phoneticPr fontId="3" type="noConversion"/>
  </si>
  <si>
    <t>400ul</t>
    <phoneticPr fontId="3" type="noConversion"/>
  </si>
  <si>
    <t>250ul</t>
    <phoneticPr fontId="3" type="noConversion"/>
  </si>
  <si>
    <t>200ul</t>
    <phoneticPr fontId="3" type="noConversion"/>
  </si>
  <si>
    <t>700ul</t>
    <phoneticPr fontId="3" type="noConversion"/>
  </si>
  <si>
    <t>500ul</t>
    <phoneticPr fontId="3" type="noConversion"/>
  </si>
  <si>
    <t>180ul</t>
    <phoneticPr fontId="3" type="noConversion"/>
  </si>
  <si>
    <t>870ul</t>
    <phoneticPr fontId="3" type="noConversion"/>
  </si>
  <si>
    <t>性別</t>
    <phoneticPr fontId="3" type="noConversion"/>
  </si>
  <si>
    <t>Primary caregivers</t>
    <phoneticPr fontId="3" type="noConversion"/>
  </si>
  <si>
    <t>廠牌</t>
    <phoneticPr fontId="3" type="noConversion"/>
  </si>
  <si>
    <t>抗生素</t>
    <phoneticPr fontId="3" type="noConversion"/>
  </si>
  <si>
    <t>750ul</t>
    <phoneticPr fontId="3" type="noConversion"/>
  </si>
  <si>
    <t>2*2</t>
    <phoneticPr fontId="3" type="noConversion"/>
  </si>
  <si>
    <t>3*2</t>
    <phoneticPr fontId="3" type="noConversion"/>
  </si>
  <si>
    <t>4*2</t>
    <phoneticPr fontId="3" type="noConversion"/>
  </si>
  <si>
    <t>5*2</t>
    <phoneticPr fontId="3" type="noConversion"/>
  </si>
  <si>
    <t>7*2</t>
    <phoneticPr fontId="3" type="noConversion"/>
  </si>
  <si>
    <t>8*2</t>
    <phoneticPr fontId="3" type="noConversion"/>
  </si>
  <si>
    <t>DNA盒子</t>
    <phoneticPr fontId="3" type="noConversion"/>
  </si>
  <si>
    <r>
      <t>RNA盒子</t>
    </r>
    <r>
      <rPr>
        <sz val="12"/>
        <color theme="1"/>
        <rFont val="新細明體"/>
        <family val="2"/>
        <charset val="136"/>
        <scheme val="minor"/>
      </rPr>
      <t/>
    </r>
    <phoneticPr fontId="3" type="noConversion"/>
  </si>
  <si>
    <t>Heparin120盒子</t>
    <phoneticPr fontId="3" type="noConversion"/>
  </si>
  <si>
    <t>2022/10/17 2022/11/29</t>
    <phoneticPr fontId="3" type="noConversion"/>
  </si>
  <si>
    <t>從未收過</t>
    <phoneticPr fontId="3" type="noConversion"/>
  </si>
  <si>
    <t>600*2</t>
    <phoneticPr fontId="3" type="noConversion"/>
  </si>
  <si>
    <t>2022/09/09Expire</t>
    <phoneticPr fontId="3" type="noConversion"/>
  </si>
  <si>
    <t>800ul</t>
    <phoneticPr fontId="3" type="noConversion"/>
  </si>
  <si>
    <t>1.2ml</t>
    <phoneticPr fontId="3" type="noConversion"/>
  </si>
  <si>
    <t>放棄</t>
    <phoneticPr fontId="3" type="noConversion"/>
  </si>
  <si>
    <t>呂紹誠</t>
    <phoneticPr fontId="3" type="noConversion"/>
  </si>
  <si>
    <t>回高雄長庚</t>
    <phoneticPr fontId="3" type="noConversion"/>
  </si>
  <si>
    <t>1.3ml</t>
    <phoneticPr fontId="3" type="noConversion"/>
  </si>
  <si>
    <t>900ul</t>
    <phoneticPr fontId="3" type="noConversion"/>
  </si>
  <si>
    <t>日期</t>
    <phoneticPr fontId="3" type="noConversion"/>
  </si>
  <si>
    <t>其他</t>
    <phoneticPr fontId="3" type="noConversion"/>
  </si>
  <si>
    <t>類固醇</t>
    <phoneticPr fontId="3" type="noConversion"/>
  </si>
  <si>
    <t>第一劑</t>
    <phoneticPr fontId="3" type="noConversion"/>
  </si>
  <si>
    <t>第二劑</t>
    <phoneticPr fontId="3" type="noConversion"/>
  </si>
  <si>
    <t>接種日期</t>
    <phoneticPr fontId="3" type="noConversion"/>
  </si>
  <si>
    <t>2022/12/28拒絕</t>
    <phoneticPr fontId="3" type="noConversion"/>
  </si>
  <si>
    <t>編碼</t>
    <phoneticPr fontId="3" type="noConversion"/>
  </si>
  <si>
    <t>問題</t>
    <phoneticPr fontId="3" type="noConversion"/>
  </si>
  <si>
    <t>選項</t>
    <phoneticPr fontId="3" type="noConversion"/>
  </si>
  <si>
    <t>1.男</t>
    <phoneticPr fontId="3" type="noConversion"/>
  </si>
  <si>
    <t>2.女</t>
    <phoneticPr fontId="3" type="noConversion"/>
  </si>
  <si>
    <t>身高</t>
    <phoneticPr fontId="3" type="noConversion"/>
  </si>
  <si>
    <t>體重</t>
    <phoneticPr fontId="3" type="noConversion"/>
  </si>
  <si>
    <t>頭圍</t>
    <phoneticPr fontId="3" type="noConversion"/>
  </si>
  <si>
    <t>出生日期</t>
    <phoneticPr fontId="3" type="noConversion"/>
  </si>
  <si>
    <t>預產日期</t>
    <phoneticPr fontId="3" type="noConversion"/>
  </si>
  <si>
    <t>懷孕週數</t>
    <phoneticPr fontId="3" type="noConversion"/>
  </si>
  <si>
    <t>抽菸暴露</t>
    <phoneticPr fontId="3" type="noConversion"/>
  </si>
  <si>
    <t>0.無</t>
    <phoneticPr fontId="3" type="noConversion"/>
  </si>
  <si>
    <t>1.有，母親</t>
    <phoneticPr fontId="3" type="noConversion"/>
  </si>
  <si>
    <t>2.有，父親</t>
    <phoneticPr fontId="3" type="noConversion"/>
  </si>
  <si>
    <t>3.有，其他同住家人</t>
    <phoneticPr fontId="3" type="noConversion"/>
  </si>
  <si>
    <t>4.有，為同住家人</t>
    <phoneticPr fontId="3" type="noConversion"/>
  </si>
  <si>
    <t>主要照顧者</t>
    <phoneticPr fontId="3" type="noConversion"/>
  </si>
  <si>
    <t>1.父母</t>
    <phoneticPr fontId="3" type="noConversion"/>
  </si>
  <si>
    <t>2.（外）祖父母</t>
    <phoneticPr fontId="3" type="noConversion"/>
  </si>
  <si>
    <t>3.其他家人</t>
    <phoneticPr fontId="3" type="noConversion"/>
  </si>
  <si>
    <t>4.其他</t>
    <phoneticPr fontId="3" type="noConversion"/>
  </si>
  <si>
    <t>基本資料</t>
    <phoneticPr fontId="3" type="noConversion"/>
  </si>
  <si>
    <t>出生狀況紀錄</t>
    <phoneticPr fontId="3" type="noConversion"/>
  </si>
  <si>
    <t>1.早餐</t>
    <phoneticPr fontId="3" type="noConversion"/>
  </si>
  <si>
    <t>2.中餐</t>
    <phoneticPr fontId="3" type="noConversion"/>
  </si>
  <si>
    <t>3.點心</t>
    <phoneticPr fontId="3" type="noConversion"/>
  </si>
  <si>
    <t>4.晚餐</t>
    <phoneticPr fontId="3" type="noConversion"/>
  </si>
  <si>
    <t>5.睡前</t>
    <phoneticPr fontId="3" type="noConversion"/>
  </si>
  <si>
    <t>是否有添加營養補充品</t>
    <phoneticPr fontId="3" type="noConversion"/>
  </si>
  <si>
    <t>1.有，鈣</t>
    <phoneticPr fontId="3" type="noConversion"/>
  </si>
  <si>
    <t>2.有，益生菌</t>
    <phoneticPr fontId="3" type="noConversion"/>
  </si>
  <si>
    <t>3.有，維生素D</t>
    <phoneticPr fontId="3" type="noConversion"/>
  </si>
  <si>
    <t>哺餵持續時間（可複選）</t>
    <phoneticPr fontId="3" type="noConversion"/>
  </si>
  <si>
    <t>主要照顧者（可複選）</t>
    <phoneticPr fontId="3" type="noConversion"/>
  </si>
  <si>
    <t>服用保健食品使用時間</t>
    <phoneticPr fontId="3" type="noConversion"/>
  </si>
  <si>
    <t>最近是否有服藥</t>
    <phoneticPr fontId="3" type="noConversion"/>
  </si>
  <si>
    <t>1.有</t>
    <phoneticPr fontId="3" type="noConversion"/>
  </si>
  <si>
    <t>確診</t>
    <phoneticPr fontId="3" type="noConversion"/>
  </si>
  <si>
    <t>不良反應</t>
    <phoneticPr fontId="3" type="noConversion"/>
  </si>
  <si>
    <t>1.有，住院</t>
    <phoneticPr fontId="3" type="noConversion"/>
  </si>
  <si>
    <t>2.有，加護病房</t>
    <phoneticPr fontId="3" type="noConversion"/>
  </si>
  <si>
    <t>服用藥物</t>
    <phoneticPr fontId="3" type="noConversion"/>
  </si>
  <si>
    <t>COVID-19確診</t>
    <phoneticPr fontId="3" type="noConversion"/>
  </si>
  <si>
    <t>1.有，莫德納</t>
  </si>
  <si>
    <t>1.有，莫德納</t>
    <phoneticPr fontId="3" type="noConversion"/>
  </si>
  <si>
    <t>2.有，BNT</t>
    <phoneticPr fontId="3" type="noConversion"/>
  </si>
  <si>
    <t>COVID-19疫苗接種</t>
    <phoneticPr fontId="3" type="noConversion"/>
  </si>
  <si>
    <t>流感疫苗接種</t>
    <phoneticPr fontId="3" type="noConversion"/>
  </si>
  <si>
    <t>流感</t>
    <phoneticPr fontId="3" type="noConversion"/>
  </si>
  <si>
    <t>pre3</t>
    <phoneticPr fontId="3" type="noConversion"/>
  </si>
  <si>
    <t>pre1.1</t>
    <phoneticPr fontId="3" type="noConversion"/>
  </si>
  <si>
    <t>pre1.2</t>
  </si>
  <si>
    <t>pre1.2</t>
    <phoneticPr fontId="3" type="noConversion"/>
  </si>
  <si>
    <t>pre1.3</t>
    <phoneticPr fontId="3" type="noConversion"/>
  </si>
  <si>
    <t>pre1.4</t>
    <phoneticPr fontId="3" type="noConversion"/>
  </si>
  <si>
    <t>pre2.1</t>
    <phoneticPr fontId="3" type="noConversion"/>
  </si>
  <si>
    <t>pre2.2</t>
    <phoneticPr fontId="3" type="noConversion"/>
  </si>
  <si>
    <t>pre2.3</t>
    <phoneticPr fontId="3" type="noConversion"/>
  </si>
  <si>
    <t>pre4</t>
    <phoneticPr fontId="3" type="noConversion"/>
  </si>
  <si>
    <t>pre5.1</t>
    <phoneticPr fontId="3" type="noConversion"/>
  </si>
  <si>
    <t>pre5.3</t>
    <phoneticPr fontId="3" type="noConversion"/>
  </si>
  <si>
    <t>pre5.4</t>
    <phoneticPr fontId="3" type="noConversion"/>
  </si>
  <si>
    <t>pre6.1</t>
    <phoneticPr fontId="3" type="noConversion"/>
  </si>
  <si>
    <t>pre6.2</t>
    <phoneticPr fontId="3" type="noConversion"/>
  </si>
  <si>
    <t>pre6.3</t>
    <phoneticPr fontId="3" type="noConversion"/>
  </si>
  <si>
    <t>pre6.4</t>
    <phoneticPr fontId="3" type="noConversion"/>
  </si>
  <si>
    <t>pre6.5</t>
    <phoneticPr fontId="3" type="noConversion"/>
  </si>
  <si>
    <t>pre6.6</t>
    <phoneticPr fontId="3" type="noConversion"/>
  </si>
  <si>
    <t>pre6.7</t>
    <phoneticPr fontId="3" type="noConversion"/>
  </si>
  <si>
    <t>鐵劑，時間/頻率</t>
    <phoneticPr fontId="3" type="noConversion"/>
  </si>
  <si>
    <t>鋅，時間/頻率</t>
    <phoneticPr fontId="3" type="noConversion"/>
  </si>
  <si>
    <t>鈣，時間/頻率</t>
    <phoneticPr fontId="3" type="noConversion"/>
  </si>
  <si>
    <t>維生素D3，時間/頻率</t>
    <phoneticPr fontId="3" type="noConversion"/>
  </si>
  <si>
    <t>益生菌，時間/頻率</t>
    <phoneticPr fontId="3" type="noConversion"/>
  </si>
  <si>
    <t>其他，時間/頻率</t>
    <phoneticPr fontId="3" type="noConversion"/>
  </si>
  <si>
    <t>pre7.1</t>
    <phoneticPr fontId="3" type="noConversion"/>
  </si>
  <si>
    <t>pre7.2</t>
    <phoneticPr fontId="3" type="noConversion"/>
  </si>
  <si>
    <t>pre7.3</t>
    <phoneticPr fontId="3" type="noConversion"/>
  </si>
  <si>
    <t>pre7.4</t>
    <phoneticPr fontId="3" type="noConversion"/>
  </si>
  <si>
    <t>pre7.5</t>
    <phoneticPr fontId="3" type="noConversion"/>
  </si>
  <si>
    <t>pre8.1</t>
    <phoneticPr fontId="3" type="noConversion"/>
  </si>
  <si>
    <t>pre8.2</t>
    <phoneticPr fontId="3" type="noConversion"/>
  </si>
  <si>
    <t>pre9.1</t>
    <phoneticPr fontId="3" type="noConversion"/>
  </si>
  <si>
    <t>pre9.2</t>
    <phoneticPr fontId="3" type="noConversion"/>
  </si>
  <si>
    <t>pre9.3</t>
    <phoneticPr fontId="3" type="noConversion"/>
  </si>
  <si>
    <t>pre10.1</t>
    <phoneticPr fontId="3" type="noConversion"/>
  </si>
  <si>
    <t>pre10.2</t>
    <phoneticPr fontId="3" type="noConversion"/>
  </si>
  <si>
    <t>數字</t>
    <phoneticPr fontId="3" type="noConversion"/>
  </si>
  <si>
    <t>文字</t>
    <phoneticPr fontId="3" type="noConversion"/>
  </si>
  <si>
    <r>
      <rPr>
        <sz val="12"/>
        <color theme="1"/>
        <rFont val="新細明體"/>
        <family val="2"/>
        <charset val="136"/>
      </rPr>
      <t>填表日期</t>
    </r>
    <phoneticPr fontId="3" type="noConversion"/>
  </si>
  <si>
    <t>哺餵</t>
    <phoneticPr fontId="3" type="noConversion"/>
  </si>
  <si>
    <t>1.母奶</t>
    <phoneticPr fontId="3" type="noConversion"/>
  </si>
  <si>
    <t>2.配方奶</t>
    <phoneticPr fontId="3" type="noConversion"/>
  </si>
  <si>
    <t>時間</t>
    <phoneticPr fontId="3" type="noConversion"/>
  </si>
  <si>
    <t>內容</t>
    <phoneticPr fontId="3" type="noConversion"/>
  </si>
  <si>
    <t>量</t>
    <phoneticPr fontId="3" type="noConversion"/>
  </si>
  <si>
    <t>pre8.3</t>
    <phoneticPr fontId="3" type="noConversion"/>
  </si>
  <si>
    <t>文字</t>
  </si>
  <si>
    <t>3.有，其他</t>
    <phoneticPr fontId="3" type="noConversion"/>
  </si>
  <si>
    <t>pre1.5</t>
    <phoneticPr fontId="3" type="noConversion"/>
  </si>
  <si>
    <t>pre1.4</t>
  </si>
  <si>
    <t>數字</t>
  </si>
  <si>
    <t>pre5.2</t>
  </si>
  <si>
    <t>pre5.5</t>
    <phoneticPr fontId="3" type="noConversion"/>
  </si>
  <si>
    <t>卡洛塔妮牛奶</t>
  </si>
  <si>
    <t>0.無</t>
  </si>
  <si>
    <t>1.有，廠牌</t>
  </si>
  <si>
    <t>1.有，廠牌</t>
    <phoneticPr fontId="3" type="noConversion"/>
  </si>
  <si>
    <t>3-發燒</t>
    <phoneticPr fontId="3" type="noConversion"/>
  </si>
  <si>
    <t>0</t>
    <phoneticPr fontId="3" type="noConversion"/>
  </si>
  <si>
    <t>1.4--保母</t>
    <phoneticPr fontId="3" type="noConversion"/>
  </si>
  <si>
    <t>貝比卡兒、小安素</t>
    <phoneticPr fontId="3" type="noConversion"/>
  </si>
  <si>
    <t>一日一次，Bronson液態陽光維他命D3</t>
    <phoneticPr fontId="3" type="noConversion"/>
  </si>
  <si>
    <t>2022/5/底</t>
    <phoneticPr fontId="3" type="noConversion"/>
  </si>
  <si>
    <t>小安素</t>
    <phoneticPr fontId="3" type="noConversion"/>
  </si>
  <si>
    <t>1.2.4.5</t>
    <phoneticPr fontId="3" type="noConversion"/>
  </si>
  <si>
    <t>一天一次，妙可適</t>
    <phoneticPr fontId="3" type="noConversion"/>
  </si>
  <si>
    <t>佑爾康</t>
    <phoneticPr fontId="3" type="noConversion"/>
  </si>
  <si>
    <t>一天兩次</t>
    <phoneticPr fontId="3" type="noConversion"/>
  </si>
  <si>
    <t>一天一次</t>
    <phoneticPr fontId="3" type="noConversion"/>
  </si>
  <si>
    <t>感冒藥</t>
    <phoneticPr fontId="3" type="noConversion"/>
  </si>
  <si>
    <t>1.4-托嬰中心</t>
    <phoneticPr fontId="3" type="noConversion"/>
  </si>
  <si>
    <t>1.2.3.4.5</t>
    <phoneticPr fontId="3" type="noConversion"/>
  </si>
  <si>
    <t>4-酵素</t>
    <phoneticPr fontId="3" type="noConversion"/>
  </si>
  <si>
    <t>三天一次</t>
    <phoneticPr fontId="3" type="noConversion"/>
  </si>
  <si>
    <t>2022/9月底</t>
    <phoneticPr fontId="3" type="noConversion"/>
  </si>
  <si>
    <t>2022/11/10拒絕</t>
    <phoneticPr fontId="3" type="noConversion"/>
  </si>
  <si>
    <t>拒收</t>
    <phoneticPr fontId="3" type="noConversion"/>
  </si>
  <si>
    <t xml:space="preserve">癲癇，早晚
</t>
    <phoneticPr fontId="3" type="noConversion"/>
  </si>
  <si>
    <t>2，spo2過低</t>
    <phoneticPr fontId="3" type="noConversion"/>
  </si>
  <si>
    <t>二至三天一次</t>
    <phoneticPr fontId="3" type="noConversion"/>
  </si>
  <si>
    <t>魚油</t>
    <phoneticPr fontId="3" type="noConversion"/>
  </si>
  <si>
    <t>惠氏S26金愛兒樂</t>
    <phoneticPr fontId="3" type="noConversion"/>
  </si>
  <si>
    <t>250-350</t>
    <phoneticPr fontId="3" type="noConversion"/>
  </si>
  <si>
    <t>2022/5/月初</t>
    <phoneticPr fontId="3" type="noConversion"/>
  </si>
  <si>
    <t>2022/4/25從未收過，拒絕</t>
    <phoneticPr fontId="3" type="noConversion"/>
  </si>
  <si>
    <t>2022/4/26從未收過，拒絕</t>
  </si>
  <si>
    <t>2022/4/27從未收過，拒絕</t>
  </si>
  <si>
    <t>2022/4/28從未收過，拒絕</t>
  </si>
  <si>
    <t>2020/10/21從未收過，拒絕</t>
    <phoneticPr fontId="3" type="noConversion"/>
  </si>
  <si>
    <t>2020/10/22從未收過，拒絕</t>
  </si>
  <si>
    <t>2020/10/23從未收過，拒絕</t>
  </si>
  <si>
    <t>2020/10/24從未收過，拒絕</t>
  </si>
  <si>
    <t>2021/08/05從未收過，拒絕</t>
    <phoneticPr fontId="3" type="noConversion"/>
  </si>
  <si>
    <t>2021/08/06從未收過，拒絕</t>
  </si>
  <si>
    <t>2021/08/07從未收過，拒絕</t>
  </si>
  <si>
    <t>2021/08/08從未收過，拒絕</t>
  </si>
  <si>
    <t>2020/12/09從未收過，拒絕</t>
    <phoneticPr fontId="3" type="noConversion"/>
  </si>
  <si>
    <t>2020/12/10從未收過，拒絕</t>
  </si>
  <si>
    <t>2020/12/11從未收過，拒絕</t>
  </si>
  <si>
    <t>2020/12/12從未收過，拒絕</t>
  </si>
  <si>
    <t>2021/12/24從未收過，拒絕</t>
    <phoneticPr fontId="3" type="noConversion"/>
  </si>
  <si>
    <t>2021/12/25從未收過，拒絕</t>
  </si>
  <si>
    <t>2021/12/26從未收過，拒絕</t>
  </si>
  <si>
    <t>2021/12/27從未收過，拒絕</t>
  </si>
  <si>
    <t>2022/4/15從未收過，拒絕</t>
    <phoneticPr fontId="3" type="noConversion"/>
  </si>
  <si>
    <t>2022/4/16從未收過，拒絕</t>
  </si>
  <si>
    <t>2022/4/17從未收過，拒絕</t>
  </si>
  <si>
    <t>2022/4/18從未收過，拒絕</t>
  </si>
  <si>
    <r>
      <rPr>
        <sz val="12"/>
        <color theme="1"/>
        <rFont val="PMingLiU"/>
        <family val="1"/>
        <charset val="136"/>
      </rPr>
      <t>從未收過</t>
    </r>
    <r>
      <rPr>
        <sz val="12"/>
        <color theme="1"/>
        <rFont val="Times New Roman"/>
        <family val="1"/>
      </rPr>
      <t>，拒絕</t>
    </r>
    <phoneticPr fontId="3" type="noConversion"/>
  </si>
  <si>
    <r>
      <t>2022/11/10</t>
    </r>
    <r>
      <rPr>
        <sz val="12"/>
        <color theme="1"/>
        <rFont val="PMingLiU"/>
        <family val="1"/>
        <charset val="136"/>
      </rPr>
      <t>拒絕</t>
    </r>
    <phoneticPr fontId="3" type="noConversion"/>
  </si>
  <si>
    <r>
      <t>2022/12/28</t>
    </r>
    <r>
      <rPr>
        <sz val="12"/>
        <color theme="1"/>
        <rFont val="PMingLiU"/>
        <family val="1"/>
        <charset val="136"/>
      </rPr>
      <t>拒絕</t>
    </r>
    <phoneticPr fontId="3" type="noConversion"/>
  </si>
  <si>
    <t>小安素、寶寶粥</t>
    <phoneticPr fontId="3" type="noConversion"/>
  </si>
  <si>
    <t>一天一次，妙麗散</t>
    <phoneticPr fontId="3" type="noConversion"/>
  </si>
  <si>
    <t>一天一次，寶益兒</t>
    <phoneticPr fontId="3" type="noConversion"/>
  </si>
  <si>
    <t>2023/01/17拒絕，轉至家附近回診</t>
  </si>
  <si>
    <t>2023/01/17拒絕，轉至家附近回診</t>
    <phoneticPr fontId="3" type="noConversion"/>
  </si>
  <si>
    <t>拒抽</t>
    <phoneticPr fontId="3" type="noConversion"/>
  </si>
  <si>
    <t>2023/0131</t>
    <phoneticPr fontId="3" type="noConversion"/>
  </si>
  <si>
    <t>2023/02/02拒絕</t>
  </si>
  <si>
    <t>2023/02/03拒絕</t>
  </si>
  <si>
    <t>2023/02/04拒絕</t>
  </si>
  <si>
    <t>150~180</t>
    <phoneticPr fontId="3" type="noConversion"/>
  </si>
  <si>
    <t>鑫耀生技－藻精蛋白 一天2~3次</t>
    <phoneticPr fontId="3" type="noConversion"/>
  </si>
  <si>
    <t>1.2.3</t>
    <phoneticPr fontId="3" type="noConversion"/>
  </si>
  <si>
    <t>晚上.卡蘿林</t>
  </si>
  <si>
    <t>ㄧ天一次，寶益兒</t>
    <phoneticPr fontId="3" type="noConversion"/>
  </si>
  <si>
    <t>葉酸/一天一次</t>
    <phoneticPr fontId="3" type="noConversion"/>
  </si>
  <si>
    <t>90、120~150</t>
    <phoneticPr fontId="3" type="noConversion"/>
  </si>
  <si>
    <t>每天一次</t>
    <phoneticPr fontId="3" type="noConversion"/>
  </si>
  <si>
    <t>B12，每天一次</t>
    <phoneticPr fontId="3" type="noConversion"/>
  </si>
  <si>
    <t>感冒</t>
    <phoneticPr fontId="3" type="noConversion"/>
  </si>
  <si>
    <t>1.1ml</t>
    <phoneticPr fontId="3" type="noConversion"/>
  </si>
  <si>
    <t>1ml</t>
    <phoneticPr fontId="3" type="noConversion"/>
  </si>
  <si>
    <t>stool date 2</t>
    <phoneticPr fontId="3" type="noConversion"/>
  </si>
  <si>
    <t>RNA盒子</t>
    <phoneticPr fontId="3" type="noConversion"/>
  </si>
  <si>
    <t>1、2</t>
    <phoneticPr fontId="3" type="noConversion"/>
  </si>
  <si>
    <t>雪印</t>
    <phoneticPr fontId="3" type="noConversion"/>
  </si>
  <si>
    <t>一天一次，睡前</t>
    <phoneticPr fontId="3" type="noConversion"/>
  </si>
  <si>
    <r>
      <t>2023/02/01</t>
    </r>
    <r>
      <rPr>
        <sz val="12"/>
        <color theme="1"/>
        <rFont val="PMingLiU"/>
        <family val="1"/>
        <charset val="136"/>
      </rPr>
      <t>拒絕，抽血心疼</t>
    </r>
    <phoneticPr fontId="3" type="noConversion"/>
  </si>
  <si>
    <t>2023/02/21拒絕，抽血心疼</t>
    <phoneticPr fontId="3" type="noConversion"/>
  </si>
  <si>
    <t>劉康禾</t>
    <phoneticPr fontId="3" type="noConversion"/>
  </si>
  <si>
    <t>林祐丞</t>
    <phoneticPr fontId="3" type="noConversion"/>
  </si>
  <si>
    <t>1.4-保母</t>
    <phoneticPr fontId="3" type="noConversion"/>
  </si>
  <si>
    <t>亞培親護水解</t>
    <phoneticPr fontId="3" type="noConversion"/>
  </si>
  <si>
    <t>魚油，寶益兒</t>
    <phoneticPr fontId="3" type="noConversion"/>
  </si>
  <si>
    <t>早餐前，eltroxin</t>
    <phoneticPr fontId="3" type="noConversion"/>
  </si>
  <si>
    <t>早餐後，piracetam</t>
    <phoneticPr fontId="3" type="noConversion"/>
  </si>
  <si>
    <t>2023/03/03拒絕，心疼</t>
    <phoneticPr fontId="3" type="noConversion"/>
  </si>
  <si>
    <t>雅培小安素</t>
    <phoneticPr fontId="3" type="noConversion"/>
  </si>
  <si>
    <t>4寶益兒</t>
    <phoneticPr fontId="3" type="noConversion"/>
  </si>
  <si>
    <t>寶益兒/早上一次</t>
    <phoneticPr fontId="3" type="noConversion"/>
  </si>
  <si>
    <t>益妙兒/j晚上一次</t>
    <phoneticPr fontId="3" type="noConversion"/>
  </si>
  <si>
    <t>明治1號</t>
    <phoneticPr fontId="3" type="noConversion"/>
  </si>
  <si>
    <t>2023/03/14拒絕 心疼、轉診回台南成大</t>
    <phoneticPr fontId="3" type="noConversion"/>
  </si>
  <si>
    <t>啟賦</t>
    <phoneticPr fontId="3" type="noConversion"/>
  </si>
  <si>
    <t>1.3.5</t>
    <phoneticPr fontId="3" type="noConversion"/>
  </si>
  <si>
    <t>樂思喘/每天一包</t>
    <phoneticPr fontId="3" type="noConversion"/>
  </si>
  <si>
    <t>2022/10月底</t>
    <phoneticPr fontId="3" type="noConversion"/>
  </si>
  <si>
    <t>張心婷</t>
    <phoneticPr fontId="3" type="noConversion"/>
  </si>
  <si>
    <t>張心蘋</t>
    <phoneticPr fontId="3" type="noConversion"/>
  </si>
  <si>
    <t>2023/03/21拒絕，心疼</t>
    <phoneticPr fontId="3" type="noConversion"/>
  </si>
  <si>
    <t>2023/03/23拒絕，回衛生所施打疫苗</t>
    <phoneticPr fontId="3" type="noConversion"/>
  </si>
  <si>
    <t>咳酚糖漿，一天四次</t>
    <phoneticPr fontId="3" type="noConversion"/>
  </si>
  <si>
    <t>blood age -BID</t>
    <phoneticPr fontId="3" type="noConversion"/>
  </si>
  <si>
    <t>blood age- EDC</t>
    <phoneticPr fontId="3" type="noConversion"/>
  </si>
  <si>
    <t>urine age-BID</t>
    <phoneticPr fontId="3" type="noConversion"/>
  </si>
  <si>
    <t>urine age-EDC</t>
    <phoneticPr fontId="3" type="noConversion"/>
  </si>
  <si>
    <t>stool age 1-BID</t>
    <phoneticPr fontId="3" type="noConversion"/>
  </si>
  <si>
    <t>stool age 1-EDC</t>
    <phoneticPr fontId="3" type="noConversion"/>
  </si>
  <si>
    <t>stool age 2-BID</t>
    <phoneticPr fontId="3" type="noConversion"/>
  </si>
  <si>
    <t>stool age 2-EDC</t>
    <phoneticPr fontId="3" type="noConversion"/>
  </si>
  <si>
    <t>swab date-BID</t>
    <phoneticPr fontId="3" type="noConversion"/>
  </si>
  <si>
    <t>swab date-EDC</t>
    <phoneticPr fontId="3" type="noConversion"/>
  </si>
  <si>
    <t>楊秀燁</t>
    <phoneticPr fontId="3" type="noConversion"/>
  </si>
  <si>
    <t>corrected age</t>
    <phoneticPr fontId="3" type="noConversion"/>
  </si>
  <si>
    <t>corrected age</t>
  </si>
  <si>
    <t>一天ㄧ次，寶益兒</t>
    <phoneticPr fontId="3" type="noConversion"/>
  </si>
  <si>
    <t>一天一次，思能康見</t>
    <phoneticPr fontId="3" type="noConversion"/>
  </si>
  <si>
    <t>一天三次，優閒、赫癲易</t>
    <phoneticPr fontId="3" type="noConversion"/>
  </si>
  <si>
    <t>一天兩次，利福全</t>
    <phoneticPr fontId="3" type="noConversion"/>
  </si>
  <si>
    <t>拒絕、心疼</t>
    <phoneticPr fontId="3" type="noConversion"/>
  </si>
  <si>
    <t>1.3.5.</t>
    <phoneticPr fontId="3" type="noConversion"/>
  </si>
  <si>
    <t>2023/04/20-2023/04/22 ULEXIN伏力黴素</t>
    <phoneticPr fontId="3" type="noConversion"/>
  </si>
  <si>
    <t>2023/04/23-2023/04/26希青利</t>
    <phoneticPr fontId="3" type="noConversion"/>
  </si>
  <si>
    <t>2023/04/21-2023/04/22 息咳寧糖漿</t>
    <phoneticPr fontId="3" type="noConversion"/>
  </si>
  <si>
    <t>600ul*2</t>
    <phoneticPr fontId="3" type="noConversion"/>
  </si>
  <si>
    <t>林貝兒</t>
    <phoneticPr fontId="3" type="noConversion"/>
  </si>
  <si>
    <t>160~240</t>
    <phoneticPr fontId="3" type="noConversion"/>
  </si>
  <si>
    <t>卡羅林</t>
    <phoneticPr fontId="3" type="noConversion"/>
  </si>
  <si>
    <t>明治</t>
    <phoneticPr fontId="3" type="noConversion"/>
  </si>
  <si>
    <t>一天一次、常春藤</t>
    <phoneticPr fontId="3" type="noConversion"/>
  </si>
  <si>
    <t>2022/2/15Expire</t>
  </si>
  <si>
    <t>2022/2/15Expire</t>
    <phoneticPr fontId="3" type="noConversion"/>
  </si>
  <si>
    <t>2023/05/24拒收，在中壢佑敏醫院追蹤</t>
    <phoneticPr fontId="3" type="noConversion"/>
  </si>
  <si>
    <t>偶爾（益妙兒）</t>
    <phoneticPr fontId="3" type="noConversion"/>
  </si>
  <si>
    <t>優寶滴，一天一次</t>
    <phoneticPr fontId="3" type="noConversion"/>
  </si>
  <si>
    <t>安必飛拉散，一天一次</t>
    <phoneticPr fontId="3" type="noConversion"/>
  </si>
  <si>
    <t>MGO軟便藥，一天兩次</t>
    <phoneticPr fontId="3" type="noConversion"/>
  </si>
  <si>
    <t>750ui</t>
    <phoneticPr fontId="3" type="noConversion"/>
  </si>
  <si>
    <t>serum_2Y 盒</t>
    <phoneticPr fontId="3" type="noConversion"/>
  </si>
  <si>
    <t>能恩水解3</t>
    <phoneticPr fontId="3" type="noConversion"/>
  </si>
  <si>
    <t>每天早上，小兒利薩兒乳鐵</t>
    <phoneticPr fontId="3" type="noConversion"/>
  </si>
  <si>
    <t>每天下午，孕哺兒葉黃素、維他命C</t>
    <phoneticPr fontId="3" type="noConversion"/>
  </si>
  <si>
    <t>2，綜合營養片</t>
    <phoneticPr fontId="3" type="noConversion"/>
  </si>
  <si>
    <t>一週3~4次，安麗</t>
    <phoneticPr fontId="3" type="noConversion"/>
  </si>
  <si>
    <t>2，寶益兒</t>
    <phoneticPr fontId="3" type="noConversion"/>
  </si>
  <si>
    <t>每天一次，威客維</t>
    <phoneticPr fontId="3" type="noConversion"/>
  </si>
  <si>
    <t>每天一次，寶益兒</t>
    <phoneticPr fontId="3" type="noConversion"/>
  </si>
  <si>
    <t>每天一次，DHA魚油</t>
    <phoneticPr fontId="3" type="noConversion"/>
  </si>
  <si>
    <t>喜寶，諾優能3</t>
    <phoneticPr fontId="3" type="noConversion"/>
  </si>
  <si>
    <t>未回診，拒絕</t>
    <phoneticPr fontId="3" type="noConversion"/>
  </si>
  <si>
    <r>
      <t>2023/05/24</t>
    </r>
    <r>
      <rPr>
        <sz val="12"/>
        <color theme="1"/>
        <rFont val="PMingLiU"/>
        <family val="1"/>
        <charset val="136"/>
      </rPr>
      <t>拒收，在中壢佑敏醫院追蹤</t>
    </r>
    <phoneticPr fontId="3" type="noConversion"/>
  </si>
  <si>
    <r>
      <t>2023/03/14</t>
    </r>
    <r>
      <rPr>
        <sz val="12"/>
        <color theme="1"/>
        <rFont val="PMingLiU"/>
        <family val="1"/>
        <charset val="136"/>
      </rPr>
      <t>拒絕</t>
    </r>
    <r>
      <rPr>
        <sz val="12"/>
        <color theme="1"/>
        <rFont val="Times New Roman"/>
        <family val="1"/>
      </rPr>
      <t xml:space="preserve"> </t>
    </r>
    <r>
      <rPr>
        <sz val="12"/>
        <color theme="1"/>
        <rFont val="PMingLiU"/>
        <family val="1"/>
        <charset val="136"/>
      </rPr>
      <t>心疼、轉診回台南成大</t>
    </r>
    <phoneticPr fontId="3" type="noConversion"/>
  </si>
  <si>
    <r>
      <t>2023/03/03</t>
    </r>
    <r>
      <rPr>
        <sz val="12"/>
        <color theme="1"/>
        <rFont val="PMingLiU"/>
        <family val="1"/>
        <charset val="136"/>
      </rPr>
      <t>拒絕，心疼</t>
    </r>
    <phoneticPr fontId="3" type="noConversion"/>
  </si>
  <si>
    <r>
      <t>2023/03/21</t>
    </r>
    <r>
      <rPr>
        <sz val="12"/>
        <color theme="1"/>
        <rFont val="PMingLiU"/>
        <family val="1"/>
        <charset val="136"/>
      </rPr>
      <t>拒絕，心疼</t>
    </r>
    <phoneticPr fontId="3" type="noConversion"/>
  </si>
  <si>
    <r>
      <t>2023/03/23</t>
    </r>
    <r>
      <rPr>
        <sz val="12"/>
        <color theme="1"/>
        <rFont val="PMingLiU"/>
        <family val="1"/>
        <charset val="136"/>
      </rPr>
      <t>拒絕，回衛生所施打疫苗</t>
    </r>
    <phoneticPr fontId="3" type="noConversion"/>
  </si>
  <si>
    <t>4.保母</t>
    <phoneticPr fontId="3" type="noConversion"/>
  </si>
  <si>
    <t>卡洛塔妮</t>
    <phoneticPr fontId="3" type="noConversion"/>
  </si>
  <si>
    <t>抗癲癇</t>
    <phoneticPr fontId="3" type="noConversion"/>
  </si>
  <si>
    <t>2023/06/30拒絕</t>
    <phoneticPr fontId="3" type="noConversion"/>
  </si>
  <si>
    <t>育樂（羊奶）</t>
    <phoneticPr fontId="3" type="noConversion"/>
  </si>
  <si>
    <t>每天早上</t>
    <phoneticPr fontId="3" type="noConversion"/>
  </si>
  <si>
    <t>林芯語</t>
    <phoneticPr fontId="3" type="noConversion"/>
  </si>
  <si>
    <t>林芯妍</t>
    <phoneticPr fontId="3" type="noConversion"/>
  </si>
  <si>
    <t>謝雨言</t>
    <phoneticPr fontId="3" type="noConversion"/>
  </si>
  <si>
    <t>1.8ml</t>
    <phoneticPr fontId="3" type="noConversion"/>
  </si>
  <si>
    <t>亞培小安素</t>
    <phoneticPr fontId="3" type="noConversion"/>
  </si>
  <si>
    <t>能恩雀巢</t>
    <phoneticPr fontId="3" type="noConversion"/>
  </si>
  <si>
    <t>VitC，一天兩顆</t>
    <phoneticPr fontId="3" type="noConversion"/>
  </si>
  <si>
    <t>1</t>
    <phoneticPr fontId="3" type="noConversion"/>
  </si>
  <si>
    <t>啟賦羊</t>
    <phoneticPr fontId="3" type="noConversion"/>
  </si>
  <si>
    <t>早、晚，一天一次</t>
    <phoneticPr fontId="3" type="noConversion"/>
  </si>
  <si>
    <t xml:space="preserve"> 紐崔萊</t>
    <phoneticPr fontId="3" type="noConversion"/>
  </si>
  <si>
    <t>一天一顆</t>
    <phoneticPr fontId="3" type="noConversion"/>
  </si>
  <si>
    <t>2023/08/10拒絕</t>
    <phoneticPr fontId="3" type="noConversion"/>
  </si>
  <si>
    <t>2週一次</t>
  </si>
  <si>
    <t>2週一次</t>
    <phoneticPr fontId="3" type="noConversion"/>
  </si>
  <si>
    <t>2022/09月</t>
    <phoneticPr fontId="3" type="noConversion"/>
  </si>
  <si>
    <t>S-26資兒樂3</t>
    <phoneticPr fontId="3" type="noConversion"/>
  </si>
  <si>
    <t>QD：WEIDER威德</t>
    <phoneticPr fontId="3" type="noConversion"/>
  </si>
  <si>
    <t>希普利敏:睡前</t>
    <phoneticPr fontId="3" type="noConversion"/>
  </si>
  <si>
    <t>希普利敏</t>
    <phoneticPr fontId="3" type="noConversion"/>
  </si>
  <si>
    <t>2023/2月</t>
    <phoneticPr fontId="3" type="noConversion"/>
  </si>
  <si>
    <t>1.7 ml</t>
    <phoneticPr fontId="3" type="noConversion"/>
  </si>
  <si>
    <t>張楀欣</t>
    <phoneticPr fontId="3" type="noConversion"/>
  </si>
  <si>
    <r>
      <t>2023/05/24</t>
    </r>
    <r>
      <rPr>
        <sz val="12"/>
        <color theme="1"/>
        <rFont val="PMingLiU"/>
        <family val="1"/>
        <charset val="136"/>
      </rPr>
      <t>拒收</t>
    </r>
    <phoneticPr fontId="3" type="noConversion"/>
  </si>
  <si>
    <t>克寧、雀巢</t>
    <phoneticPr fontId="3" type="noConversion"/>
  </si>
  <si>
    <t>2、農純鄉</t>
    <phoneticPr fontId="3" type="noConversion"/>
  </si>
  <si>
    <t>一天一次、農純鄉</t>
    <phoneticPr fontId="3" type="noConversion"/>
  </si>
  <si>
    <t>美強生、優兒A+</t>
    <phoneticPr fontId="3" type="noConversion"/>
  </si>
  <si>
    <t>2、3</t>
    <phoneticPr fontId="3" type="noConversion"/>
  </si>
  <si>
    <t>早上</t>
    <phoneticPr fontId="3" type="noConversion"/>
  </si>
  <si>
    <t>晚上、卡羅琳</t>
    <phoneticPr fontId="3" type="noConversion"/>
  </si>
  <si>
    <t>桂格</t>
    <phoneticPr fontId="3" type="noConversion"/>
  </si>
  <si>
    <t>1.2.5</t>
    <phoneticPr fontId="3" type="noConversion"/>
  </si>
  <si>
    <t>一天一次、妙麗散</t>
    <phoneticPr fontId="3" type="noConversion"/>
  </si>
  <si>
    <t>S26資兒樂</t>
    <phoneticPr fontId="3" type="noConversion"/>
  </si>
  <si>
    <t>2.BMM森益菌粉包</t>
    <phoneticPr fontId="3" type="noConversion"/>
  </si>
  <si>
    <t>一天一包，BMM森益菌粉包</t>
    <phoneticPr fontId="3" type="noConversion"/>
  </si>
  <si>
    <t>2023/1月</t>
    <phoneticPr fontId="3" type="noConversion"/>
  </si>
  <si>
    <t>桂格米精S26</t>
    <phoneticPr fontId="3" type="noConversion"/>
  </si>
  <si>
    <t>2023/09/04拒絕</t>
    <phoneticPr fontId="3" type="noConversion"/>
  </si>
  <si>
    <t>徐浩恩</t>
    <phoneticPr fontId="3" type="noConversion"/>
  </si>
  <si>
    <t>0.75 ml</t>
    <phoneticPr fontId="3" type="noConversion"/>
  </si>
  <si>
    <t>金幼兒樂（惠氏）、樂樂Q貝（明治）</t>
    <phoneticPr fontId="3" type="noConversion"/>
  </si>
  <si>
    <t>9/20~9/26日舒（抗生素），每日早上</t>
    <phoneticPr fontId="3" type="noConversion"/>
  </si>
  <si>
    <t>9/20~9/26美舒咳，每日早晚</t>
    <phoneticPr fontId="3" type="noConversion"/>
  </si>
  <si>
    <t>2，哮吼症</t>
    <phoneticPr fontId="3" type="noConversion"/>
  </si>
  <si>
    <t>2023/10/02拒絕</t>
    <phoneticPr fontId="3" type="noConversion"/>
  </si>
  <si>
    <t>寶兒了</t>
    <phoneticPr fontId="3" type="noConversion"/>
  </si>
  <si>
    <t>一週3~5次，威德</t>
    <phoneticPr fontId="3" type="noConversion"/>
  </si>
  <si>
    <t>依普芬，一天2次</t>
    <phoneticPr fontId="3" type="noConversion"/>
  </si>
  <si>
    <t>雀巢能恩</t>
    <phoneticPr fontId="3" type="noConversion"/>
  </si>
  <si>
    <t>一天兩次，孕哺兒</t>
    <phoneticPr fontId="3" type="noConversion"/>
  </si>
  <si>
    <t>一天一包，寶益兒</t>
    <phoneticPr fontId="3" type="noConversion"/>
  </si>
  <si>
    <t>一天一次，chidora</t>
    <phoneticPr fontId="3" type="noConversion"/>
  </si>
  <si>
    <t>惠氏S-26金幼兒樂</t>
    <phoneticPr fontId="3" type="noConversion"/>
  </si>
  <si>
    <t>2023/10/16拒絕</t>
    <phoneticPr fontId="3" type="noConversion"/>
  </si>
  <si>
    <t>2023/1018</t>
    <phoneticPr fontId="3" type="noConversion"/>
  </si>
  <si>
    <t>雪印金T3 PLUS成長營養配方</t>
    <phoneticPr fontId="3" type="noConversion"/>
  </si>
  <si>
    <t>每天早上一次，藥師健生活</t>
    <phoneticPr fontId="3" type="noConversion"/>
  </si>
  <si>
    <t>600 ui*2</t>
    <phoneticPr fontId="3" type="noConversion"/>
  </si>
  <si>
    <t xml:space="preserve">1.1ml </t>
    <phoneticPr fontId="3" type="noConversion"/>
  </si>
  <si>
    <t>wyeth惠氏</t>
    <phoneticPr fontId="3" type="noConversion"/>
  </si>
  <si>
    <t>諾貝爾寶貝</t>
    <phoneticPr fontId="3" type="noConversion"/>
  </si>
  <si>
    <t>2022年</t>
    <phoneticPr fontId="3" type="noConversion"/>
  </si>
  <si>
    <t>心美力親護水解</t>
    <phoneticPr fontId="3" type="noConversion"/>
  </si>
  <si>
    <t>2，妙麗散</t>
    <phoneticPr fontId="3" type="noConversion"/>
  </si>
  <si>
    <t>豐力富</t>
    <phoneticPr fontId="3" type="noConversion"/>
  </si>
  <si>
    <t>每天一次，益妙兒</t>
    <phoneticPr fontId="3" type="noConversion"/>
  </si>
  <si>
    <t>每天一次，優寶滴</t>
    <phoneticPr fontId="3" type="noConversion"/>
  </si>
  <si>
    <t>每天一次，東洋</t>
    <phoneticPr fontId="3" type="noConversion"/>
  </si>
  <si>
    <t>QD：優倍鈣</t>
    <phoneticPr fontId="3" type="noConversion"/>
  </si>
  <si>
    <t>QD：口益康</t>
    <phoneticPr fontId="3" type="noConversion"/>
  </si>
  <si>
    <t>QD：苯益敏</t>
    <phoneticPr fontId="3" type="noConversion"/>
  </si>
  <si>
    <t>育樂幼兒成長奶粉3＋乳鐵蛋白</t>
    <phoneticPr fontId="3" type="noConversion"/>
  </si>
  <si>
    <t>120-200</t>
    <phoneticPr fontId="3" type="noConversion"/>
  </si>
  <si>
    <t>2022/05/05、2022/08/21、2023/03/12</t>
    <phoneticPr fontId="3" type="noConversion"/>
  </si>
  <si>
    <t>雀巢水解</t>
    <phoneticPr fontId="3" type="noConversion"/>
  </si>
  <si>
    <t>一天一次，卡羅琳</t>
    <phoneticPr fontId="3" type="noConversion"/>
  </si>
  <si>
    <t>一天一次，寶乘亞</t>
    <phoneticPr fontId="3" type="noConversion"/>
  </si>
  <si>
    <t>雀巢能恩3</t>
    <phoneticPr fontId="3" type="noConversion"/>
  </si>
  <si>
    <t>一天一次，lilcritters</t>
    <phoneticPr fontId="3" type="noConversion"/>
  </si>
  <si>
    <t>一天一次，Nafare's way</t>
    <phoneticPr fontId="3" type="noConversion"/>
  </si>
  <si>
    <t>2023/11/27Expire</t>
    <phoneticPr fontId="3" type="noConversion"/>
  </si>
  <si>
    <t>2，維生素D</t>
    <phoneticPr fontId="3" type="noConversion"/>
  </si>
  <si>
    <t>一週3~5次，A+資優yoyo珊瑚鈣</t>
    <phoneticPr fontId="3" type="noConversion"/>
  </si>
  <si>
    <t>一天一次，400 IU</t>
    <phoneticPr fontId="3" type="noConversion"/>
  </si>
  <si>
    <t>一天一次，蜜蜜熊綜合維他命</t>
    <phoneticPr fontId="3" type="noConversion"/>
  </si>
  <si>
    <t>2，小兒利撒爾</t>
    <phoneticPr fontId="3" type="noConversion"/>
  </si>
  <si>
    <t>一天一次，小兒利撒爾</t>
    <phoneticPr fontId="3" type="noConversion"/>
  </si>
  <si>
    <t>31+7</t>
    <phoneticPr fontId="3" type="noConversion"/>
  </si>
  <si>
    <t>諾優貝</t>
    <phoneticPr fontId="3" type="noConversion"/>
  </si>
  <si>
    <t>一天一次，YOHO敏豆淸益生菌</t>
    <phoneticPr fontId="3" type="noConversion"/>
  </si>
  <si>
    <t>0.45 ml</t>
    <phoneticPr fontId="3" type="noConversion"/>
  </si>
  <si>
    <t>雅培</t>
    <phoneticPr fontId="3" type="noConversion"/>
  </si>
  <si>
    <t>一天一次，寶寶優力鈣</t>
    <phoneticPr fontId="3" type="noConversion"/>
  </si>
  <si>
    <t>一天一次，寶乖亞</t>
    <phoneticPr fontId="3" type="noConversion"/>
  </si>
  <si>
    <t>一天一次，藥師健生活</t>
    <phoneticPr fontId="3" type="noConversion"/>
  </si>
  <si>
    <t>一天一次，樂活原力</t>
    <phoneticPr fontId="3" type="noConversion"/>
  </si>
  <si>
    <t>2022/</t>
    <phoneticPr fontId="3" type="noConversion"/>
  </si>
  <si>
    <t>1，藥師健生活</t>
    <phoneticPr fontId="3" type="noConversion"/>
  </si>
  <si>
    <t>一天一次，優兒康</t>
    <phoneticPr fontId="3" type="noConversion"/>
  </si>
  <si>
    <t>一天一次，恩能康貝</t>
    <phoneticPr fontId="3" type="noConversion"/>
  </si>
  <si>
    <t>6*2</t>
    <phoneticPr fontId="3" type="noConversion"/>
  </si>
  <si>
    <t>3、4</t>
    <phoneticPr fontId="3" type="noConversion"/>
  </si>
  <si>
    <t>urine NMR_2Y 先做</t>
    <phoneticPr fontId="3" type="noConversion"/>
  </si>
  <si>
    <t>1.2.4托嬰</t>
    <phoneticPr fontId="3" type="noConversion"/>
  </si>
  <si>
    <t>心美力</t>
    <phoneticPr fontId="3" type="noConversion"/>
  </si>
  <si>
    <t>7*2 2023/12/15</t>
    <phoneticPr fontId="3" type="noConversion"/>
  </si>
  <si>
    <t>麥格拉</t>
    <phoneticPr fontId="3" type="noConversion"/>
  </si>
  <si>
    <t>胃乳，每餐飯後</t>
    <phoneticPr fontId="3" type="noConversion"/>
  </si>
  <si>
    <t>肌肉鬆弛，睡前</t>
    <phoneticPr fontId="3" type="noConversion"/>
  </si>
  <si>
    <t>桂格愛力新成長奶粉、豐力富金護幼兒成長奶粉</t>
    <phoneticPr fontId="3" type="noConversion"/>
  </si>
  <si>
    <t>2，鑫藥比霏益生菌</t>
    <phoneticPr fontId="3" type="noConversion"/>
  </si>
  <si>
    <t>一週3~5次</t>
    <phoneticPr fontId="3" type="noConversion"/>
  </si>
  <si>
    <t>2024/01/10拒絕不做</t>
    <phoneticPr fontId="3" type="noConversion"/>
  </si>
  <si>
    <r>
      <t>2024/01/10</t>
    </r>
    <r>
      <rPr>
        <sz val="12"/>
        <color theme="1"/>
        <rFont val="BiauKai"/>
        <family val="4"/>
        <charset val="136"/>
      </rPr>
      <t>拒絕</t>
    </r>
  </si>
  <si>
    <t>BP191</t>
    <phoneticPr fontId="3" type="noConversion"/>
  </si>
  <si>
    <t>新美麗</t>
    <phoneticPr fontId="3" type="noConversion"/>
  </si>
  <si>
    <t>偶爾</t>
    <phoneticPr fontId="3" type="noConversion"/>
  </si>
  <si>
    <t>2天一次，卡蘿琳</t>
    <phoneticPr fontId="3" type="noConversion"/>
  </si>
  <si>
    <t>一天一次，益腹寧</t>
    <phoneticPr fontId="3" type="noConversion"/>
  </si>
  <si>
    <t>一天一次，乳鐵蛋白</t>
    <phoneticPr fontId="3" type="noConversion"/>
  </si>
  <si>
    <t>諾優能3</t>
    <phoneticPr fontId="3" type="noConversion"/>
  </si>
  <si>
    <t>一天一次，益妙兒</t>
    <phoneticPr fontId="3" type="noConversion"/>
  </si>
  <si>
    <t>一週一次，妙利散</t>
    <phoneticPr fontId="3" type="noConversion"/>
  </si>
  <si>
    <t>2.3，益妙兒糖漿、妙利散、寶乖亞</t>
    <phoneticPr fontId="3" type="noConversion"/>
  </si>
  <si>
    <t>2023/1/0/1</t>
    <phoneticPr fontId="3" type="noConversion"/>
  </si>
  <si>
    <t>金悅健</t>
    <phoneticPr fontId="3" type="noConversion"/>
  </si>
  <si>
    <t>1.3.4</t>
    <phoneticPr fontId="3" type="noConversion"/>
  </si>
  <si>
    <t>240-270</t>
    <phoneticPr fontId="3" type="noConversion"/>
  </si>
  <si>
    <t>卡洛塔尼</t>
    <phoneticPr fontId="3" type="noConversion"/>
  </si>
  <si>
    <t>2024/3/12 拒絕</t>
    <phoneticPr fontId="3" type="noConversion"/>
  </si>
  <si>
    <t>29+6</t>
  </si>
  <si>
    <t>180-240</t>
    <phoneticPr fontId="3" type="noConversion"/>
  </si>
  <si>
    <t>巧康，一天一次</t>
    <phoneticPr fontId="3" type="noConversion"/>
  </si>
  <si>
    <t>2021/102/7</t>
    <phoneticPr fontId="3" type="noConversion"/>
  </si>
  <si>
    <t>克寧</t>
    <phoneticPr fontId="3" type="noConversion"/>
  </si>
  <si>
    <t>B6，一天兩次</t>
    <phoneticPr fontId="3" type="noConversion"/>
  </si>
  <si>
    <t>B12，一天兩次</t>
    <phoneticPr fontId="3" type="noConversion"/>
  </si>
  <si>
    <t>2024/03/29拒絕</t>
    <phoneticPr fontId="3" type="noConversion"/>
  </si>
  <si>
    <t>能恩水解</t>
    <phoneticPr fontId="3" type="noConversion"/>
  </si>
  <si>
    <t>2024/05/08未回覆</t>
    <phoneticPr fontId="3" type="noConversion"/>
  </si>
  <si>
    <t>2024/05/10未回覆</t>
    <phoneticPr fontId="3" type="noConversion"/>
  </si>
  <si>
    <t>240-320</t>
    <phoneticPr fontId="3" type="noConversion"/>
  </si>
  <si>
    <t>徐光昱</t>
    <phoneticPr fontId="3" type="noConversion"/>
  </si>
  <si>
    <t>BP099</t>
    <phoneticPr fontId="3" type="noConversion"/>
  </si>
  <si>
    <t>陳冠霓</t>
    <phoneticPr fontId="3" type="noConversion"/>
  </si>
  <si>
    <t>BP102</t>
    <phoneticPr fontId="3" type="noConversion"/>
  </si>
  <si>
    <t>BP108</t>
    <phoneticPr fontId="3" type="noConversion"/>
  </si>
  <si>
    <t>BP111</t>
    <phoneticPr fontId="3" type="noConversion"/>
  </si>
  <si>
    <t>BP117</t>
    <phoneticPr fontId="3" type="noConversion"/>
  </si>
  <si>
    <t>BP124</t>
    <phoneticPr fontId="3" type="noConversion"/>
  </si>
  <si>
    <t>BP094</t>
    <phoneticPr fontId="3" type="noConversion"/>
  </si>
  <si>
    <t>秦御菲</t>
    <phoneticPr fontId="3" type="noConversion"/>
  </si>
  <si>
    <t>BP040</t>
    <phoneticPr fontId="3" type="noConversion"/>
  </si>
  <si>
    <t>BP031</t>
    <phoneticPr fontId="3" type="noConversion"/>
  </si>
  <si>
    <t>黃子恩</t>
    <phoneticPr fontId="3" type="noConversion"/>
  </si>
  <si>
    <t>BP037</t>
    <phoneticPr fontId="3" type="noConversion"/>
  </si>
  <si>
    <r>
      <t>發</t>
    </r>
    <r>
      <rPr>
        <sz val="12"/>
        <color rgb="FF000000"/>
        <rFont val="Times New Roman"/>
        <family val="1"/>
      </rPr>
      <t>(</t>
    </r>
    <r>
      <rPr>
        <sz val="12"/>
        <color rgb="FF000000"/>
        <rFont val="細明體"/>
        <family val="1"/>
        <charset val="136"/>
      </rPr>
      <t>完整</t>
    </r>
    <r>
      <rPr>
        <sz val="12"/>
        <color rgb="FF000000"/>
        <rFont val="Times New Roman"/>
        <family val="1"/>
      </rPr>
      <t>)</t>
    </r>
    <r>
      <rPr>
        <sz val="12"/>
        <color rgb="FF000000"/>
        <rFont val="細明體"/>
        <family val="1"/>
        <charset val="136"/>
      </rPr>
      <t>報告</t>
    </r>
    <r>
      <rPr>
        <sz val="12"/>
        <color rgb="FF000000"/>
        <rFont val="Times New Roman"/>
        <family val="1"/>
      </rPr>
      <t>_2Y</t>
    </r>
    <phoneticPr fontId="3" type="noConversion"/>
  </si>
  <si>
    <t>送檢日</t>
    <phoneticPr fontId="3" type="noConversion"/>
  </si>
  <si>
    <t>檢體回收日</t>
    <phoneticPr fontId="3" type="noConversion"/>
  </si>
  <si>
    <t>Total IgE_2Y</t>
    <phoneticPr fontId="3" type="noConversion"/>
  </si>
  <si>
    <t>T-CD3_2Y</t>
    <phoneticPr fontId="3" type="noConversion"/>
  </si>
  <si>
    <t>B-CD19_2Y</t>
    <phoneticPr fontId="3" type="noConversion"/>
  </si>
  <si>
    <t>ABSOL-CD3_2Y</t>
    <phoneticPr fontId="3" type="noConversion"/>
  </si>
  <si>
    <t>ABSOL-CD19_2Y</t>
    <phoneticPr fontId="3" type="noConversion"/>
  </si>
  <si>
    <t>CD4 T Cell_2Y</t>
    <phoneticPr fontId="3" type="noConversion"/>
  </si>
  <si>
    <t>ABSOL-CD4_2Y</t>
    <phoneticPr fontId="3" type="noConversion"/>
  </si>
  <si>
    <t>CD8 T Cell_2Y</t>
    <phoneticPr fontId="3" type="noConversion"/>
  </si>
  <si>
    <t>ABSOL-CD8_2Y</t>
    <phoneticPr fontId="3" type="noConversion"/>
  </si>
  <si>
    <t>CD4/CD8_2Y</t>
    <phoneticPr fontId="3" type="noConversion"/>
  </si>
  <si>
    <t>NK Cell_2Y</t>
    <phoneticPr fontId="3" type="noConversion"/>
  </si>
  <si>
    <t>ABSOL-NK Cells_2Y</t>
    <phoneticPr fontId="3" type="noConversion"/>
  </si>
  <si>
    <t>陳筠諦</t>
    <phoneticPr fontId="3" type="noConversion"/>
  </si>
  <si>
    <t>周子芮</t>
    <phoneticPr fontId="3" type="noConversion"/>
  </si>
  <si>
    <t>曾妍曦</t>
    <phoneticPr fontId="3" type="noConversion"/>
  </si>
  <si>
    <t>魏子恩</t>
    <phoneticPr fontId="3" type="noConversion"/>
  </si>
  <si>
    <t>黃媛謹</t>
    <phoneticPr fontId="3" type="noConversion"/>
  </si>
  <si>
    <t>張晉慈</t>
    <phoneticPr fontId="3" type="noConversion"/>
  </si>
  <si>
    <t>李宗祐</t>
    <phoneticPr fontId="3" type="noConversion"/>
  </si>
  <si>
    <t>白心澄</t>
    <phoneticPr fontId="3" type="noConversion"/>
  </si>
  <si>
    <t>吳卓恩</t>
    <phoneticPr fontId="3" type="noConversion"/>
  </si>
  <si>
    <t>蔡宜學</t>
    <phoneticPr fontId="3" type="noConversion"/>
  </si>
  <si>
    <t>徐國恩</t>
    <phoneticPr fontId="3" type="noConversion"/>
  </si>
  <si>
    <t>李寧恩</t>
    <phoneticPr fontId="3" type="noConversion"/>
  </si>
  <si>
    <t>郭韭言</t>
    <phoneticPr fontId="3" type="noConversion"/>
  </si>
  <si>
    <t>吳珞溱</t>
    <phoneticPr fontId="3" type="noConversion"/>
  </si>
  <si>
    <t>徐筱婷</t>
    <phoneticPr fontId="3" type="noConversion"/>
  </si>
  <si>
    <t>張洛維</t>
    <phoneticPr fontId="3" type="noConversion"/>
  </si>
  <si>
    <t>蔡蕎安</t>
    <phoneticPr fontId="3" type="noConversion"/>
  </si>
  <si>
    <t>蔡沐希</t>
    <phoneticPr fontId="3" type="noConversion"/>
  </si>
  <si>
    <t>鍾逸賢</t>
    <phoneticPr fontId="3" type="noConversion"/>
  </si>
  <si>
    <t>陳品言</t>
    <phoneticPr fontId="3" type="noConversion"/>
  </si>
  <si>
    <t>李阜侑</t>
    <phoneticPr fontId="3" type="noConversion"/>
  </si>
  <si>
    <t>廖品媃</t>
    <phoneticPr fontId="3" type="noConversion"/>
  </si>
  <si>
    <t>林芯瑜</t>
    <phoneticPr fontId="3" type="noConversion"/>
  </si>
  <si>
    <t>林芯菲</t>
    <phoneticPr fontId="3" type="noConversion"/>
  </si>
  <si>
    <t>洪子稀</t>
    <phoneticPr fontId="3" type="noConversion"/>
  </si>
  <si>
    <t>林宇威</t>
    <phoneticPr fontId="3" type="noConversion"/>
  </si>
  <si>
    <t>王暄霖</t>
    <phoneticPr fontId="3" type="noConversion"/>
  </si>
  <si>
    <t>沈芯彤</t>
    <phoneticPr fontId="3" type="noConversion"/>
  </si>
  <si>
    <t>白心澈</t>
    <phoneticPr fontId="3" type="noConversion"/>
  </si>
  <si>
    <t>林呈展</t>
    <phoneticPr fontId="3" type="noConversion"/>
  </si>
  <si>
    <t>吳瑜蓉</t>
    <phoneticPr fontId="3" type="noConversion"/>
  </si>
  <si>
    <t>林妍妘</t>
    <phoneticPr fontId="3" type="noConversion"/>
  </si>
  <si>
    <t>王婕妤</t>
    <phoneticPr fontId="3" type="noConversion"/>
  </si>
  <si>
    <t>陳昕佐</t>
    <phoneticPr fontId="3" type="noConversion"/>
  </si>
  <si>
    <t>連冠佶</t>
    <phoneticPr fontId="3" type="noConversion"/>
  </si>
  <si>
    <t>馮淞琰</t>
    <phoneticPr fontId="3" type="noConversion"/>
  </si>
  <si>
    <t>羅家彤</t>
    <phoneticPr fontId="3" type="noConversion"/>
  </si>
  <si>
    <t>張巧彤</t>
    <phoneticPr fontId="3" type="noConversion"/>
  </si>
  <si>
    <t>王宣涵</t>
    <phoneticPr fontId="3" type="noConversion"/>
  </si>
  <si>
    <t>邱子昀</t>
    <phoneticPr fontId="3" type="noConversion"/>
  </si>
  <si>
    <t>洪允彤</t>
    <phoneticPr fontId="3" type="noConversion"/>
  </si>
  <si>
    <t>劉芝彤</t>
    <phoneticPr fontId="3" type="noConversion"/>
  </si>
  <si>
    <t>吳芊霈</t>
    <phoneticPr fontId="3" type="noConversion"/>
  </si>
  <si>
    <t>丁仁竣</t>
    <phoneticPr fontId="3" type="noConversion"/>
  </si>
  <si>
    <t>蔡政品</t>
    <phoneticPr fontId="3" type="noConversion"/>
  </si>
  <si>
    <t>方沐臣</t>
    <phoneticPr fontId="3" type="noConversion"/>
  </si>
  <si>
    <t>2Y weight</t>
    <phoneticPr fontId="3" type="noConversion"/>
  </si>
  <si>
    <t>2Y height</t>
    <phoneticPr fontId="3" type="noConversion"/>
  </si>
  <si>
    <t>2Y weight, percentile</t>
    <phoneticPr fontId="3" type="noConversion"/>
  </si>
  <si>
    <t>2Y height, percentile</t>
    <phoneticPr fontId="3" type="noConversion"/>
  </si>
  <si>
    <t>2Y BMI, percentile</t>
    <phoneticPr fontId="3" type="noConversion"/>
  </si>
  <si>
    <r>
      <t>Breastfeeding</t>
    </r>
    <r>
      <rPr>
        <sz val="12"/>
        <color theme="1"/>
        <rFont val="新細明體"/>
        <family val="1"/>
        <charset val="136"/>
        <scheme val="minor"/>
      </rPr>
      <t>≧</t>
    </r>
    <r>
      <rPr>
        <sz val="12"/>
        <color theme="1"/>
        <rFont val="Times New Roman"/>
        <family val="1"/>
      </rPr>
      <t>6 months</t>
    </r>
    <phoneticPr fontId="62" type="noConversion"/>
  </si>
  <si>
    <r>
      <t>Probiotics use</t>
    </r>
    <r>
      <rPr>
        <sz val="12"/>
        <color theme="1"/>
        <rFont val="新細明體"/>
        <family val="1"/>
        <charset val="136"/>
        <scheme val="minor"/>
      </rPr>
      <t>≧</t>
    </r>
    <r>
      <rPr>
        <sz val="12"/>
        <color theme="1"/>
        <rFont val="Times New Roman"/>
        <family val="1"/>
      </rPr>
      <t>6 months</t>
    </r>
    <phoneticPr fontId="62" type="noConversion"/>
  </si>
  <si>
    <t>Sepsis, ever</t>
    <phoneticPr fontId="3" type="noConversion"/>
  </si>
  <si>
    <t>抽菸暴露（0.無、1.有）</t>
    <phoneticPr fontId="3" type="noConversion"/>
  </si>
  <si>
    <t>哺餵（0.母奶、1.配方奶、2.兩者、3.都沒有）</t>
    <phoneticPr fontId="3" type="noConversion"/>
  </si>
  <si>
    <t>GA3Group</t>
    <phoneticPr fontId="3" type="noConversion"/>
  </si>
  <si>
    <t>BPD3Group</t>
    <phoneticPr fontId="3" type="noConversion"/>
  </si>
  <si>
    <t>BP080</t>
    <phoneticPr fontId="3" type="noConversion"/>
  </si>
  <si>
    <t>*</t>
    <phoneticPr fontId="3" type="noConversion"/>
  </si>
  <si>
    <t>1-0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</si>
</sst>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Red]\(0.00\)"/>
    <numFmt numFmtId="177" formatCode="0_);[Red]\(0\)"/>
    <numFmt numFmtId="178" formatCode="m&quot;月&quot;d&quot;日&quot;"/>
    <numFmt numFmtId="179" formatCode="0.0"/>
    <numFmt numFmtId="180" formatCode="0.0_);[Red]\(0.0\)"/>
  </numFmts>
  <fonts count="65">
    <font>
      <sz val="12"/>
      <color theme="1"/>
      <name val="新細明體"/>
      <family val="2"/>
      <charset val="136"/>
      <scheme val="minor"/>
    </font>
    <font>
      <sz val="12"/>
      <color theme="1"/>
      <name val="新細明體"/>
      <family val="2"/>
      <charset val="136"/>
      <scheme val="minor"/>
    </font>
    <font>
      <sz val="12"/>
      <color theme="1"/>
      <name val="Times New Roman"/>
      <family val="1"/>
    </font>
    <font>
      <sz val="9"/>
      <name val="新細明體"/>
      <family val="2"/>
      <charset val="136"/>
      <scheme val="minor"/>
    </font>
    <font>
      <sz val="12"/>
      <color rgb="FF000000"/>
      <name val="Times New Roman"/>
      <family val="1"/>
    </font>
    <font>
      <sz val="12"/>
      <color rgb="FF000000"/>
      <name val="新細明體"/>
      <family val="1"/>
      <charset val="136"/>
      <scheme val="minor"/>
    </font>
    <font>
      <sz val="12"/>
      <color theme="1"/>
      <name val="細明體"/>
      <family val="3"/>
      <charset val="136"/>
    </font>
    <font>
      <sz val="12"/>
      <color theme="1"/>
      <name val="新細明體"/>
      <family val="2"/>
      <charset val="136"/>
    </font>
    <font>
      <sz val="12"/>
      <color theme="1"/>
      <name val="Times New Roman"/>
      <family val="2"/>
      <charset val="136"/>
    </font>
    <font>
      <sz val="12"/>
      <color theme="0" tint="-0.499984740745262"/>
      <name val="Times New Roman"/>
      <family val="1"/>
    </font>
    <font>
      <sz val="12"/>
      <color theme="0" tint="-0.499984740745262"/>
      <name val="細明體"/>
      <family val="3"/>
      <charset val="136"/>
    </font>
    <font>
      <sz val="12"/>
      <name val="Times New Roman"/>
      <family val="1"/>
    </font>
    <font>
      <sz val="12"/>
      <name val="細明體"/>
      <family val="3"/>
      <charset val="136"/>
    </font>
    <font>
      <b/>
      <sz val="9"/>
      <color rgb="FF000000"/>
      <name val="細明體"/>
      <family val="1"/>
      <charset val="136"/>
    </font>
    <font>
      <b/>
      <sz val="9"/>
      <color rgb="FF000000"/>
      <name val="Tahoma"/>
      <family val="2"/>
    </font>
    <font>
      <b/>
      <sz val="9"/>
      <color indexed="81"/>
      <name val="細明體"/>
      <family val="3"/>
      <charset val="136"/>
    </font>
    <font>
      <sz val="9"/>
      <color rgb="FF000000"/>
      <name val="Tahoma"/>
      <family val="2"/>
    </font>
    <font>
      <sz val="9"/>
      <color indexed="81"/>
      <name val="細明體"/>
      <family val="3"/>
      <charset val="136"/>
    </font>
    <font>
      <sz val="9"/>
      <color indexed="81"/>
      <name val="Tahoma"/>
      <family val="2"/>
    </font>
    <font>
      <sz val="9"/>
      <color rgb="FF000000"/>
      <name val="細明體"/>
      <family val="1"/>
      <charset val="136"/>
    </font>
    <font>
      <b/>
      <sz val="9"/>
      <color rgb="FF000000"/>
      <name val="Calibri"/>
      <family val="2"/>
    </font>
    <font>
      <sz val="12"/>
      <color theme="1"/>
      <name val="新細明體"/>
      <family val="1"/>
      <charset val="136"/>
      <scheme val="minor"/>
    </font>
    <font>
      <sz val="12"/>
      <color rgb="FF808080"/>
      <name val="Times New Roman"/>
      <family val="1"/>
    </font>
    <font>
      <sz val="12"/>
      <color rgb="FF000000"/>
      <name val="細明體"/>
      <family val="1"/>
      <charset val="136"/>
    </font>
    <font>
      <sz val="12"/>
      <color rgb="FF808080"/>
      <name val="細明體"/>
      <family val="1"/>
      <charset val="136"/>
    </font>
    <font>
      <sz val="12"/>
      <name val="細明體"/>
      <family val="1"/>
      <charset val="136"/>
    </font>
    <font>
      <b/>
      <sz val="9"/>
      <color indexed="81"/>
      <name val="Tahoma"/>
      <family val="2"/>
    </font>
    <font>
      <b/>
      <sz val="9"/>
      <color indexed="81"/>
      <name val="Calibri"/>
      <family val="2"/>
    </font>
    <font>
      <sz val="12"/>
      <color rgb="FF000000"/>
      <name val="新細明體"/>
      <family val="2"/>
      <charset val="136"/>
    </font>
    <font>
      <b/>
      <sz val="12"/>
      <color rgb="FF000000"/>
      <name val="Times New Roman"/>
      <family val="1"/>
    </font>
    <font>
      <sz val="12"/>
      <color rgb="FF000000"/>
      <name val="新細明體"/>
      <family val="1"/>
      <charset val="136"/>
    </font>
    <font>
      <vertAlign val="subscript"/>
      <sz val="12"/>
      <color rgb="FF000000"/>
      <name val="Times New Roman"/>
      <family val="1"/>
    </font>
    <font>
      <sz val="12"/>
      <color rgb="FF000000"/>
      <name val="Calibri"/>
      <family val="2"/>
    </font>
    <font>
      <sz val="12"/>
      <name val="新細明體"/>
      <family val="1"/>
      <charset val="136"/>
      <scheme val="minor"/>
    </font>
    <font>
      <sz val="12"/>
      <color rgb="FF7F7F7F"/>
      <name val="Times New Roman"/>
      <family val="1"/>
    </font>
    <font>
      <sz val="12"/>
      <name val="PMingLiU"/>
      <family val="1"/>
      <charset val="136"/>
    </font>
    <font>
      <sz val="12"/>
      <name val="新細明體"/>
      <family val="1"/>
      <charset val="136"/>
      <scheme val="major"/>
    </font>
    <font>
      <b/>
      <sz val="10"/>
      <color indexed="81"/>
      <name val="細明體"/>
      <family val="3"/>
      <charset val="136"/>
    </font>
    <font>
      <b/>
      <sz val="12"/>
      <color rgb="FFFF0000"/>
      <name val="Times New Roman"/>
      <family val="1"/>
    </font>
    <font>
      <b/>
      <sz val="12"/>
      <color rgb="FF000000"/>
      <name val="細明體"/>
      <family val="1"/>
      <charset val="136"/>
    </font>
    <font>
      <b/>
      <sz val="12"/>
      <color rgb="FF000000"/>
      <name val="新細明體"/>
      <family val="1"/>
      <charset val="136"/>
    </font>
    <font>
      <vertAlign val="subscript"/>
      <sz val="12"/>
      <color theme="1"/>
      <name val="Times New Roman"/>
      <family val="1"/>
    </font>
    <font>
      <sz val="12"/>
      <color theme="1"/>
      <name val="新細明體"/>
      <family val="1"/>
      <charset val="136"/>
      <scheme val="major"/>
    </font>
    <font>
      <sz val="12"/>
      <color rgb="FF000000"/>
      <name val="PMingLiU"/>
      <family val="1"/>
      <charset val="136"/>
    </font>
    <font>
      <sz val="12"/>
      <color rgb="FF000000"/>
      <name val="Times New Roman"/>
      <family val="1"/>
      <charset val="136"/>
    </font>
    <font>
      <sz val="12"/>
      <color theme="1"/>
      <name val="PMingLiU"/>
      <family val="1"/>
      <charset val="136"/>
    </font>
    <font>
      <b/>
      <sz val="10"/>
      <color rgb="FF000000"/>
      <name val="細明體"/>
      <family val="1"/>
      <charset val="136"/>
    </font>
    <font>
      <sz val="10"/>
      <color rgb="FF000000"/>
      <name val="Microsoft JhengHei UI"/>
      <family val="2"/>
      <charset val="136"/>
    </font>
    <font>
      <sz val="12"/>
      <color rgb="FFFFC000"/>
      <name val="新細明體"/>
      <family val="2"/>
      <charset val="136"/>
      <scheme val="minor"/>
    </font>
    <font>
      <sz val="12"/>
      <color rgb="FFFFC000"/>
      <name val="新細明體"/>
      <family val="1"/>
      <charset val="136"/>
      <scheme val="minor"/>
    </font>
    <font>
      <sz val="12"/>
      <color theme="7"/>
      <name val="新細明體"/>
      <family val="2"/>
      <charset val="136"/>
      <scheme val="minor"/>
    </font>
    <font>
      <sz val="12"/>
      <color theme="1"/>
      <name val="Times New Roman"/>
      <family val="1"/>
      <charset val="136"/>
    </font>
    <font>
      <b/>
      <sz val="10"/>
      <color rgb="FF000000"/>
      <name val="Microsoft JhengHei UI"/>
      <family val="2"/>
      <charset val="136"/>
    </font>
    <font>
      <b/>
      <sz val="10"/>
      <color rgb="FF000000"/>
      <name val="Microsoft JhengHei UI"/>
      <family val="34"/>
      <charset val="136"/>
    </font>
    <font>
      <u/>
      <sz val="12"/>
      <color theme="10"/>
      <name val="新細明體"/>
      <family val="2"/>
      <charset val="136"/>
      <scheme val="minor"/>
    </font>
    <font>
      <sz val="12"/>
      <color rgb="FFFF0000"/>
      <name val="Times New Roman"/>
      <family val="1"/>
    </font>
    <font>
      <sz val="18"/>
      <color rgb="FF000000"/>
      <name val="新細明體"/>
      <family val="1"/>
      <charset val="136"/>
      <scheme val="minor"/>
    </font>
    <font>
      <b/>
      <sz val="10"/>
      <color rgb="FF000000"/>
      <name val="新細明體"/>
      <family val="1"/>
      <charset val="136"/>
    </font>
    <font>
      <sz val="12"/>
      <color theme="1"/>
      <name val="BiauKai"/>
      <family val="4"/>
      <charset val="136"/>
    </font>
    <font>
      <b/>
      <sz val="10"/>
      <color rgb="FF000000"/>
      <name val="Microsoft JhengHei UI"/>
      <family val="2"/>
      <charset val="1"/>
    </font>
    <font>
      <sz val="10"/>
      <color rgb="FF000000"/>
      <name val="Microsoft JhengHei UI"/>
      <family val="2"/>
      <charset val="1"/>
    </font>
    <font>
      <sz val="12"/>
      <color theme="1"/>
      <name val="細明體"/>
      <family val="1"/>
      <charset val="136"/>
    </font>
    <font>
      <sz val="9"/>
      <name val="標楷體"/>
      <family val="2"/>
      <charset val="136"/>
    </font>
    <font>
      <sz val="11"/>
      <color theme="1"/>
      <name val="新細明體"/>
      <family val="2"/>
      <charset val="136"/>
      <scheme val="minor"/>
    </font>
    <font>
      <sz val="12"/>
      <color rgb="FFFF0000"/>
      <name val="新細明體"/>
      <family val="2"/>
      <charset val="136"/>
      <scheme val="minor"/>
    </font>
  </fonts>
  <fills count="26">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2EFDA"/>
        <bgColor rgb="FF000000"/>
      </patternFill>
    </fill>
    <fill>
      <patternFill patternType="solid">
        <fgColor rgb="FFDDEBF7"/>
        <bgColor rgb="FF000000"/>
      </patternFill>
    </fill>
    <fill>
      <patternFill patternType="solid">
        <fgColor rgb="FFFFE699"/>
        <bgColor rgb="FF000000"/>
      </patternFill>
    </fill>
    <fill>
      <patternFill patternType="solid">
        <fgColor rgb="FFFFF2CC"/>
        <bgColor rgb="FF000000"/>
      </patternFill>
    </fill>
    <fill>
      <patternFill patternType="solid">
        <fgColor rgb="FFAEAAAA"/>
        <bgColor rgb="FF000000"/>
      </patternFill>
    </fill>
    <fill>
      <patternFill patternType="solid">
        <fgColor rgb="FFFCE4D6"/>
        <bgColor rgb="FF000000"/>
      </patternFill>
    </fill>
    <fill>
      <patternFill patternType="solid">
        <fgColor rgb="FFF4B084"/>
        <bgColor rgb="FF000000"/>
      </patternFill>
    </fill>
    <fill>
      <patternFill patternType="solid">
        <fgColor rgb="FFA9D08E"/>
        <bgColor rgb="FF000000"/>
      </patternFill>
    </fill>
    <fill>
      <patternFill patternType="solid">
        <fgColor rgb="FFD6DCE4"/>
        <bgColor rgb="FF000000"/>
      </patternFill>
    </fill>
    <fill>
      <patternFill patternType="solid">
        <fgColor rgb="FFDBDBDB"/>
        <bgColor rgb="FF000000"/>
      </patternFill>
    </fill>
    <fill>
      <patternFill patternType="solid">
        <fgColor theme="7"/>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rgb="FFBDD7EE"/>
        <bgColor rgb="FF000000"/>
      </patternFill>
    </fill>
    <fill>
      <patternFill patternType="solid">
        <fgColor theme="5" tint="0.59999389629810485"/>
        <bgColor rgb="FF000000"/>
      </patternFill>
    </fill>
    <fill>
      <patternFill patternType="solid">
        <fgColor rgb="FFD5FFDE"/>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alignment vertical="center"/>
    </xf>
    <xf numFmtId="0" fontId="54" fillId="0" borderId="0" applyNumberFormat="0" applyFill="0" applyBorder="0" applyAlignment="0" applyProtection="0">
      <alignment vertical="center"/>
    </xf>
    <xf numFmtId="0" fontId="1" fillId="0" borderId="0">
      <alignment vertical="center"/>
    </xf>
    <xf numFmtId="0" fontId="63" fillId="0" borderId="0">
      <alignment vertical="center"/>
    </xf>
  </cellStyleXfs>
  <cellXfs count="328">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177" fontId="2" fillId="0" borderId="0" xfId="0" applyNumberFormat="1" applyFont="1" applyAlignment="1">
      <alignment horizontal="center" vertical="center"/>
    </xf>
    <xf numFmtId="14" fontId="2" fillId="0" borderId="0" xfId="0" applyNumberFormat="1" applyFont="1">
      <alignment vertical="center"/>
    </xf>
    <xf numFmtId="0" fontId="9" fillId="0" borderId="0" xfId="0" applyFont="1" applyAlignment="1">
      <alignment horizontal="center" vertical="center"/>
    </xf>
    <xf numFmtId="177" fontId="9" fillId="0" borderId="0" xfId="0" applyNumberFormat="1" applyFont="1" applyAlignment="1">
      <alignment horizontal="center" vertical="center"/>
    </xf>
    <xf numFmtId="0" fontId="11" fillId="0" borderId="0" xfId="0" applyFont="1">
      <alignment vertical="center"/>
    </xf>
    <xf numFmtId="0" fontId="11" fillId="0" borderId="0" xfId="0" applyFont="1" applyAlignment="1">
      <alignment horizontal="center" vertical="center"/>
    </xf>
    <xf numFmtId="14" fontId="11" fillId="0" borderId="0" xfId="0" applyNumberFormat="1" applyFont="1">
      <alignment vertical="center"/>
    </xf>
    <xf numFmtId="176" fontId="11" fillId="0" borderId="0" xfId="0" applyNumberFormat="1" applyFont="1" applyAlignment="1">
      <alignment horizontal="center" vertical="center"/>
    </xf>
    <xf numFmtId="177" fontId="11" fillId="0" borderId="0" xfId="0" applyNumberFormat="1" applyFont="1" applyAlignment="1">
      <alignment horizontal="center" vertical="center"/>
    </xf>
    <xf numFmtId="0" fontId="2" fillId="6" borderId="0" xfId="0" applyFont="1" applyFill="1" applyAlignment="1">
      <alignment horizontal="center" vertical="center"/>
    </xf>
    <xf numFmtId="0" fontId="6" fillId="0" borderId="0" xfId="0" applyFont="1">
      <alignment vertical="center"/>
    </xf>
    <xf numFmtId="0" fontId="0" fillId="0" borderId="0" xfId="0" applyAlignment="1">
      <alignment horizontal="center" vertical="center"/>
    </xf>
    <xf numFmtId="0" fontId="2" fillId="8" borderId="0" xfId="0" applyFont="1" applyFill="1" applyAlignment="1">
      <alignment horizontal="center" vertical="center"/>
    </xf>
    <xf numFmtId="0" fontId="2" fillId="7" borderId="0" xfId="0" applyFont="1" applyFill="1" applyAlignment="1">
      <alignment horizontal="center" vertical="center"/>
    </xf>
    <xf numFmtId="0" fontId="11" fillId="8" borderId="0" xfId="0" applyFont="1" applyFill="1" applyAlignment="1">
      <alignment horizontal="center" vertical="center"/>
    </xf>
    <xf numFmtId="0" fontId="11" fillId="7" borderId="0" xfId="0" applyFont="1" applyFill="1" applyAlignment="1">
      <alignment horizontal="center" vertical="center"/>
    </xf>
    <xf numFmtId="0" fontId="2" fillId="9" borderId="0" xfId="0" applyFont="1" applyFill="1" applyAlignment="1">
      <alignment horizontal="center" vertical="center"/>
    </xf>
    <xf numFmtId="176" fontId="2" fillId="7" borderId="0" xfId="0" applyNumberFormat="1" applyFont="1" applyFill="1" applyAlignment="1">
      <alignment horizontal="center" vertical="center"/>
    </xf>
    <xf numFmtId="0" fontId="6" fillId="7" borderId="0" xfId="0" applyFont="1" applyFill="1" applyAlignment="1">
      <alignment horizontal="center" vertical="center"/>
    </xf>
    <xf numFmtId="14" fontId="2" fillId="0" borderId="0" xfId="0" applyNumberFormat="1" applyFont="1" applyAlignment="1">
      <alignment horizontal="center" vertical="center"/>
    </xf>
    <xf numFmtId="0" fontId="2" fillId="3" borderId="0" xfId="0" applyFont="1" applyFill="1" applyAlignment="1">
      <alignment horizontal="center" vertical="center"/>
    </xf>
    <xf numFmtId="0" fontId="2" fillId="5" borderId="0" xfId="0" applyFont="1" applyFill="1" applyAlignment="1">
      <alignment horizontal="center" vertical="center"/>
    </xf>
    <xf numFmtId="0" fontId="11" fillId="5" borderId="0" xfId="0" applyFont="1" applyFill="1" applyAlignment="1">
      <alignment horizontal="center" vertical="center"/>
    </xf>
    <xf numFmtId="0" fontId="2" fillId="0" borderId="0" xfId="0" applyFont="1" applyAlignment="1">
      <alignment horizontal="left" vertical="center"/>
    </xf>
    <xf numFmtId="176" fontId="2" fillId="6" borderId="0" xfId="0" applyNumberFormat="1" applyFont="1" applyFill="1" applyAlignment="1">
      <alignment horizontal="center" vertical="center"/>
    </xf>
    <xf numFmtId="0" fontId="0" fillId="0" borderId="0" xfId="0" applyAlignment="1">
      <alignment horizontal="left" vertical="center"/>
    </xf>
    <xf numFmtId="14" fontId="11" fillId="0" borderId="0" xfId="0" applyNumberFormat="1" applyFont="1" applyAlignment="1">
      <alignment horizontal="center" vertical="center"/>
    </xf>
    <xf numFmtId="0" fontId="0" fillId="4" borderId="0" xfId="0" applyFill="1">
      <alignment vertical="center"/>
    </xf>
    <xf numFmtId="14" fontId="2" fillId="5" borderId="0" xfId="0" applyNumberFormat="1" applyFont="1" applyFill="1" applyAlignment="1">
      <alignment horizontal="center" vertical="center"/>
    </xf>
    <xf numFmtId="0" fontId="0" fillId="0" borderId="0" xfId="0" applyAlignment="1">
      <alignment vertical="center" wrapText="1"/>
    </xf>
    <xf numFmtId="0" fontId="48" fillId="0" borderId="0" xfId="0" applyFont="1">
      <alignment vertical="center"/>
    </xf>
    <xf numFmtId="0" fontId="49" fillId="0" borderId="0" xfId="0" applyFont="1">
      <alignment vertical="center"/>
    </xf>
    <xf numFmtId="0" fontId="21" fillId="4" borderId="0" xfId="0" applyFont="1" applyFill="1">
      <alignment vertical="center"/>
    </xf>
    <xf numFmtId="0" fontId="50" fillId="0" borderId="0" xfId="0" applyFont="1">
      <alignment vertical="center"/>
    </xf>
    <xf numFmtId="14" fontId="4" fillId="2" borderId="0" xfId="0" applyNumberFormat="1" applyFont="1" applyFill="1" applyAlignment="1">
      <alignment horizontal="center" vertical="center"/>
    </xf>
    <xf numFmtId="0" fontId="2" fillId="4" borderId="0" xfId="0" applyFont="1" applyFill="1" applyAlignment="1">
      <alignment horizontal="center" vertical="center"/>
    </xf>
    <xf numFmtId="14" fontId="2" fillId="7" borderId="0" xfId="0" applyNumberFormat="1" applyFont="1" applyFill="1" applyAlignment="1">
      <alignment horizontal="center" vertical="center"/>
    </xf>
    <xf numFmtId="0" fontId="8" fillId="0" borderId="0" xfId="0" applyFont="1" applyAlignment="1">
      <alignment horizontal="center" vertical="center"/>
    </xf>
    <xf numFmtId="14" fontId="9" fillId="0" borderId="0" xfId="0" applyNumberFormat="1" applyFont="1" applyAlignment="1">
      <alignment horizontal="center" vertical="center"/>
    </xf>
    <xf numFmtId="14" fontId="9" fillId="5" borderId="0" xfId="0" applyNumberFormat="1" applyFont="1" applyFill="1" applyAlignment="1">
      <alignment horizontal="center" vertical="center"/>
    </xf>
    <xf numFmtId="14" fontId="2" fillId="4" borderId="0" xfId="0" applyNumberFormat="1" applyFont="1" applyFill="1" applyAlignment="1">
      <alignment horizontal="center" vertical="center"/>
    </xf>
    <xf numFmtId="14" fontId="2" fillId="9" borderId="0" xfId="0" applyNumberFormat="1" applyFont="1" applyFill="1" applyAlignment="1">
      <alignment horizontal="center" vertical="center"/>
    </xf>
    <xf numFmtId="14" fontId="6" fillId="7" borderId="0" xfId="0" applyNumberFormat="1" applyFont="1" applyFill="1" applyAlignment="1">
      <alignment horizontal="center" vertical="center"/>
    </xf>
    <xf numFmtId="14" fontId="9" fillId="4" borderId="0" xfId="0" applyNumberFormat="1" applyFont="1" applyFill="1" applyAlignment="1">
      <alignment horizontal="center" vertical="center"/>
    </xf>
    <xf numFmtId="14" fontId="11" fillId="7" borderId="0" xfId="0" applyNumberFormat="1" applyFont="1" applyFill="1" applyAlignment="1">
      <alignment horizontal="center" vertical="center"/>
    </xf>
    <xf numFmtId="0" fontId="35" fillId="7" borderId="0" xfId="0" applyFont="1" applyFill="1" applyAlignment="1">
      <alignment horizontal="center" vertical="center"/>
    </xf>
    <xf numFmtId="0" fontId="12" fillId="0" borderId="0" xfId="0" applyFont="1" applyAlignment="1">
      <alignment horizontal="center" vertical="center"/>
    </xf>
    <xf numFmtId="14" fontId="12" fillId="7" borderId="0" xfId="0" applyNumberFormat="1" applyFont="1" applyFill="1" applyAlignment="1">
      <alignment horizontal="center" vertical="center"/>
    </xf>
    <xf numFmtId="0" fontId="6" fillId="4" borderId="0" xfId="0" applyFont="1" applyFill="1" applyAlignment="1">
      <alignment horizontal="center" vertical="center"/>
    </xf>
    <xf numFmtId="0" fontId="6" fillId="0" borderId="0" xfId="0" applyFont="1" applyAlignment="1">
      <alignment horizontal="center" vertical="center"/>
    </xf>
    <xf numFmtId="0" fontId="10" fillId="0" borderId="0" xfId="0" applyFont="1" applyAlignment="1">
      <alignment horizontal="center" vertical="center"/>
    </xf>
    <xf numFmtId="14" fontId="4" fillId="0" borderId="0" xfId="0" applyNumberFormat="1" applyFont="1" applyAlignment="1">
      <alignment horizontal="center" vertical="center"/>
    </xf>
    <xf numFmtId="0" fontId="2" fillId="4" borderId="0" xfId="0" applyFont="1" applyFill="1" applyAlignment="1">
      <alignment horizontal="left" vertical="center"/>
    </xf>
    <xf numFmtId="0" fontId="9" fillId="0" borderId="0" xfId="0" applyFont="1" applyAlignment="1">
      <alignment horizontal="left" vertical="center"/>
    </xf>
    <xf numFmtId="0" fontId="11" fillId="4" borderId="0" xfId="0" applyFont="1" applyFill="1" applyAlignment="1">
      <alignment horizontal="left" vertical="center"/>
    </xf>
    <xf numFmtId="0" fontId="11" fillId="0" borderId="0" xfId="0" applyFont="1" applyAlignment="1">
      <alignment horizontal="left" vertical="center"/>
    </xf>
    <xf numFmtId="0" fontId="2" fillId="22" borderId="0" xfId="0" applyFont="1" applyFill="1" applyAlignment="1">
      <alignment horizontal="center" vertical="center"/>
    </xf>
    <xf numFmtId="0" fontId="45" fillId="5" borderId="0" xfId="0" applyFont="1" applyFill="1" applyAlignment="1">
      <alignment horizontal="center" vertical="center"/>
    </xf>
    <xf numFmtId="0" fontId="51" fillId="5" borderId="0" xfId="0" applyFont="1" applyFill="1" applyAlignment="1">
      <alignment horizontal="center" vertical="center"/>
    </xf>
    <xf numFmtId="0" fontId="9" fillId="5" borderId="0" xfId="0" applyFont="1" applyFill="1" applyAlignment="1">
      <alignment horizontal="center" vertical="center"/>
    </xf>
    <xf numFmtId="176" fontId="2" fillId="5" borderId="0" xfId="0" applyNumberFormat="1" applyFont="1" applyFill="1" applyAlignment="1">
      <alignment horizontal="center" vertical="center"/>
    </xf>
    <xf numFmtId="0" fontId="42" fillId="5" borderId="0" xfId="0" applyFont="1" applyFill="1" applyAlignment="1">
      <alignment horizontal="center" vertical="center"/>
    </xf>
    <xf numFmtId="14" fontId="42" fillId="5" borderId="0" xfId="0" applyNumberFormat="1" applyFont="1" applyFill="1" applyAlignment="1">
      <alignment horizontal="center" vertical="center"/>
    </xf>
    <xf numFmtId="14" fontId="11" fillId="5" borderId="0" xfId="0" applyNumberFormat="1" applyFont="1" applyFill="1" applyAlignment="1">
      <alignment horizontal="center" vertical="center"/>
    </xf>
    <xf numFmtId="176" fontId="2" fillId="8" borderId="0" xfId="0" applyNumberFormat="1" applyFont="1" applyFill="1" applyAlignment="1">
      <alignment horizontal="center" vertical="center"/>
    </xf>
    <xf numFmtId="176" fontId="11" fillId="7" borderId="0" xfId="0" applyNumberFormat="1" applyFont="1" applyFill="1" applyAlignment="1">
      <alignment horizontal="center" vertical="center"/>
    </xf>
    <xf numFmtId="176" fontId="6" fillId="7" borderId="0" xfId="0" applyNumberFormat="1" applyFont="1" applyFill="1" applyAlignment="1">
      <alignment horizontal="center" vertical="center"/>
    </xf>
    <xf numFmtId="176" fontId="2" fillId="9" borderId="0" xfId="0" applyNumberFormat="1" applyFont="1" applyFill="1" applyAlignment="1">
      <alignment horizontal="center" vertical="center"/>
    </xf>
    <xf numFmtId="176" fontId="9" fillId="5" borderId="0" xfId="0" applyNumberFormat="1" applyFont="1" applyFill="1" applyAlignment="1">
      <alignment horizontal="center" vertical="center"/>
    </xf>
    <xf numFmtId="176" fontId="2" fillId="22" borderId="0" xfId="0" applyNumberFormat="1" applyFont="1" applyFill="1" applyAlignment="1">
      <alignment horizontal="center" vertical="center"/>
    </xf>
    <xf numFmtId="176" fontId="11" fillId="5" borderId="0" xfId="0" applyNumberFormat="1" applyFont="1" applyFill="1" applyAlignment="1">
      <alignment horizontal="center" vertical="center"/>
    </xf>
    <xf numFmtId="14" fontId="4" fillId="7" borderId="0" xfId="0" applyNumberFormat="1" applyFont="1" applyFill="1" applyAlignment="1">
      <alignment horizontal="center" vertical="center"/>
    </xf>
    <xf numFmtId="0" fontId="7" fillId="0" borderId="0" xfId="0" applyFont="1" applyAlignment="1">
      <alignment horizontal="center" vertical="center"/>
    </xf>
    <xf numFmtId="14" fontId="2" fillId="8" borderId="0" xfId="0" applyNumberFormat="1" applyFont="1" applyFill="1" applyAlignment="1">
      <alignment horizontal="center" vertical="center"/>
    </xf>
    <xf numFmtId="14" fontId="4" fillId="8" borderId="0" xfId="0" applyNumberFormat="1" applyFont="1" applyFill="1" applyAlignment="1">
      <alignment horizontal="center" vertical="center"/>
    </xf>
    <xf numFmtId="14" fontId="11" fillId="8" borderId="0" xfId="0" applyNumberFormat="1" applyFont="1" applyFill="1" applyAlignment="1">
      <alignment horizontal="center" vertical="center"/>
    </xf>
    <xf numFmtId="176" fontId="35" fillId="7" borderId="0" xfId="0" applyNumberFormat="1" applyFont="1" applyFill="1" applyAlignment="1">
      <alignment horizontal="center" vertical="center"/>
    </xf>
    <xf numFmtId="0" fontId="36" fillId="0" borderId="0" xfId="0" applyFont="1" applyAlignment="1">
      <alignment horizontal="center" vertical="center"/>
    </xf>
    <xf numFmtId="14" fontId="2" fillId="6" borderId="0" xfId="0" applyNumberFormat="1" applyFont="1" applyFill="1" applyAlignment="1">
      <alignment horizontal="center" vertical="center"/>
    </xf>
    <xf numFmtId="0" fontId="6" fillId="8" borderId="0" xfId="0" applyFont="1" applyFill="1" applyAlignment="1">
      <alignment horizontal="center" vertical="center"/>
    </xf>
    <xf numFmtId="176" fontId="0" fillId="0" borderId="0" xfId="0" applyNumberFormat="1" applyAlignment="1">
      <alignment horizontal="center" vertical="center"/>
    </xf>
    <xf numFmtId="14" fontId="4" fillId="9" borderId="0" xfId="0" applyNumberFormat="1" applyFont="1" applyFill="1" applyAlignment="1">
      <alignment horizontal="center" vertical="center"/>
    </xf>
    <xf numFmtId="14" fontId="4" fillId="5" borderId="0" xfId="0" applyNumberFormat="1" applyFont="1" applyFill="1" applyAlignment="1">
      <alignment horizontal="center" vertical="center"/>
    </xf>
    <xf numFmtId="176" fontId="12" fillId="7" borderId="0" xfId="0" applyNumberFormat="1" applyFont="1" applyFill="1" applyAlignment="1">
      <alignment horizontal="center" vertical="center"/>
    </xf>
    <xf numFmtId="0" fontId="6" fillId="5" borderId="0" xfId="0" applyFont="1" applyFill="1" applyAlignment="1">
      <alignment horizontal="center" vertical="center"/>
    </xf>
    <xf numFmtId="0" fontId="6" fillId="22" borderId="0" xfId="0" applyFont="1" applyFill="1" applyAlignment="1">
      <alignment horizontal="center" vertical="center"/>
    </xf>
    <xf numFmtId="14" fontId="2" fillId="22" borderId="0" xfId="0" applyNumberFormat="1" applyFont="1" applyFill="1" applyAlignment="1">
      <alignment horizontal="center" vertical="center"/>
    </xf>
    <xf numFmtId="14" fontId="4" fillId="22" borderId="0" xfId="0" applyNumberFormat="1" applyFont="1" applyFill="1" applyAlignment="1">
      <alignment horizontal="center" vertical="center"/>
    </xf>
    <xf numFmtId="0" fontId="10" fillId="5" borderId="0" xfId="0" applyFont="1" applyFill="1" applyAlignment="1">
      <alignment horizontal="center" vertical="center"/>
    </xf>
    <xf numFmtId="0" fontId="4" fillId="7" borderId="0" xfId="0" applyFont="1" applyFill="1" applyAlignment="1">
      <alignment horizontal="center" vertical="center"/>
    </xf>
    <xf numFmtId="0" fontId="21" fillId="5" borderId="0" xfId="0" applyFont="1" applyFill="1" applyAlignment="1">
      <alignment horizontal="center" vertical="center"/>
    </xf>
    <xf numFmtId="14" fontId="2" fillId="21" borderId="0" xfId="0" applyNumberFormat="1" applyFont="1" applyFill="1" applyAlignment="1">
      <alignment horizontal="center" vertical="center"/>
    </xf>
    <xf numFmtId="14" fontId="11" fillId="21" borderId="0" xfId="0" applyNumberFormat="1" applyFont="1" applyFill="1" applyAlignment="1">
      <alignment horizontal="center" vertical="center"/>
    </xf>
    <xf numFmtId="14" fontId="42" fillId="21" borderId="0" xfId="0" applyNumberFormat="1" applyFont="1" applyFill="1" applyAlignment="1">
      <alignment horizontal="center" vertical="center"/>
    </xf>
    <xf numFmtId="0" fontId="11" fillId="21" borderId="0" xfId="0" applyFont="1" applyFill="1" applyAlignment="1">
      <alignment horizontal="center" vertical="center"/>
    </xf>
    <xf numFmtId="0" fontId="2" fillId="21" borderId="0" xfId="0" applyFont="1" applyFill="1" applyAlignment="1">
      <alignment horizontal="center" vertical="center"/>
    </xf>
    <xf numFmtId="0" fontId="42" fillId="21" borderId="0" xfId="0" applyFont="1" applyFill="1" applyAlignment="1">
      <alignment horizontal="center" vertical="center"/>
    </xf>
    <xf numFmtId="14" fontId="4" fillId="21" borderId="0" xfId="0" applyNumberFormat="1" applyFont="1" applyFill="1" applyAlignment="1">
      <alignment horizontal="center" vertical="center"/>
    </xf>
    <xf numFmtId="176" fontId="2" fillId="21" borderId="0" xfId="0" applyNumberFormat="1" applyFont="1" applyFill="1" applyAlignment="1">
      <alignment horizontal="center" vertical="center"/>
    </xf>
    <xf numFmtId="176" fontId="11" fillId="21" borderId="0" xfId="0" applyNumberFormat="1" applyFont="1" applyFill="1" applyAlignment="1">
      <alignment horizontal="center" vertical="center"/>
    </xf>
    <xf numFmtId="0" fontId="33" fillId="21" borderId="0" xfId="0" applyFont="1" applyFill="1" applyAlignment="1">
      <alignment horizontal="center" vertical="center"/>
    </xf>
    <xf numFmtId="0" fontId="6" fillId="21" borderId="0" xfId="0" applyFont="1" applyFill="1" applyAlignment="1">
      <alignment horizontal="center" vertical="center"/>
    </xf>
    <xf numFmtId="176" fontId="2" fillId="0" borderId="0" xfId="0" applyNumberFormat="1" applyFont="1">
      <alignment vertical="center"/>
    </xf>
    <xf numFmtId="0" fontId="2" fillId="7" borderId="0" xfId="0" applyFont="1" applyFill="1">
      <alignment vertical="center"/>
    </xf>
    <xf numFmtId="14" fontId="2" fillId="7" borderId="0" xfId="0" applyNumberFormat="1" applyFont="1" applyFill="1">
      <alignment vertical="center"/>
    </xf>
    <xf numFmtId="176" fontId="2" fillId="7" borderId="0" xfId="0" applyNumberFormat="1" applyFont="1" applyFill="1">
      <alignment vertical="center"/>
    </xf>
    <xf numFmtId="0" fontId="0" fillId="7" borderId="0" xfId="0" applyFill="1">
      <alignment vertical="center"/>
    </xf>
    <xf numFmtId="0" fontId="21" fillId="0" borderId="0" xfId="0" applyFont="1">
      <alignment vertical="center"/>
    </xf>
    <xf numFmtId="0" fontId="2" fillId="8" borderId="0" xfId="0" applyFont="1" applyFill="1">
      <alignment vertical="center"/>
    </xf>
    <xf numFmtId="176" fontId="2" fillId="8" borderId="0" xfId="0" applyNumberFormat="1" applyFont="1" applyFill="1">
      <alignment vertical="center"/>
    </xf>
    <xf numFmtId="0" fontId="0" fillId="8" borderId="0" xfId="0" applyFill="1">
      <alignment vertical="center"/>
    </xf>
    <xf numFmtId="0" fontId="11" fillId="8" borderId="0" xfId="0" applyFont="1" applyFill="1">
      <alignment vertical="center"/>
    </xf>
    <xf numFmtId="0" fontId="11" fillId="7" borderId="0" xfId="0" applyFont="1" applyFill="1">
      <alignment vertical="center"/>
    </xf>
    <xf numFmtId="14" fontId="11" fillId="7" borderId="0" xfId="0" applyNumberFormat="1" applyFont="1" applyFill="1">
      <alignment vertical="center"/>
    </xf>
    <xf numFmtId="0" fontId="33" fillId="0" borderId="0" xfId="0" applyFont="1">
      <alignment vertical="center"/>
    </xf>
    <xf numFmtId="0" fontId="36" fillId="0" borderId="0" xfId="0" applyFont="1">
      <alignment vertical="center"/>
    </xf>
    <xf numFmtId="14" fontId="38" fillId="0" borderId="0" xfId="0" applyNumberFormat="1" applyFont="1">
      <alignment vertical="center"/>
    </xf>
    <xf numFmtId="0" fontId="6" fillId="7" borderId="0" xfId="0" applyFont="1" applyFill="1">
      <alignment vertical="center"/>
    </xf>
    <xf numFmtId="0" fontId="6" fillId="8" borderId="0" xfId="0" applyFont="1" applyFill="1">
      <alignment vertical="center"/>
    </xf>
    <xf numFmtId="0" fontId="9" fillId="9" borderId="0" xfId="0" applyFont="1" applyFill="1">
      <alignment vertical="center"/>
    </xf>
    <xf numFmtId="14" fontId="9" fillId="9" borderId="0" xfId="0" applyNumberFormat="1" applyFont="1" applyFill="1">
      <alignment vertical="center"/>
    </xf>
    <xf numFmtId="0" fontId="2" fillId="9" borderId="0" xfId="0" applyFont="1" applyFill="1">
      <alignment vertical="center"/>
    </xf>
    <xf numFmtId="176" fontId="2" fillId="9" borderId="0" xfId="0" applyNumberFormat="1" applyFont="1" applyFill="1">
      <alignment vertical="center"/>
    </xf>
    <xf numFmtId="0" fontId="0" fillId="9" borderId="0" xfId="0" applyFill="1">
      <alignment vertical="center"/>
    </xf>
    <xf numFmtId="176" fontId="9" fillId="9" borderId="0" xfId="0" applyNumberFormat="1" applyFont="1" applyFill="1">
      <alignment vertical="center"/>
    </xf>
    <xf numFmtId="0" fontId="6" fillId="9" borderId="0" xfId="0" applyFont="1" applyFill="1">
      <alignment vertical="center"/>
    </xf>
    <xf numFmtId="0" fontId="10" fillId="9" borderId="0" xfId="0" applyFont="1" applyFill="1">
      <alignment vertical="center"/>
    </xf>
    <xf numFmtId="0" fontId="9" fillId="9" borderId="0" xfId="0" applyFont="1" applyFill="1" applyAlignment="1">
      <alignment horizontal="center" vertical="center"/>
    </xf>
    <xf numFmtId="14" fontId="9" fillId="9" borderId="0" xfId="0" applyNumberFormat="1" applyFont="1" applyFill="1" applyAlignment="1">
      <alignment horizontal="center" vertical="center"/>
    </xf>
    <xf numFmtId="176" fontId="9" fillId="9" borderId="0" xfId="0" applyNumberFormat="1" applyFont="1" applyFill="1" applyAlignment="1">
      <alignment horizontal="center" vertical="center"/>
    </xf>
    <xf numFmtId="0" fontId="6" fillId="9" borderId="0" xfId="0" applyFont="1" applyFill="1" applyAlignment="1">
      <alignment horizontal="center" vertical="center"/>
    </xf>
    <xf numFmtId="176" fontId="6" fillId="9" borderId="0" xfId="0" applyNumberFormat="1" applyFont="1" applyFill="1" applyAlignment="1">
      <alignment horizontal="center" vertical="center"/>
    </xf>
    <xf numFmtId="0" fontId="10" fillId="9" borderId="0" xfId="0" applyFont="1" applyFill="1" applyAlignment="1">
      <alignment horizontal="center" vertical="center"/>
    </xf>
    <xf numFmtId="0" fontId="4" fillId="0" borderId="0" xfId="0" applyFont="1">
      <alignment vertical="center"/>
    </xf>
    <xf numFmtId="0" fontId="30" fillId="0" borderId="0" xfId="0" applyFont="1">
      <alignment vertical="center"/>
    </xf>
    <xf numFmtId="0" fontId="4" fillId="10" borderId="0" xfId="0" applyFont="1" applyFill="1">
      <alignment vertical="center"/>
    </xf>
    <xf numFmtId="0" fontId="30" fillId="10" borderId="0" xfId="0" applyFont="1" applyFill="1">
      <alignment vertical="center"/>
    </xf>
    <xf numFmtId="0" fontId="4" fillId="11" borderId="0" xfId="0" applyFont="1" applyFill="1">
      <alignment vertical="center"/>
    </xf>
    <xf numFmtId="0" fontId="4" fillId="12" borderId="0" xfId="0" applyFont="1" applyFill="1">
      <alignment vertical="center"/>
    </xf>
    <xf numFmtId="0" fontId="30" fillId="12" borderId="0" xfId="0" applyFont="1" applyFill="1">
      <alignment vertical="center"/>
    </xf>
    <xf numFmtId="0" fontId="4" fillId="13" borderId="0" xfId="0" applyFont="1" applyFill="1">
      <alignment vertical="center"/>
    </xf>
    <xf numFmtId="0" fontId="30" fillId="13" borderId="0" xfId="0" applyFont="1" applyFill="1">
      <alignment vertical="center"/>
    </xf>
    <xf numFmtId="0" fontId="4" fillId="14" borderId="0" xfId="0" applyFont="1" applyFill="1">
      <alignment vertical="center"/>
    </xf>
    <xf numFmtId="0" fontId="4" fillId="15" borderId="0" xfId="0" applyFont="1" applyFill="1">
      <alignment vertical="center"/>
    </xf>
    <xf numFmtId="0" fontId="4" fillId="16" borderId="0" xfId="0" applyFont="1" applyFill="1">
      <alignment vertical="center"/>
    </xf>
    <xf numFmtId="0" fontId="4" fillId="17" borderId="0" xfId="0" applyFont="1" applyFill="1">
      <alignment vertical="center"/>
    </xf>
    <xf numFmtId="0" fontId="4" fillId="18" borderId="0" xfId="0" applyFont="1" applyFill="1">
      <alignment vertical="center"/>
    </xf>
    <xf numFmtId="0" fontId="4" fillId="19" borderId="0" xfId="0" applyFont="1" applyFill="1">
      <alignment vertical="center"/>
    </xf>
    <xf numFmtId="0" fontId="5" fillId="0" borderId="0" xfId="0" applyFont="1">
      <alignment vertical="center"/>
    </xf>
    <xf numFmtId="0" fontId="4" fillId="7" borderId="0" xfId="0" applyFont="1" applyFill="1">
      <alignment vertical="center"/>
    </xf>
    <xf numFmtId="0" fontId="30" fillId="7" borderId="0" xfId="0" applyFont="1" applyFill="1">
      <alignment vertical="center"/>
    </xf>
    <xf numFmtId="14" fontId="4" fillId="7" borderId="0" xfId="0" applyNumberFormat="1" applyFont="1" applyFill="1">
      <alignment vertical="center"/>
    </xf>
    <xf numFmtId="176" fontId="4" fillId="7" borderId="0" xfId="0" applyNumberFormat="1" applyFont="1" applyFill="1">
      <alignment vertical="center"/>
    </xf>
    <xf numFmtId="0" fontId="23" fillId="7" borderId="0" xfId="0" applyFont="1" applyFill="1">
      <alignment vertical="center"/>
    </xf>
    <xf numFmtId="0" fontId="5" fillId="7" borderId="0" xfId="0" applyFont="1" applyFill="1">
      <alignment vertical="center"/>
    </xf>
    <xf numFmtId="14" fontId="4" fillId="0" borderId="0" xfId="0" applyNumberFormat="1" applyFont="1">
      <alignment vertical="center"/>
    </xf>
    <xf numFmtId="176" fontId="4" fillId="0" borderId="0" xfId="0" applyNumberFormat="1" applyFont="1">
      <alignment vertical="center"/>
    </xf>
    <xf numFmtId="0" fontId="23" fillId="0" borderId="0" xfId="0" applyFont="1">
      <alignment vertical="center"/>
    </xf>
    <xf numFmtId="0" fontId="4" fillId="8" borderId="0" xfId="0" applyFont="1" applyFill="1">
      <alignment vertical="center"/>
    </xf>
    <xf numFmtId="0" fontId="23" fillId="8" borderId="0" xfId="0" applyFont="1" applyFill="1">
      <alignment vertical="center"/>
    </xf>
    <xf numFmtId="0" fontId="5" fillId="8" borderId="0" xfId="0" applyFont="1" applyFill="1">
      <alignment vertical="center"/>
    </xf>
    <xf numFmtId="0" fontId="22" fillId="9" borderId="0" xfId="0" applyFont="1" applyFill="1">
      <alignment vertical="center"/>
    </xf>
    <xf numFmtId="0" fontId="24" fillId="9" borderId="0" xfId="0" applyFont="1" applyFill="1">
      <alignment vertical="center"/>
    </xf>
    <xf numFmtId="0" fontId="4" fillId="9" borderId="0" xfId="0" applyFont="1" applyFill="1">
      <alignment vertical="center"/>
    </xf>
    <xf numFmtId="14" fontId="4" fillId="9" borderId="0" xfId="0" applyNumberFormat="1" applyFont="1" applyFill="1">
      <alignment vertical="center"/>
    </xf>
    <xf numFmtId="0" fontId="5" fillId="9" borderId="0" xfId="0" applyFont="1" applyFill="1">
      <alignment vertical="center"/>
    </xf>
    <xf numFmtId="0" fontId="32" fillId="9" borderId="0" xfId="0" applyFont="1" applyFill="1">
      <alignment vertical="center"/>
    </xf>
    <xf numFmtId="0" fontId="11" fillId="9" borderId="0" xfId="0" applyFont="1" applyFill="1">
      <alignment vertical="center"/>
    </xf>
    <xf numFmtId="0" fontId="25" fillId="0" borderId="0" xfId="0" applyFont="1">
      <alignment vertical="center"/>
    </xf>
    <xf numFmtId="0" fontId="25" fillId="8" borderId="0" xfId="0" applyFont="1" applyFill="1">
      <alignment vertical="center"/>
    </xf>
    <xf numFmtId="0" fontId="25" fillId="7" borderId="0" xfId="0" applyFont="1" applyFill="1">
      <alignment vertical="center"/>
    </xf>
    <xf numFmtId="0" fontId="23" fillId="9" borderId="0" xfId="0" applyFont="1" applyFill="1">
      <alignment vertical="center"/>
    </xf>
    <xf numFmtId="14" fontId="4" fillId="8" borderId="0" xfId="0" applyNumberFormat="1" applyFont="1" applyFill="1">
      <alignment vertical="center"/>
    </xf>
    <xf numFmtId="178" fontId="4" fillId="7" borderId="0" xfId="0" applyNumberFormat="1" applyFont="1" applyFill="1">
      <alignment vertical="center"/>
    </xf>
    <xf numFmtId="178" fontId="4" fillId="0" borderId="0" xfId="0" applyNumberFormat="1" applyFont="1">
      <alignment vertical="center"/>
    </xf>
    <xf numFmtId="0" fontId="2" fillId="6" borderId="0" xfId="0" applyFont="1" applyFill="1">
      <alignment vertical="center"/>
    </xf>
    <xf numFmtId="14" fontId="22" fillId="9" borderId="0" xfId="0" applyNumberFormat="1" applyFont="1" applyFill="1">
      <alignment vertical="center"/>
    </xf>
    <xf numFmtId="0" fontId="34" fillId="9" borderId="0" xfId="0" applyFont="1" applyFill="1">
      <alignment vertical="center"/>
    </xf>
    <xf numFmtId="17" fontId="4" fillId="0" borderId="0" xfId="0" applyNumberFormat="1" applyFont="1">
      <alignment vertical="center"/>
    </xf>
    <xf numFmtId="14" fontId="23" fillId="0" borderId="0" xfId="0" applyNumberFormat="1" applyFont="1">
      <alignment vertical="center"/>
    </xf>
    <xf numFmtId="0" fontId="32" fillId="0" borderId="0" xfId="0" applyFont="1">
      <alignment vertical="center"/>
    </xf>
    <xf numFmtId="0" fontId="2" fillId="21" borderId="0" xfId="0" applyFont="1" applyFill="1">
      <alignment vertical="center"/>
    </xf>
    <xf numFmtId="0" fontId="4" fillId="21" borderId="0" xfId="0" applyFont="1" applyFill="1">
      <alignment vertical="center"/>
    </xf>
    <xf numFmtId="0" fontId="5" fillId="21" borderId="0" xfId="0" applyFont="1" applyFill="1">
      <alignment vertical="center"/>
    </xf>
    <xf numFmtId="14" fontId="4" fillId="21" borderId="0" xfId="0" applyNumberFormat="1" applyFont="1" applyFill="1">
      <alignment vertical="center"/>
    </xf>
    <xf numFmtId="0" fontId="0" fillId="21" borderId="0" xfId="0" applyFill="1">
      <alignment vertical="center"/>
    </xf>
    <xf numFmtId="0" fontId="23" fillId="21" borderId="0" xfId="0" applyFont="1" applyFill="1">
      <alignment vertical="center"/>
    </xf>
    <xf numFmtId="176" fontId="4" fillId="21" borderId="0" xfId="0" applyNumberFormat="1" applyFont="1" applyFill="1">
      <alignment vertical="center"/>
    </xf>
    <xf numFmtId="0" fontId="9" fillId="5" borderId="0" xfId="0" applyFont="1" applyFill="1">
      <alignment vertical="center"/>
    </xf>
    <xf numFmtId="0" fontId="0" fillId="5" borderId="0" xfId="0" applyFill="1">
      <alignment vertical="center"/>
    </xf>
    <xf numFmtId="0" fontId="2" fillId="5" borderId="0" xfId="0" applyFont="1" applyFill="1">
      <alignment vertical="center"/>
    </xf>
    <xf numFmtId="14" fontId="11" fillId="21" borderId="0" xfId="0" applyNumberFormat="1" applyFont="1" applyFill="1">
      <alignment vertical="center"/>
    </xf>
    <xf numFmtId="0" fontId="11" fillId="5" borderId="0" xfId="0" applyFont="1" applyFill="1">
      <alignment vertical="center"/>
    </xf>
    <xf numFmtId="14" fontId="11" fillId="5" borderId="0" xfId="0" applyNumberFormat="1" applyFont="1" applyFill="1">
      <alignment vertical="center"/>
    </xf>
    <xf numFmtId="0" fontId="11" fillId="21" borderId="0" xfId="0" applyFont="1" applyFill="1">
      <alignment vertical="center"/>
    </xf>
    <xf numFmtId="0" fontId="33" fillId="21" borderId="0" xfId="0" applyFont="1" applyFill="1">
      <alignment vertical="center"/>
    </xf>
    <xf numFmtId="14" fontId="2" fillId="5" borderId="0" xfId="0" applyNumberFormat="1" applyFont="1" applyFill="1">
      <alignment vertical="center"/>
    </xf>
    <xf numFmtId="14" fontId="0" fillId="21" borderId="0" xfId="0" applyNumberFormat="1" applyFill="1">
      <alignment vertical="center"/>
    </xf>
    <xf numFmtId="0" fontId="2" fillId="22" borderId="0" xfId="0" applyFont="1" applyFill="1">
      <alignment vertical="center"/>
    </xf>
    <xf numFmtId="0" fontId="0" fillId="22" borderId="0" xfId="0" applyFill="1">
      <alignment vertical="center"/>
    </xf>
    <xf numFmtId="0" fontId="5" fillId="4" borderId="0" xfId="0" applyFont="1" applyFill="1">
      <alignment vertical="center"/>
    </xf>
    <xf numFmtId="0" fontId="4" fillId="4" borderId="0" xfId="0" applyFont="1" applyFill="1">
      <alignment vertical="center"/>
    </xf>
    <xf numFmtId="0" fontId="30" fillId="4" borderId="0" xfId="0" applyFont="1" applyFill="1">
      <alignment vertical="center"/>
    </xf>
    <xf numFmtId="0" fontId="28" fillId="4" borderId="0" xfId="0" applyFont="1" applyFill="1">
      <alignment vertical="center"/>
    </xf>
    <xf numFmtId="49" fontId="28" fillId="0" borderId="0" xfId="0" applyNumberFormat="1" applyFont="1">
      <alignment vertical="center"/>
    </xf>
    <xf numFmtId="0" fontId="28" fillId="0" borderId="0" xfId="0" applyFont="1">
      <alignment vertical="center"/>
    </xf>
    <xf numFmtId="0" fontId="43" fillId="4" borderId="0" xfId="0" applyFont="1" applyFill="1">
      <alignment vertical="center"/>
    </xf>
    <xf numFmtId="0" fontId="43" fillId="0" borderId="0" xfId="0" applyFont="1">
      <alignment vertical="center"/>
    </xf>
    <xf numFmtId="14" fontId="28" fillId="4" borderId="0" xfId="0" applyNumberFormat="1" applyFont="1" applyFill="1">
      <alignment vertical="center"/>
    </xf>
    <xf numFmtId="14" fontId="0" fillId="7" borderId="0" xfId="0" applyNumberFormat="1" applyFill="1">
      <alignment vertical="center"/>
    </xf>
    <xf numFmtId="176" fontId="0" fillId="7" borderId="0" xfId="0" applyNumberFormat="1" applyFill="1">
      <alignment vertical="center"/>
    </xf>
    <xf numFmtId="49" fontId="0" fillId="7" borderId="0" xfId="0" applyNumberFormat="1" applyFill="1">
      <alignment vertical="center"/>
    </xf>
    <xf numFmtId="0" fontId="7" fillId="21" borderId="0" xfId="0" applyFont="1" applyFill="1">
      <alignment vertical="center"/>
    </xf>
    <xf numFmtId="49" fontId="0" fillId="21" borderId="0" xfId="0" applyNumberFormat="1" applyFill="1">
      <alignment vertical="center"/>
    </xf>
    <xf numFmtId="49" fontId="0" fillId="5" borderId="0" xfId="0" applyNumberFormat="1" applyFill="1">
      <alignment vertical="center"/>
    </xf>
    <xf numFmtId="14" fontId="0" fillId="5" borderId="0" xfId="0" applyNumberFormat="1" applyFill="1">
      <alignment vertical="center"/>
    </xf>
    <xf numFmtId="49" fontId="0" fillId="0" borderId="0" xfId="0" applyNumberFormat="1">
      <alignment vertical="center"/>
    </xf>
    <xf numFmtId="14" fontId="0" fillId="0" borderId="0" xfId="0" applyNumberFormat="1">
      <alignment vertical="center"/>
    </xf>
    <xf numFmtId="0" fontId="6" fillId="5" borderId="0" xfId="0" applyFont="1" applyFill="1">
      <alignment vertical="center"/>
    </xf>
    <xf numFmtId="0" fontId="6" fillId="22" borderId="0" xfId="0" applyFont="1" applyFill="1">
      <alignment vertical="center"/>
    </xf>
    <xf numFmtId="49" fontId="0" fillId="22" borderId="0" xfId="0" applyNumberFormat="1" applyFill="1">
      <alignment vertical="center"/>
    </xf>
    <xf numFmtId="14" fontId="0" fillId="22" borderId="0" xfId="0" applyNumberFormat="1" applyFill="1">
      <alignment vertical="center"/>
    </xf>
    <xf numFmtId="0" fontId="10" fillId="5" borderId="0" xfId="0" applyFont="1" applyFill="1">
      <alignment vertical="center"/>
    </xf>
    <xf numFmtId="0" fontId="7" fillId="0" borderId="0" xfId="0" applyFont="1">
      <alignment vertical="center"/>
    </xf>
    <xf numFmtId="14" fontId="2" fillId="21" borderId="0" xfId="0" applyNumberFormat="1" applyFont="1" applyFill="1">
      <alignment vertical="center"/>
    </xf>
    <xf numFmtId="176" fontId="2" fillId="21" borderId="0" xfId="0" applyNumberFormat="1" applyFont="1" applyFill="1">
      <alignment vertical="center"/>
    </xf>
    <xf numFmtId="0" fontId="6" fillId="21" borderId="0" xfId="0" applyFont="1" applyFill="1">
      <alignment vertical="center"/>
    </xf>
    <xf numFmtId="176" fontId="9" fillId="5" borderId="0" xfId="0" applyNumberFormat="1" applyFont="1" applyFill="1">
      <alignment vertical="center"/>
    </xf>
    <xf numFmtId="176" fontId="2" fillId="5" borderId="0" xfId="0" applyNumberFormat="1" applyFont="1" applyFill="1">
      <alignment vertical="center"/>
    </xf>
    <xf numFmtId="176" fontId="11" fillId="5" borderId="0" xfId="0" applyNumberFormat="1" applyFont="1" applyFill="1">
      <alignment vertical="center"/>
    </xf>
    <xf numFmtId="0" fontId="44" fillId="21" borderId="0" xfId="0" applyFont="1" applyFill="1">
      <alignment vertical="center"/>
    </xf>
    <xf numFmtId="176" fontId="11" fillId="21" borderId="0" xfId="0" applyNumberFormat="1" applyFont="1" applyFill="1">
      <alignment vertical="center"/>
    </xf>
    <xf numFmtId="178" fontId="4" fillId="21" borderId="0" xfId="0" applyNumberFormat="1" applyFont="1" applyFill="1">
      <alignment vertical="center"/>
    </xf>
    <xf numFmtId="176" fontId="2" fillId="22" borderId="0" xfId="0" applyNumberFormat="1" applyFont="1" applyFill="1">
      <alignment vertical="center"/>
    </xf>
    <xf numFmtId="2" fontId="2" fillId="0" borderId="0" xfId="0" applyNumberFormat="1" applyFont="1" applyAlignment="1">
      <alignment horizontal="center" vertical="center"/>
    </xf>
    <xf numFmtId="2" fontId="2" fillId="8" borderId="0" xfId="0" applyNumberFormat="1" applyFont="1" applyFill="1" applyAlignment="1">
      <alignment horizontal="center" vertical="center"/>
    </xf>
    <xf numFmtId="2" fontId="2" fillId="9" borderId="0" xfId="0" applyNumberFormat="1" applyFont="1" applyFill="1" applyAlignment="1">
      <alignment horizontal="center" vertical="center"/>
    </xf>
    <xf numFmtId="2" fontId="2" fillId="7" borderId="0" xfId="0" applyNumberFormat="1" applyFont="1" applyFill="1" applyAlignment="1">
      <alignment horizontal="center" vertical="center"/>
    </xf>
    <xf numFmtId="2" fontId="11" fillId="0" borderId="0" xfId="0" applyNumberFormat="1" applyFont="1" applyAlignment="1">
      <alignment horizontal="center" vertical="center"/>
    </xf>
    <xf numFmtId="2" fontId="11" fillId="7" borderId="0" xfId="0" applyNumberFormat="1" applyFont="1" applyFill="1" applyAlignment="1">
      <alignment horizontal="center" vertical="center"/>
    </xf>
    <xf numFmtId="2" fontId="6" fillId="7" borderId="0" xfId="0" applyNumberFormat="1" applyFont="1" applyFill="1" applyAlignment="1">
      <alignment horizontal="center" vertical="center"/>
    </xf>
    <xf numFmtId="2" fontId="35" fillId="7" borderId="0" xfId="0" applyNumberFormat="1" applyFont="1" applyFill="1" applyAlignment="1">
      <alignment horizontal="center" vertical="center"/>
    </xf>
    <xf numFmtId="2" fontId="2" fillId="21" borderId="0" xfId="0" applyNumberFormat="1" applyFont="1" applyFill="1" applyAlignment="1">
      <alignment horizontal="center" vertical="center"/>
    </xf>
    <xf numFmtId="2" fontId="45" fillId="5" borderId="0" xfId="0" applyNumberFormat="1" applyFont="1" applyFill="1" applyAlignment="1">
      <alignment horizontal="center" vertical="center"/>
    </xf>
    <xf numFmtId="2" fontId="2" fillId="5" borderId="0" xfId="0" applyNumberFormat="1" applyFont="1" applyFill="1" applyAlignment="1">
      <alignment horizontal="center" vertical="center"/>
    </xf>
    <xf numFmtId="2" fontId="11" fillId="21" borderId="0" xfId="0" applyNumberFormat="1" applyFont="1" applyFill="1" applyAlignment="1">
      <alignment horizontal="center" vertical="center"/>
    </xf>
    <xf numFmtId="2" fontId="21" fillId="5" borderId="0" xfId="0" applyNumberFormat="1" applyFont="1" applyFill="1" applyAlignment="1">
      <alignment horizontal="center" vertical="center"/>
    </xf>
    <xf numFmtId="2" fontId="42" fillId="21" borderId="0" xfId="0" applyNumberFormat="1" applyFont="1" applyFill="1" applyAlignment="1">
      <alignment horizontal="center" vertical="center"/>
    </xf>
    <xf numFmtId="2" fontId="42" fillId="5" borderId="0" xfId="0" applyNumberFormat="1" applyFont="1" applyFill="1" applyAlignment="1">
      <alignment horizontal="center" vertical="center"/>
    </xf>
    <xf numFmtId="2" fontId="2" fillId="22" borderId="0" xfId="0" applyNumberFormat="1" applyFont="1" applyFill="1" applyAlignment="1">
      <alignment horizontal="center" vertical="center"/>
    </xf>
    <xf numFmtId="2" fontId="12" fillId="7" borderId="0" xfId="0" applyNumberFormat="1" applyFont="1" applyFill="1" applyAlignment="1">
      <alignment horizontal="center" vertical="center"/>
    </xf>
    <xf numFmtId="2" fontId="51" fillId="5" borderId="0" xfId="0" applyNumberFormat="1" applyFont="1" applyFill="1" applyAlignment="1">
      <alignment horizontal="center" vertical="center"/>
    </xf>
    <xf numFmtId="176" fontId="4" fillId="21" borderId="0" xfId="0" applyNumberFormat="1" applyFont="1" applyFill="1" applyAlignment="1">
      <alignment horizontal="center" vertical="center"/>
    </xf>
    <xf numFmtId="14" fontId="5" fillId="23" borderId="0" xfId="0" applyNumberFormat="1" applyFont="1" applyFill="1">
      <alignment vertical="center"/>
    </xf>
    <xf numFmtId="14" fontId="2" fillId="22" borderId="0" xfId="0" applyNumberFormat="1" applyFont="1" applyFill="1">
      <alignment vertical="center"/>
    </xf>
    <xf numFmtId="179" fontId="0" fillId="0" borderId="0" xfId="0" applyNumberFormat="1" applyAlignment="1">
      <alignment horizontal="center" vertical="center"/>
    </xf>
    <xf numFmtId="2" fontId="11" fillId="5" borderId="0" xfId="0" applyNumberFormat="1" applyFont="1" applyFill="1" applyAlignment="1">
      <alignment horizontal="center" vertical="center"/>
    </xf>
    <xf numFmtId="0" fontId="0" fillId="7" borderId="0" xfId="0" applyFill="1" applyAlignment="1">
      <alignment horizontal="center" vertical="center"/>
    </xf>
    <xf numFmtId="14" fontId="0" fillId="7" borderId="0" xfId="0" applyNumberFormat="1" applyFill="1" applyAlignment="1">
      <alignment horizontal="center" vertical="center"/>
    </xf>
    <xf numFmtId="14" fontId="45" fillId="7" borderId="0" xfId="0" applyNumberFormat="1" applyFont="1" applyFill="1" applyAlignment="1">
      <alignment horizontal="center" vertical="center"/>
    </xf>
    <xf numFmtId="0" fontId="55" fillId="21" borderId="0" xfId="0" applyFont="1" applyFill="1" applyAlignment="1">
      <alignment horizontal="center" vertical="center"/>
    </xf>
    <xf numFmtId="0" fontId="12" fillId="4" borderId="0" xfId="0" applyFont="1" applyFill="1" applyAlignment="1">
      <alignment horizontal="center" vertical="center"/>
    </xf>
    <xf numFmtId="0" fontId="2" fillId="7" borderId="0" xfId="0" applyFont="1" applyFill="1" applyAlignment="1">
      <alignment horizontal="right" vertical="center"/>
    </xf>
    <xf numFmtId="2" fontId="0" fillId="7" borderId="0" xfId="0" applyNumberFormat="1" applyFill="1" applyAlignment="1">
      <alignment horizontal="center" vertical="center"/>
    </xf>
    <xf numFmtId="0" fontId="5" fillId="24" borderId="0" xfId="0" applyFont="1" applyFill="1">
      <alignment vertical="center"/>
    </xf>
    <xf numFmtId="0" fontId="28" fillId="4" borderId="0" xfId="0" applyFont="1" applyFill="1" applyAlignment="1">
      <alignment horizontal="center" vertical="center"/>
    </xf>
    <xf numFmtId="0" fontId="0" fillId="21" borderId="0" xfId="0" applyFill="1" applyAlignment="1">
      <alignment horizontal="center" vertical="center"/>
    </xf>
    <xf numFmtId="0" fontId="54" fillId="21" borderId="0" xfId="1" applyFill="1" applyAlignment="1">
      <alignment horizontal="center" vertical="center"/>
    </xf>
    <xf numFmtId="0" fontId="0" fillId="21" borderId="0" xfId="0" applyFill="1" applyAlignment="1">
      <alignment horizontal="right" vertical="center"/>
    </xf>
    <xf numFmtId="14" fontId="0" fillId="21" borderId="0" xfId="0" applyNumberFormat="1" applyFill="1" applyAlignment="1">
      <alignment horizontal="right" vertical="center"/>
    </xf>
    <xf numFmtId="0" fontId="0" fillId="7" borderId="0" xfId="0" applyFill="1" applyAlignment="1">
      <alignment horizontal="right" vertical="center"/>
    </xf>
    <xf numFmtId="14" fontId="0" fillId="7" borderId="0" xfId="0" applyNumberFormat="1" applyFill="1" applyAlignment="1">
      <alignment horizontal="right" vertical="center"/>
    </xf>
    <xf numFmtId="14" fontId="11" fillId="21" borderId="0" xfId="0" applyNumberFormat="1" applyFont="1" applyFill="1" applyAlignment="1">
      <alignment horizontal="right" vertical="center"/>
    </xf>
    <xf numFmtId="0" fontId="11" fillId="21" borderId="0" xfId="0" applyFont="1" applyFill="1" applyAlignment="1">
      <alignment horizontal="right" vertical="center"/>
    </xf>
    <xf numFmtId="0" fontId="2" fillId="21" borderId="0" xfId="0" applyFont="1" applyFill="1" applyAlignment="1">
      <alignment horizontal="right" vertical="center"/>
    </xf>
    <xf numFmtId="14" fontId="2" fillId="21" borderId="0" xfId="0" applyNumberFormat="1" applyFont="1" applyFill="1" applyAlignment="1">
      <alignment horizontal="right" vertical="center"/>
    </xf>
    <xf numFmtId="14" fontId="2" fillId="7" borderId="0" xfId="0" applyNumberFormat="1" applyFont="1" applyFill="1" applyAlignment="1">
      <alignment horizontal="right" vertical="center"/>
    </xf>
    <xf numFmtId="2" fontId="0" fillId="21" borderId="0" xfId="0" applyNumberFormat="1" applyFill="1" applyAlignment="1">
      <alignment horizontal="right" vertical="center"/>
    </xf>
    <xf numFmtId="176" fontId="0" fillId="21" borderId="0" xfId="0" applyNumberFormat="1" applyFill="1">
      <alignment vertical="center"/>
    </xf>
    <xf numFmtId="0" fontId="54" fillId="21" borderId="0" xfId="1" applyFill="1">
      <alignment vertical="center"/>
    </xf>
    <xf numFmtId="17" fontId="2" fillId="21" borderId="0" xfId="0" applyNumberFormat="1" applyFont="1" applyFill="1" applyAlignment="1">
      <alignment horizontal="center" vertical="center"/>
    </xf>
    <xf numFmtId="14" fontId="4" fillId="23" borderId="0" xfId="0" applyNumberFormat="1" applyFont="1" applyFill="1" applyAlignment="1">
      <alignment horizontal="center" vertical="center"/>
    </xf>
    <xf numFmtId="176" fontId="0" fillId="7" borderId="0" xfId="0" applyNumberFormat="1" applyFill="1" applyAlignment="1">
      <alignment horizontal="center" vertical="center"/>
    </xf>
    <xf numFmtId="14" fontId="5" fillId="21" borderId="0" xfId="0" applyNumberFormat="1" applyFont="1" applyFill="1" applyAlignment="1">
      <alignment horizontal="center" vertical="center"/>
    </xf>
    <xf numFmtId="0" fontId="2" fillId="20" borderId="0" xfId="0" applyFont="1" applyFill="1">
      <alignment vertical="center"/>
    </xf>
    <xf numFmtId="176" fontId="2" fillId="20" borderId="0" xfId="0" applyNumberFormat="1" applyFont="1" applyFill="1">
      <alignment vertical="center"/>
    </xf>
    <xf numFmtId="14" fontId="5" fillId="0" borderId="0" xfId="0" applyNumberFormat="1" applyFont="1">
      <alignment vertical="center"/>
    </xf>
    <xf numFmtId="14" fontId="6" fillId="0" borderId="0" xfId="0" applyNumberFormat="1" applyFont="1" applyAlignment="1">
      <alignment horizontal="center" vertical="center"/>
    </xf>
    <xf numFmtId="0" fontId="22" fillId="0" borderId="0" xfId="0" applyFont="1">
      <alignment vertical="center"/>
    </xf>
    <xf numFmtId="0" fontId="24" fillId="0" borderId="0" xfId="0" applyFont="1">
      <alignment vertical="center"/>
    </xf>
    <xf numFmtId="14" fontId="22" fillId="0" borderId="0" xfId="0" applyNumberFormat="1" applyFont="1">
      <alignment vertical="center"/>
    </xf>
    <xf numFmtId="14" fontId="33" fillId="0" borderId="0" xfId="0" applyNumberFormat="1" applyFont="1">
      <alignment vertical="center"/>
    </xf>
    <xf numFmtId="0" fontId="61" fillId="0" borderId="0" xfId="0" applyFont="1">
      <alignment vertical="center"/>
    </xf>
    <xf numFmtId="14" fontId="21" fillId="0" borderId="0" xfId="0" applyNumberFormat="1" applyFont="1" applyAlignment="1">
      <alignment horizontal="center" vertical="center"/>
    </xf>
    <xf numFmtId="176" fontId="0" fillId="0" borderId="0" xfId="0" applyNumberFormat="1">
      <alignment vertical="center"/>
    </xf>
    <xf numFmtId="180" fontId="0" fillId="0" borderId="0" xfId="0" applyNumberFormat="1">
      <alignment vertical="center"/>
    </xf>
    <xf numFmtId="180" fontId="2" fillId="0" borderId="0" xfId="0" applyNumberFormat="1" applyFont="1">
      <alignment vertical="center"/>
    </xf>
    <xf numFmtId="177" fontId="0" fillId="0" borderId="0" xfId="0" applyNumberFormat="1">
      <alignment vertical="center"/>
    </xf>
    <xf numFmtId="180" fontId="0" fillId="25" borderId="0" xfId="0" applyNumberFormat="1" applyFill="1">
      <alignment vertical="center"/>
    </xf>
    <xf numFmtId="176" fontId="0" fillId="25" borderId="0" xfId="0" applyNumberFormat="1" applyFill="1">
      <alignment vertical="center"/>
    </xf>
    <xf numFmtId="177" fontId="0" fillId="25" borderId="0" xfId="0" applyNumberFormat="1" applyFill="1">
      <alignment vertical="center"/>
    </xf>
    <xf numFmtId="177" fontId="0" fillId="0" borderId="0" xfId="0" applyNumberFormat="1" applyAlignment="1">
      <alignment horizontal="right" vertical="center"/>
    </xf>
    <xf numFmtId="177" fontId="0" fillId="25" borderId="0" xfId="0" applyNumberFormat="1" applyFill="1" applyAlignment="1">
      <alignment horizontal="right" vertical="center"/>
    </xf>
    <xf numFmtId="0" fontId="2" fillId="0" borderId="0" xfId="0" applyFont="1" applyAlignment="1">
      <alignment horizontal="right" vertical="center"/>
    </xf>
    <xf numFmtId="0" fontId="2" fillId="0" borderId="0" xfId="2" applyFont="1" applyAlignment="1">
      <alignment horizontal="right" vertical="center"/>
    </xf>
    <xf numFmtId="0" fontId="1" fillId="0" borderId="0" xfId="2">
      <alignment vertical="center"/>
    </xf>
    <xf numFmtId="176" fontId="55" fillId="4" borderId="0" xfId="0" applyNumberFormat="1" applyFont="1" applyFill="1">
      <alignment vertical="center"/>
    </xf>
    <xf numFmtId="0" fontId="55" fillId="4" borderId="0" xfId="0" applyFont="1" applyFill="1">
      <alignment vertical="center"/>
    </xf>
    <xf numFmtId="177" fontId="64" fillId="4" borderId="0" xfId="0" applyNumberFormat="1" applyFont="1" applyFill="1">
      <alignment vertical="center"/>
    </xf>
    <xf numFmtId="177" fontId="64" fillId="25" borderId="0" xfId="0" applyNumberFormat="1" applyFont="1" applyFill="1">
      <alignment vertical="center"/>
    </xf>
    <xf numFmtId="0" fontId="2" fillId="4" borderId="0" xfId="0" applyFont="1" applyFill="1" applyAlignment="1">
      <alignment horizontal="right" vertical="center"/>
    </xf>
    <xf numFmtId="180" fontId="64" fillId="25" borderId="0" xfId="0" applyNumberFormat="1" applyFont="1" applyFill="1">
      <alignment vertical="center"/>
    </xf>
    <xf numFmtId="176" fontId="64" fillId="25" borderId="0" xfId="0" applyNumberFormat="1" applyFont="1" applyFill="1">
      <alignment vertical="center"/>
    </xf>
    <xf numFmtId="180" fontId="64" fillId="0" borderId="0" xfId="0" applyNumberFormat="1" applyFont="1">
      <alignment vertical="center"/>
    </xf>
    <xf numFmtId="176" fontId="64" fillId="0" borderId="0" xfId="0" applyNumberFormat="1" applyFont="1">
      <alignment vertical="center"/>
    </xf>
    <xf numFmtId="0" fontId="2" fillId="20" borderId="0" xfId="2" applyFont="1" applyFill="1" applyAlignment="1">
      <alignment horizontal="left" vertical="center"/>
    </xf>
    <xf numFmtId="180" fontId="51" fillId="20" borderId="1" xfId="0" applyNumberFormat="1" applyFont="1" applyFill="1" applyBorder="1" applyAlignment="1">
      <alignment horizontal="left" vertical="center"/>
    </xf>
    <xf numFmtId="180" fontId="2" fillId="20" borderId="1" xfId="0" applyNumberFormat="1" applyFont="1" applyFill="1" applyBorder="1" applyAlignment="1">
      <alignment horizontal="left" vertical="center"/>
    </xf>
    <xf numFmtId="176" fontId="2" fillId="20" borderId="1" xfId="0" applyNumberFormat="1" applyFont="1" applyFill="1" applyBorder="1" applyAlignment="1">
      <alignment horizontal="left" vertical="center"/>
    </xf>
    <xf numFmtId="180" fontId="2" fillId="20" borderId="2" xfId="0" applyNumberFormat="1" applyFont="1" applyFill="1" applyBorder="1" applyAlignment="1">
      <alignment horizontal="left" vertical="center"/>
    </xf>
    <xf numFmtId="177" fontId="45" fillId="20" borderId="0" xfId="0" applyNumberFormat="1" applyFont="1" applyFill="1" applyAlignment="1">
      <alignment horizontal="left" vertical="center"/>
    </xf>
    <xf numFmtId="177" fontId="2" fillId="20" borderId="0" xfId="0" applyNumberFormat="1" applyFont="1" applyFill="1" applyAlignment="1">
      <alignment horizontal="left" vertical="center"/>
    </xf>
    <xf numFmtId="177" fontId="2" fillId="20" borderId="0" xfId="2" applyNumberFormat="1" applyFont="1" applyFill="1" applyAlignment="1">
      <alignment horizontal="left" vertical="center"/>
    </xf>
    <xf numFmtId="0" fontId="0" fillId="0" borderId="0" xfId="0">
      <alignment vertical="center"/>
    </xf>
  </cellXfs>
  <cellStyles count="4">
    <cellStyle name="Normal 2" xfId="2" xr:uid="{00000000-0005-0000-0000-000000000000}"/>
    <cellStyle name="一般" xfId="0" builtinId="0"/>
    <cellStyle name="一般 2" xfId="3" xr:uid="{00000000-0005-0000-0000-000002000000}"/>
    <cellStyle name="超連結" xfId="1" builtinId="8"/>
  </cellStyles>
  <dxfs count="0"/>
  <tableStyles count="0" defaultTableStyle="TableStyleMedium2" defaultPivotStyle="PivotStyleLight16"/>
  <colors>
    <mruColors>
      <color rgb="FFD5FFDE"/>
      <color rgb="FFABF7F5"/>
      <color rgb="FFFF7E79"/>
      <color rgb="FFFFE5E5"/>
      <color rgb="FFD9EE8D"/>
      <color rgb="FFF3C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mailto:38+@" TargetMode="External"/><Relationship Id="rId1" Type="http://schemas.openxmlformats.org/officeDocument/2006/relationships/hyperlink" Target="mailto:24+@"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32"/>
  <sheetViews>
    <sheetView zoomScale="125" zoomScaleNormal="40" workbookViewId="0">
      <pane xSplit="3" ySplit="1" topLeftCell="AG2" activePane="bottomRight" state="frozen"/>
      <selection pane="topRight" activeCell="D1" sqref="D1"/>
      <selection pane="bottomLeft" activeCell="A2" sqref="A2"/>
      <selection pane="bottomRight" sqref="A1:A1048576"/>
    </sheetView>
  </sheetViews>
  <sheetFormatPr baseColWidth="10" defaultColWidth="11.5" defaultRowHeight="15"/>
  <cols>
    <col min="1" max="1" width="11.6640625" style="15" bestFit="1" customWidth="1"/>
    <col min="2" max="2" width="5.33203125" style="15" customWidth="1"/>
    <col min="3" max="3" width="9.1640625" style="15" customWidth="1"/>
    <col min="4" max="4" width="14" style="15" customWidth="1"/>
    <col min="5" max="5" width="8" style="15" customWidth="1"/>
    <col min="6" max="6" width="13.1640625" style="15" customWidth="1"/>
    <col min="7" max="7" width="12.33203125" style="15" customWidth="1"/>
    <col min="8" max="8" width="16.1640625" style="15" customWidth="1"/>
    <col min="9" max="9" width="10.5" style="15" customWidth="1"/>
    <col min="10" max="10" width="9.1640625" style="15" customWidth="1"/>
    <col min="11" max="11" width="31" style="29" customWidth="1"/>
    <col min="12" max="13" width="14" style="15" customWidth="1"/>
    <col min="14" max="15" width="13.5" style="15" customWidth="1"/>
    <col min="16" max="17" width="14.6640625" style="15" customWidth="1"/>
    <col min="18" max="19" width="13.33203125" style="15" customWidth="1"/>
    <col min="20" max="20" width="14.6640625" style="15" customWidth="1"/>
    <col min="21" max="21" width="24.5" style="15" customWidth="1"/>
    <col min="22" max="22" width="13.83203125" style="15" customWidth="1"/>
    <col min="23" max="23" width="18.6640625" style="15" customWidth="1"/>
    <col min="24" max="24" width="13.5" style="15" customWidth="1"/>
    <col min="25" max="25" width="19" style="15" customWidth="1"/>
    <col min="26" max="26" width="14" style="15" customWidth="1"/>
    <col min="27" max="27" width="18.6640625" style="15" customWidth="1"/>
    <col min="28" max="28" width="10.33203125" customWidth="1"/>
    <col min="29" max="29" width="11.6640625" customWidth="1"/>
    <col min="30" max="30" width="11.5" style="299" customWidth="1"/>
    <col min="31" max="31" width="11.6640625" style="299" customWidth="1"/>
    <col min="32" max="32" width="9.6640625" style="298" customWidth="1"/>
    <col min="33" max="33" width="19.1640625" style="299" customWidth="1"/>
    <col min="34" max="34" width="18.6640625" style="299" customWidth="1"/>
    <col min="35" max="35" width="17.33203125" style="299" customWidth="1"/>
    <col min="36" max="36" width="20.33203125" style="301" customWidth="1"/>
    <col min="37" max="37" width="45.5" style="301" customWidth="1"/>
    <col min="38" max="38" width="32.83203125" style="305" customWidth="1"/>
    <col min="39" max="39" width="23.1640625" style="305" customWidth="1"/>
    <col min="40" max="40" width="10.6640625" style="305" bestFit="1" customWidth="1"/>
  </cols>
  <sheetData>
    <row r="1" spans="1:40" s="27" customFormat="1" ht="16">
      <c r="A1" s="27" t="s">
        <v>0</v>
      </c>
      <c r="B1" s="27" t="s">
        <v>1</v>
      </c>
      <c r="C1" s="27" t="s">
        <v>2</v>
      </c>
      <c r="D1" s="27" t="s">
        <v>3</v>
      </c>
      <c r="E1" s="27" t="s">
        <v>4</v>
      </c>
      <c r="F1" s="27" t="s">
        <v>5</v>
      </c>
      <c r="G1" s="27" t="s">
        <v>6</v>
      </c>
      <c r="H1" s="27" t="s">
        <v>2458</v>
      </c>
      <c r="I1" s="27" t="s">
        <v>12</v>
      </c>
      <c r="J1" s="27" t="s">
        <v>13</v>
      </c>
      <c r="K1" s="27" t="s">
        <v>14</v>
      </c>
      <c r="L1" s="27" t="s">
        <v>1626</v>
      </c>
      <c r="M1" s="27" t="s">
        <v>2459</v>
      </c>
      <c r="N1" s="27" t="s">
        <v>1643</v>
      </c>
      <c r="O1" s="27" t="s">
        <v>2459</v>
      </c>
      <c r="P1" s="27" t="s">
        <v>1651</v>
      </c>
      <c r="Q1" s="27" t="s">
        <v>2459</v>
      </c>
      <c r="R1" s="27" t="s">
        <v>1654</v>
      </c>
      <c r="S1" s="27" t="s">
        <v>2459</v>
      </c>
      <c r="T1" s="27" t="s">
        <v>1925</v>
      </c>
      <c r="U1" s="27" t="s">
        <v>2459</v>
      </c>
      <c r="V1" s="27" t="s">
        <v>1941</v>
      </c>
      <c r="W1" s="27" t="s">
        <v>2458</v>
      </c>
      <c r="X1" s="27" t="s">
        <v>1948</v>
      </c>
      <c r="Y1" s="27" t="s">
        <v>2459</v>
      </c>
      <c r="Z1" s="27" t="s">
        <v>1952</v>
      </c>
      <c r="AA1" s="27" t="s">
        <v>2459</v>
      </c>
      <c r="AB1" s="319" t="s">
        <v>2735</v>
      </c>
      <c r="AC1" s="319" t="s">
        <v>2736</v>
      </c>
      <c r="AD1" s="320" t="s">
        <v>2726</v>
      </c>
      <c r="AE1" s="321" t="s">
        <v>2725</v>
      </c>
      <c r="AF1" s="322" t="s">
        <v>1793</v>
      </c>
      <c r="AG1" s="321" t="s">
        <v>2727</v>
      </c>
      <c r="AH1" s="323" t="s">
        <v>2728</v>
      </c>
      <c r="AI1" s="321" t="s">
        <v>2729</v>
      </c>
      <c r="AJ1" s="324" t="s">
        <v>2733</v>
      </c>
      <c r="AK1" s="324" t="s">
        <v>2734</v>
      </c>
      <c r="AL1" s="325" t="s">
        <v>2730</v>
      </c>
      <c r="AM1" s="325" t="s">
        <v>2731</v>
      </c>
      <c r="AN1" s="326" t="s">
        <v>2732</v>
      </c>
    </row>
    <row r="2" spans="1:40" ht="16">
      <c r="A2" s="2" t="s">
        <v>15</v>
      </c>
      <c r="B2" s="2">
        <v>22104031</v>
      </c>
      <c r="C2" s="76" t="s">
        <v>2508</v>
      </c>
      <c r="D2" s="2" t="s">
        <v>17</v>
      </c>
      <c r="E2" s="2">
        <v>0</v>
      </c>
      <c r="F2" s="23">
        <v>43970</v>
      </c>
      <c r="G2" s="23">
        <v>43974</v>
      </c>
      <c r="H2" s="23">
        <v>43970</v>
      </c>
      <c r="I2" s="2" t="s">
        <v>19</v>
      </c>
      <c r="J2" s="4">
        <v>4020</v>
      </c>
      <c r="K2" s="56" t="s">
        <v>20</v>
      </c>
      <c r="L2" s="17" t="s">
        <v>1657</v>
      </c>
      <c r="M2" s="17" t="e">
        <f t="shared" ref="M2:M65" si="0">(L2-H2)/365</f>
        <v>#VALUE!</v>
      </c>
      <c r="N2" s="40">
        <v>44160</v>
      </c>
      <c r="O2" s="241">
        <f t="shared" ref="O2:O65" si="1">(N2-H2)/365</f>
        <v>0.52054794520547942</v>
      </c>
      <c r="P2" s="40">
        <v>44159</v>
      </c>
      <c r="Q2" s="241">
        <f t="shared" ref="Q2:Q65" si="2">(P2-H2)/365</f>
        <v>0.51780821917808217</v>
      </c>
      <c r="R2" s="40">
        <v>44160</v>
      </c>
      <c r="S2" s="241">
        <f t="shared" ref="S2:S65" si="3">(R2-H2)/365</f>
        <v>0.52054794520547942</v>
      </c>
      <c r="T2" s="40">
        <v>44902</v>
      </c>
      <c r="U2" s="241">
        <f t="shared" ref="U2:U65" si="4">(T2-H2)/365</f>
        <v>2.5534246575342467</v>
      </c>
      <c r="V2" s="40" t="s">
        <v>2360</v>
      </c>
      <c r="W2" s="17" t="e">
        <f t="shared" ref="W2:W65" si="5">(V2-H2)/365</f>
        <v>#VALUE!</v>
      </c>
      <c r="X2" s="40">
        <v>44903</v>
      </c>
      <c r="Y2" s="241">
        <f t="shared" ref="Y2:Y65" si="6">(X2-H2)/365</f>
        <v>2.5561643835616437</v>
      </c>
      <c r="Z2" s="40">
        <v>44902</v>
      </c>
      <c r="AA2" s="241">
        <f t="shared" ref="AA2:AA65" si="7">(Z2-H2)/365</f>
        <v>2.5534246575342467</v>
      </c>
      <c r="AB2" s="308">
        <v>0</v>
      </c>
      <c r="AC2">
        <v>0</v>
      </c>
      <c r="AD2" s="299">
        <v>91</v>
      </c>
      <c r="AE2" s="299">
        <v>12.4</v>
      </c>
      <c r="AF2" s="298">
        <f>AE2/(AD2/100)^2</f>
        <v>14.974036952058929</v>
      </c>
      <c r="AG2" s="299">
        <v>32</v>
      </c>
      <c r="AH2" s="299">
        <v>49</v>
      </c>
      <c r="AI2" s="299">
        <v>19.2</v>
      </c>
      <c r="AJ2" s="301">
        <v>1</v>
      </c>
      <c r="AK2" s="301">
        <v>1</v>
      </c>
      <c r="AL2" s="305">
        <v>2</v>
      </c>
      <c r="AM2" s="305">
        <v>0</v>
      </c>
      <c r="AN2" s="307">
        <v>0</v>
      </c>
    </row>
    <row r="3" spans="1:40" ht="16">
      <c r="A3" s="2" t="s">
        <v>21</v>
      </c>
      <c r="B3" s="2">
        <v>22103764</v>
      </c>
      <c r="C3" s="41" t="s">
        <v>22</v>
      </c>
      <c r="D3" s="2" t="s">
        <v>23</v>
      </c>
      <c r="E3" s="2">
        <v>1</v>
      </c>
      <c r="F3" s="23">
        <v>43941</v>
      </c>
      <c r="G3" s="23">
        <v>43955</v>
      </c>
      <c r="H3" s="23">
        <v>43941</v>
      </c>
      <c r="I3" s="2" t="s">
        <v>24</v>
      </c>
      <c r="J3" s="4">
        <v>2810</v>
      </c>
      <c r="K3" s="56" t="s">
        <v>25</v>
      </c>
      <c r="L3" s="23">
        <v>44140</v>
      </c>
      <c r="M3" s="238">
        <f t="shared" si="0"/>
        <v>0.54520547945205478</v>
      </c>
      <c r="N3" s="23">
        <v>44132</v>
      </c>
      <c r="O3" s="238">
        <f t="shared" si="1"/>
        <v>0.52328767123287667</v>
      </c>
      <c r="P3" s="23">
        <v>44131</v>
      </c>
      <c r="Q3" s="238">
        <f t="shared" si="2"/>
        <v>0.52054794520547942</v>
      </c>
      <c r="R3" s="23">
        <v>44132</v>
      </c>
      <c r="S3" s="238">
        <f t="shared" si="3"/>
        <v>0.52328767123287667</v>
      </c>
      <c r="T3" s="95">
        <v>44873</v>
      </c>
      <c r="U3" s="246">
        <f t="shared" si="4"/>
        <v>2.5534246575342467</v>
      </c>
      <c r="V3" s="95">
        <v>44873</v>
      </c>
      <c r="W3" s="246">
        <f t="shared" si="5"/>
        <v>2.5534246575342467</v>
      </c>
      <c r="X3" s="95">
        <v>44874</v>
      </c>
      <c r="Y3" s="246">
        <f t="shared" si="6"/>
        <v>2.5561643835616437</v>
      </c>
      <c r="Z3" s="95">
        <v>44873</v>
      </c>
      <c r="AA3" s="246">
        <f t="shared" si="7"/>
        <v>2.5534246575342467</v>
      </c>
      <c r="AB3" s="308">
        <v>0</v>
      </c>
      <c r="AC3">
        <v>0</v>
      </c>
      <c r="AD3" s="299">
        <v>82.7</v>
      </c>
      <c r="AE3" s="299">
        <v>11.3</v>
      </c>
      <c r="AF3" s="298">
        <f>AE3/(AD3/100)^2</f>
        <v>16.522182858162175</v>
      </c>
      <c r="AG3" s="299">
        <v>4</v>
      </c>
      <c r="AH3" s="299">
        <v>0.7</v>
      </c>
      <c r="AI3" s="299">
        <v>58.9</v>
      </c>
      <c r="AJ3" s="301">
        <v>0</v>
      </c>
      <c r="AK3" s="301">
        <v>1</v>
      </c>
      <c r="AL3" s="305">
        <v>0</v>
      </c>
      <c r="AM3" s="305">
        <v>0</v>
      </c>
      <c r="AN3" s="307">
        <v>0</v>
      </c>
    </row>
    <row r="4" spans="1:40" ht="16">
      <c r="A4" s="2" t="s">
        <v>26</v>
      </c>
      <c r="B4" s="2">
        <v>22103833</v>
      </c>
      <c r="C4" s="2" t="s">
        <v>27</v>
      </c>
      <c r="D4" s="2" t="s">
        <v>28</v>
      </c>
      <c r="E4" s="2">
        <v>0</v>
      </c>
      <c r="F4" s="23">
        <v>43948</v>
      </c>
      <c r="G4" s="23">
        <v>43946</v>
      </c>
      <c r="H4" s="23">
        <v>43948</v>
      </c>
      <c r="I4" s="2" t="s">
        <v>29</v>
      </c>
      <c r="J4" s="4">
        <v>3040</v>
      </c>
      <c r="K4" s="27" t="s">
        <v>30</v>
      </c>
      <c r="L4" s="23">
        <v>44139</v>
      </c>
      <c r="M4" s="238">
        <f t="shared" si="0"/>
        <v>0.52328767123287667</v>
      </c>
      <c r="N4" s="23">
        <v>44139</v>
      </c>
      <c r="O4" s="238">
        <f t="shared" si="1"/>
        <v>0.52328767123287667</v>
      </c>
      <c r="P4" s="23">
        <v>44138</v>
      </c>
      <c r="Q4" s="238">
        <f t="shared" si="2"/>
        <v>0.52054794520547942</v>
      </c>
      <c r="R4" s="23">
        <v>44139</v>
      </c>
      <c r="S4" s="238">
        <f t="shared" si="3"/>
        <v>0.52328767123287667</v>
      </c>
      <c r="T4" s="95">
        <v>44776</v>
      </c>
      <c r="U4" s="246">
        <f t="shared" si="4"/>
        <v>2.2684931506849315</v>
      </c>
      <c r="V4" s="95">
        <v>44776</v>
      </c>
      <c r="W4" s="246">
        <f t="shared" si="5"/>
        <v>2.2684931506849315</v>
      </c>
      <c r="X4" s="95">
        <v>44774</v>
      </c>
      <c r="Y4" s="246">
        <f t="shared" si="6"/>
        <v>2.2630136986301368</v>
      </c>
      <c r="Z4" s="95">
        <v>44776</v>
      </c>
      <c r="AA4" s="246">
        <f t="shared" si="7"/>
        <v>2.2684931506849315</v>
      </c>
      <c r="AB4" s="308">
        <v>0</v>
      </c>
      <c r="AC4">
        <v>0</v>
      </c>
      <c r="AD4" s="299">
        <v>89</v>
      </c>
      <c r="AE4" s="299">
        <v>12.5</v>
      </c>
      <c r="AF4" s="298">
        <f>AE4/(AD4/100)^2</f>
        <v>15.780835753061481</v>
      </c>
      <c r="AG4" s="299">
        <v>48.4</v>
      </c>
      <c r="AH4" s="299">
        <v>63.2</v>
      </c>
      <c r="AI4" s="299">
        <v>37.299999999999997</v>
      </c>
      <c r="AJ4" s="301">
        <v>0</v>
      </c>
      <c r="AK4" s="301">
        <v>1</v>
      </c>
      <c r="AL4" s="305">
        <v>2</v>
      </c>
      <c r="AM4" s="305">
        <v>0</v>
      </c>
      <c r="AN4" s="307">
        <v>0</v>
      </c>
    </row>
    <row r="5" spans="1:40" ht="16">
      <c r="A5" s="2" t="s">
        <v>31</v>
      </c>
      <c r="B5" s="2">
        <v>21928650</v>
      </c>
      <c r="C5" s="2" t="s">
        <v>32</v>
      </c>
      <c r="D5" s="2" t="s">
        <v>33</v>
      </c>
      <c r="E5" s="2">
        <v>0</v>
      </c>
      <c r="F5" s="23">
        <v>43485</v>
      </c>
      <c r="G5" s="23">
        <v>43596</v>
      </c>
      <c r="H5" s="23">
        <v>43596</v>
      </c>
      <c r="I5" s="2" t="s">
        <v>34</v>
      </c>
      <c r="J5" s="4">
        <v>580</v>
      </c>
      <c r="K5" s="27" t="s">
        <v>35</v>
      </c>
      <c r="L5" s="16" t="s">
        <v>1995</v>
      </c>
      <c r="M5" s="239" t="e">
        <f t="shared" si="0"/>
        <v>#VALUE!</v>
      </c>
      <c r="N5" s="16" t="s">
        <v>1995</v>
      </c>
      <c r="O5" s="239" t="e">
        <f t="shared" si="1"/>
        <v>#VALUE!</v>
      </c>
      <c r="P5" s="16" t="s">
        <v>1995</v>
      </c>
      <c r="Q5" s="239" t="e">
        <f t="shared" si="2"/>
        <v>#VALUE!</v>
      </c>
      <c r="R5" s="16" t="s">
        <v>1995</v>
      </c>
      <c r="S5" s="239" t="e">
        <f t="shared" si="3"/>
        <v>#VALUE!</v>
      </c>
      <c r="T5" s="95">
        <v>44321</v>
      </c>
      <c r="U5" s="246">
        <f t="shared" si="4"/>
        <v>1.9863013698630136</v>
      </c>
      <c r="V5" s="95">
        <v>44321</v>
      </c>
      <c r="W5" s="246">
        <f t="shared" si="5"/>
        <v>1.9863013698630136</v>
      </c>
      <c r="X5" s="95">
        <v>44319</v>
      </c>
      <c r="Y5" s="246">
        <f t="shared" si="6"/>
        <v>1.9808219178082191</v>
      </c>
      <c r="Z5" s="95">
        <v>44321</v>
      </c>
      <c r="AA5" s="246">
        <f t="shared" si="7"/>
        <v>1.9863013698630136</v>
      </c>
      <c r="AB5" s="308">
        <v>2</v>
      </c>
      <c r="AC5">
        <v>2</v>
      </c>
      <c r="AD5" s="299">
        <v>85.8</v>
      </c>
      <c r="AE5" s="299">
        <v>10.6</v>
      </c>
      <c r="AF5" s="298">
        <f>AE5/(AD5/100)^2</f>
        <v>14.398965447916497</v>
      </c>
      <c r="AG5" s="299">
        <v>11</v>
      </c>
      <c r="AH5" s="299">
        <v>52</v>
      </c>
      <c r="AI5" s="299">
        <v>5.0999999999999996</v>
      </c>
      <c r="AJ5" s="301">
        <v>1</v>
      </c>
      <c r="AK5" s="301">
        <v>1</v>
      </c>
      <c r="AL5" s="305">
        <v>0</v>
      </c>
      <c r="AM5" s="305">
        <v>2</v>
      </c>
      <c r="AN5" s="307">
        <v>1</v>
      </c>
    </row>
    <row r="6" spans="1:40" ht="16">
      <c r="A6" s="2" t="s">
        <v>36</v>
      </c>
      <c r="B6" s="2">
        <v>16900804</v>
      </c>
      <c r="C6" s="2" t="s">
        <v>37</v>
      </c>
      <c r="D6" s="2" t="s">
        <v>38</v>
      </c>
      <c r="E6" s="2">
        <v>1</v>
      </c>
      <c r="F6" s="23">
        <v>43979</v>
      </c>
      <c r="G6" s="44">
        <v>43979</v>
      </c>
      <c r="H6" s="23">
        <v>43979</v>
      </c>
      <c r="I6" s="2" t="s">
        <v>39</v>
      </c>
      <c r="J6" s="4">
        <v>3155</v>
      </c>
      <c r="K6" s="56" t="s">
        <v>40</v>
      </c>
      <c r="L6" s="23">
        <v>44195</v>
      </c>
      <c r="M6" s="238">
        <f t="shared" si="0"/>
        <v>0.59178082191780823</v>
      </c>
      <c r="N6" s="23">
        <v>44174</v>
      </c>
      <c r="O6" s="238">
        <f t="shared" si="1"/>
        <v>0.53424657534246578</v>
      </c>
      <c r="P6" s="23">
        <v>44170</v>
      </c>
      <c r="Q6" s="238">
        <f t="shared" si="2"/>
        <v>0.52328767123287667</v>
      </c>
      <c r="R6" s="23">
        <v>44174</v>
      </c>
      <c r="S6" s="238">
        <f t="shared" si="3"/>
        <v>0.53424657534246578</v>
      </c>
      <c r="T6" s="46" t="s">
        <v>1718</v>
      </c>
      <c r="U6" s="244" t="e">
        <f t="shared" si="4"/>
        <v>#VALUE!</v>
      </c>
      <c r="V6" s="40">
        <v>44972</v>
      </c>
      <c r="W6" s="241">
        <f t="shared" si="5"/>
        <v>2.7205479452054795</v>
      </c>
      <c r="X6" s="40">
        <v>44969</v>
      </c>
      <c r="Y6" s="241">
        <f t="shared" si="6"/>
        <v>2.7123287671232879</v>
      </c>
      <c r="Z6" s="40" t="s">
        <v>1955</v>
      </c>
      <c r="AA6" s="241" t="e">
        <f t="shared" si="7"/>
        <v>#VALUE!</v>
      </c>
      <c r="AB6" s="308">
        <v>0</v>
      </c>
      <c r="AC6">
        <v>0</v>
      </c>
      <c r="AD6" s="299">
        <v>95.5</v>
      </c>
      <c r="AE6" s="299">
        <v>14.2</v>
      </c>
      <c r="AF6" s="298">
        <f>AE6/(AD6/100)^2</f>
        <v>15.569748636276417</v>
      </c>
      <c r="AG6" s="299">
        <v>58.8</v>
      </c>
      <c r="AH6" s="299">
        <v>75.900000000000006</v>
      </c>
      <c r="AI6" s="299">
        <v>30.5</v>
      </c>
      <c r="AJ6" s="301">
        <v>0</v>
      </c>
      <c r="AK6" s="301">
        <v>1</v>
      </c>
      <c r="AL6" s="305">
        <v>0</v>
      </c>
      <c r="AM6" s="305">
        <v>0</v>
      </c>
      <c r="AN6" s="307">
        <v>0</v>
      </c>
    </row>
    <row r="7" spans="1:40" ht="16">
      <c r="A7" s="6" t="s">
        <v>41</v>
      </c>
      <c r="B7" s="6">
        <v>21926441</v>
      </c>
      <c r="C7" s="6" t="s">
        <v>42</v>
      </c>
      <c r="D7" s="6" t="s">
        <v>43</v>
      </c>
      <c r="E7" s="6">
        <v>1</v>
      </c>
      <c r="F7" s="42">
        <v>43276</v>
      </c>
      <c r="G7" s="42">
        <v>43336</v>
      </c>
      <c r="H7" s="42">
        <v>43336</v>
      </c>
      <c r="I7" s="6" t="s">
        <v>44</v>
      </c>
      <c r="J7" s="7">
        <v>1030</v>
      </c>
      <c r="K7" s="57" t="s">
        <v>45</v>
      </c>
      <c r="L7" s="20" t="s">
        <v>2215</v>
      </c>
      <c r="M7" s="240" t="e">
        <f t="shared" si="0"/>
        <v>#VALUE!</v>
      </c>
      <c r="N7" s="20" t="s">
        <v>2215</v>
      </c>
      <c r="O7" s="240" t="e">
        <f t="shared" si="1"/>
        <v>#VALUE!</v>
      </c>
      <c r="P7" s="20" t="s">
        <v>2215</v>
      </c>
      <c r="Q7" s="240" t="e">
        <f t="shared" si="2"/>
        <v>#VALUE!</v>
      </c>
      <c r="R7" s="20" t="s">
        <v>2215</v>
      </c>
      <c r="S7" s="240" t="e">
        <f t="shared" si="3"/>
        <v>#VALUE!</v>
      </c>
      <c r="T7" s="61" t="s">
        <v>2372</v>
      </c>
      <c r="U7" s="247" t="e">
        <f t="shared" si="4"/>
        <v>#VALUE!</v>
      </c>
      <c r="V7" s="61" t="s">
        <v>2373</v>
      </c>
      <c r="W7" s="247" t="e">
        <f t="shared" si="5"/>
        <v>#VALUE!</v>
      </c>
      <c r="X7" s="61" t="s">
        <v>2374</v>
      </c>
      <c r="Y7" s="247" t="e">
        <f t="shared" si="6"/>
        <v>#VALUE!</v>
      </c>
      <c r="Z7" s="61" t="s">
        <v>2375</v>
      </c>
      <c r="AA7" s="247" t="e">
        <f t="shared" si="7"/>
        <v>#VALUE!</v>
      </c>
      <c r="AB7" s="308">
        <v>1</v>
      </c>
      <c r="AC7" s="308">
        <v>2</v>
      </c>
      <c r="AD7" s="302"/>
      <c r="AE7" s="302"/>
      <c r="AF7" s="303"/>
      <c r="AG7" s="302"/>
      <c r="AH7" s="302"/>
      <c r="AI7" s="302"/>
      <c r="AJ7" s="304"/>
      <c r="AK7" s="304"/>
      <c r="AL7" s="306"/>
      <c r="AM7" s="306"/>
      <c r="AN7" s="307">
        <v>0</v>
      </c>
    </row>
    <row r="8" spans="1:40" ht="16">
      <c r="A8" s="2" t="s">
        <v>46</v>
      </c>
      <c r="B8" s="2">
        <v>21929504</v>
      </c>
      <c r="C8" s="39" t="s">
        <v>47</v>
      </c>
      <c r="D8" s="2" t="s">
        <v>48</v>
      </c>
      <c r="E8" s="2">
        <v>0</v>
      </c>
      <c r="F8" s="23">
        <v>43563</v>
      </c>
      <c r="G8" s="23">
        <v>43647</v>
      </c>
      <c r="H8" s="23">
        <v>43647</v>
      </c>
      <c r="I8" s="2" t="s">
        <v>49</v>
      </c>
      <c r="J8" s="4">
        <v>880</v>
      </c>
      <c r="K8" s="56" t="s">
        <v>50</v>
      </c>
      <c r="L8" s="16" t="s">
        <v>1995</v>
      </c>
      <c r="M8" s="239" t="e">
        <f t="shared" si="0"/>
        <v>#VALUE!</v>
      </c>
      <c r="N8" s="16" t="s">
        <v>1995</v>
      </c>
      <c r="O8" s="239" t="e">
        <f t="shared" si="1"/>
        <v>#VALUE!</v>
      </c>
      <c r="P8" s="16" t="s">
        <v>1995</v>
      </c>
      <c r="Q8" s="239" t="e">
        <f t="shared" si="2"/>
        <v>#VALUE!</v>
      </c>
      <c r="R8" s="16" t="s">
        <v>1995</v>
      </c>
      <c r="S8" s="239" t="e">
        <f t="shared" si="3"/>
        <v>#VALUE!</v>
      </c>
      <c r="T8" s="95">
        <v>44420</v>
      </c>
      <c r="U8" s="246">
        <f t="shared" si="4"/>
        <v>2.117808219178082</v>
      </c>
      <c r="V8" s="95">
        <v>44420</v>
      </c>
      <c r="W8" s="246">
        <f t="shared" si="5"/>
        <v>2.117808219178082</v>
      </c>
      <c r="X8" s="95">
        <v>44395</v>
      </c>
      <c r="Y8" s="246">
        <f t="shared" si="6"/>
        <v>2.0493150684931507</v>
      </c>
      <c r="Z8" s="95">
        <v>44420</v>
      </c>
      <c r="AA8" s="246">
        <f t="shared" si="7"/>
        <v>2.117808219178082</v>
      </c>
      <c r="AB8" s="308">
        <v>2</v>
      </c>
      <c r="AC8">
        <v>2</v>
      </c>
      <c r="AD8" s="299">
        <v>81.5</v>
      </c>
      <c r="AE8" s="299">
        <v>9.8000000000000007</v>
      </c>
      <c r="AF8" s="298">
        <f>AE8/(AD8/100)^2</f>
        <v>14.754036659264559</v>
      </c>
      <c r="AG8" s="299">
        <v>1.2</v>
      </c>
      <c r="AH8" s="299">
        <v>9.6</v>
      </c>
      <c r="AI8" s="299">
        <v>10.1</v>
      </c>
      <c r="AJ8" s="301">
        <v>0</v>
      </c>
      <c r="AK8" s="312">
        <v>1</v>
      </c>
      <c r="AL8" s="305">
        <v>2</v>
      </c>
      <c r="AM8" s="305">
        <v>0</v>
      </c>
      <c r="AN8" s="307">
        <v>0</v>
      </c>
    </row>
    <row r="9" spans="1:40" ht="16">
      <c r="A9" s="2" t="s">
        <v>51</v>
      </c>
      <c r="B9" s="2">
        <v>21929505</v>
      </c>
      <c r="C9" s="39" t="s">
        <v>52</v>
      </c>
      <c r="D9" s="2" t="s">
        <v>53</v>
      </c>
      <c r="E9" s="2">
        <v>1</v>
      </c>
      <c r="F9" s="23">
        <v>43563</v>
      </c>
      <c r="G9" s="23">
        <v>43647</v>
      </c>
      <c r="H9" s="23">
        <v>43647</v>
      </c>
      <c r="I9" s="2" t="s">
        <v>49</v>
      </c>
      <c r="J9" s="4">
        <v>835</v>
      </c>
      <c r="K9" s="56" t="s">
        <v>50</v>
      </c>
      <c r="L9" s="16" t="s">
        <v>1995</v>
      </c>
      <c r="M9" s="239" t="e">
        <f t="shared" si="0"/>
        <v>#VALUE!</v>
      </c>
      <c r="N9" s="16" t="s">
        <v>1995</v>
      </c>
      <c r="O9" s="239" t="e">
        <f t="shared" si="1"/>
        <v>#VALUE!</v>
      </c>
      <c r="P9" s="16" t="s">
        <v>1995</v>
      </c>
      <c r="Q9" s="239" t="e">
        <f t="shared" si="2"/>
        <v>#VALUE!</v>
      </c>
      <c r="R9" s="16" t="s">
        <v>1995</v>
      </c>
      <c r="S9" s="239" t="e">
        <f t="shared" si="3"/>
        <v>#VALUE!</v>
      </c>
      <c r="T9" s="95">
        <v>44420</v>
      </c>
      <c r="U9" s="246">
        <f t="shared" si="4"/>
        <v>2.117808219178082</v>
      </c>
      <c r="V9" s="95">
        <v>44420</v>
      </c>
      <c r="W9" s="246">
        <f t="shared" si="5"/>
        <v>2.117808219178082</v>
      </c>
      <c r="X9" s="95">
        <v>44394</v>
      </c>
      <c r="Y9" s="246">
        <f t="shared" si="6"/>
        <v>2.0465753424657533</v>
      </c>
      <c r="Z9" s="95">
        <v>44420</v>
      </c>
      <c r="AA9" s="246">
        <f t="shared" si="7"/>
        <v>2.117808219178082</v>
      </c>
      <c r="AB9" s="308">
        <v>2</v>
      </c>
      <c r="AC9">
        <v>2</v>
      </c>
      <c r="AD9" s="299">
        <v>81.2</v>
      </c>
      <c r="AE9" s="299">
        <v>9.1</v>
      </c>
      <c r="AF9" s="298">
        <f>AE9/(AD9/100)^2</f>
        <v>13.801596738576523</v>
      </c>
      <c r="AG9" s="299">
        <v>0</v>
      </c>
      <c r="AH9" s="299">
        <v>3.7</v>
      </c>
      <c r="AI9" s="299">
        <v>0.4</v>
      </c>
      <c r="AJ9" s="301">
        <v>0</v>
      </c>
      <c r="AK9" s="312">
        <v>1</v>
      </c>
      <c r="AL9" s="305">
        <v>2</v>
      </c>
      <c r="AM9" s="305">
        <v>0</v>
      </c>
      <c r="AN9" s="307">
        <v>1</v>
      </c>
    </row>
    <row r="10" spans="1:40" ht="16">
      <c r="A10" s="2" t="s">
        <v>54</v>
      </c>
      <c r="B10" s="2">
        <v>22100733</v>
      </c>
      <c r="C10" s="2" t="s">
        <v>55</v>
      </c>
      <c r="D10" s="2" t="s">
        <v>56</v>
      </c>
      <c r="E10" s="2">
        <v>0</v>
      </c>
      <c r="F10" s="23">
        <v>43676</v>
      </c>
      <c r="G10" s="23">
        <v>43671</v>
      </c>
      <c r="H10" s="23">
        <v>43676</v>
      </c>
      <c r="I10" s="2" t="s">
        <v>57</v>
      </c>
      <c r="J10" s="4">
        <v>3325</v>
      </c>
      <c r="K10" s="27" t="s">
        <v>58</v>
      </c>
      <c r="L10" s="16" t="s">
        <v>1995</v>
      </c>
      <c r="M10" s="239" t="e">
        <f t="shared" si="0"/>
        <v>#VALUE!</v>
      </c>
      <c r="N10" s="16" t="s">
        <v>1995</v>
      </c>
      <c r="O10" s="239" t="e">
        <f t="shared" si="1"/>
        <v>#VALUE!</v>
      </c>
      <c r="P10" s="16" t="s">
        <v>1995</v>
      </c>
      <c r="Q10" s="239" t="e">
        <f t="shared" si="2"/>
        <v>#VALUE!</v>
      </c>
      <c r="R10" s="16" t="s">
        <v>1995</v>
      </c>
      <c r="S10" s="239" t="e">
        <f t="shared" si="3"/>
        <v>#VALUE!</v>
      </c>
      <c r="T10" s="95">
        <v>44505</v>
      </c>
      <c r="U10" s="246">
        <f t="shared" si="4"/>
        <v>2.2712328767123289</v>
      </c>
      <c r="V10" s="95">
        <v>44505</v>
      </c>
      <c r="W10" s="246">
        <f t="shared" si="5"/>
        <v>2.2712328767123289</v>
      </c>
      <c r="X10" s="95">
        <v>44503</v>
      </c>
      <c r="Y10" s="246">
        <f t="shared" si="6"/>
        <v>2.2657534246575342</v>
      </c>
      <c r="Z10" s="95">
        <v>44505</v>
      </c>
      <c r="AA10" s="246">
        <f t="shared" si="7"/>
        <v>2.2712328767123289</v>
      </c>
      <c r="AB10" s="308">
        <v>0</v>
      </c>
      <c r="AC10">
        <v>0</v>
      </c>
      <c r="AD10" s="299">
        <v>88</v>
      </c>
      <c r="AE10" s="299">
        <v>12.6</v>
      </c>
      <c r="AF10" s="298">
        <f>AE10/(AD10/100)^2</f>
        <v>16.270661157024794</v>
      </c>
      <c r="AG10" s="299">
        <v>51.2</v>
      </c>
      <c r="AH10" s="299">
        <v>52.4</v>
      </c>
      <c r="AI10" s="299">
        <v>52</v>
      </c>
      <c r="AJ10" s="301">
        <v>0</v>
      </c>
      <c r="AK10" s="312">
        <v>1</v>
      </c>
      <c r="AL10" s="305">
        <v>2</v>
      </c>
      <c r="AM10" s="305">
        <v>0</v>
      </c>
      <c r="AN10" s="307">
        <v>0</v>
      </c>
    </row>
    <row r="11" spans="1:40" ht="16">
      <c r="A11" s="2" t="s">
        <v>59</v>
      </c>
      <c r="B11" s="2">
        <v>22101152</v>
      </c>
      <c r="C11" s="2" t="s">
        <v>60</v>
      </c>
      <c r="D11" s="2" t="s">
        <v>61</v>
      </c>
      <c r="E11" s="2">
        <v>0</v>
      </c>
      <c r="F11" s="23">
        <v>43709</v>
      </c>
      <c r="G11" s="23">
        <v>43713</v>
      </c>
      <c r="H11" s="23">
        <v>43709</v>
      </c>
      <c r="I11" s="2" t="s">
        <v>19</v>
      </c>
      <c r="J11" s="4">
        <v>3440</v>
      </c>
      <c r="K11" s="27" t="s">
        <v>62</v>
      </c>
      <c r="L11" s="17"/>
      <c r="M11" s="241">
        <f t="shared" si="0"/>
        <v>-119.75068493150685</v>
      </c>
      <c r="N11" s="40">
        <v>44257</v>
      </c>
      <c r="O11" s="241">
        <f t="shared" si="1"/>
        <v>1.5013698630136987</v>
      </c>
      <c r="P11" s="17"/>
      <c r="Q11" s="241">
        <f t="shared" si="2"/>
        <v>-119.75068493150685</v>
      </c>
      <c r="R11" s="17"/>
      <c r="S11" s="241">
        <f t="shared" si="3"/>
        <v>-119.75068493150685</v>
      </c>
      <c r="T11" s="95">
        <v>44537</v>
      </c>
      <c r="U11" s="246">
        <f t="shared" si="4"/>
        <v>2.2684931506849315</v>
      </c>
      <c r="V11" s="95">
        <v>44581</v>
      </c>
      <c r="W11" s="246">
        <f t="shared" si="5"/>
        <v>2.3890410958904109</v>
      </c>
      <c r="X11" s="95">
        <v>44536</v>
      </c>
      <c r="Y11" s="246">
        <f t="shared" si="6"/>
        <v>2.2657534246575342</v>
      </c>
      <c r="Z11" s="95">
        <v>44537</v>
      </c>
      <c r="AA11" s="246">
        <f t="shared" si="7"/>
        <v>2.2684931506849315</v>
      </c>
      <c r="AB11" s="308">
        <v>0</v>
      </c>
      <c r="AC11">
        <v>0</v>
      </c>
      <c r="AD11" s="299">
        <v>82.6</v>
      </c>
      <c r="AE11" s="299">
        <v>11.3</v>
      </c>
      <c r="AF11" s="298">
        <f>AE11/(AD11/100)^2</f>
        <v>16.562212359807472</v>
      </c>
      <c r="AG11" s="299">
        <v>15.8</v>
      </c>
      <c r="AH11" s="299">
        <v>7.7</v>
      </c>
      <c r="AI11" s="299">
        <v>60.2</v>
      </c>
      <c r="AJ11" s="301">
        <v>0</v>
      </c>
      <c r="AK11" s="312">
        <v>1</v>
      </c>
      <c r="AL11" s="305">
        <v>2</v>
      </c>
      <c r="AM11" s="305">
        <v>0</v>
      </c>
      <c r="AN11" s="307">
        <v>0</v>
      </c>
    </row>
    <row r="12" spans="1:40" ht="16">
      <c r="A12" s="6" t="s">
        <v>63</v>
      </c>
      <c r="B12" s="6">
        <v>22140400</v>
      </c>
      <c r="C12" s="6" t="s">
        <v>64</v>
      </c>
      <c r="D12" s="6" t="s">
        <v>65</v>
      </c>
      <c r="E12" s="6">
        <v>0</v>
      </c>
      <c r="F12" s="42">
        <v>43493</v>
      </c>
      <c r="G12" s="42">
        <v>43554</v>
      </c>
      <c r="H12" s="42">
        <v>43554</v>
      </c>
      <c r="I12" s="6" t="s">
        <v>66</v>
      </c>
      <c r="J12" s="7">
        <v>1860</v>
      </c>
      <c r="K12" s="57" t="s">
        <v>67</v>
      </c>
      <c r="L12" s="20" t="s">
        <v>2215</v>
      </c>
      <c r="M12" s="240" t="e">
        <f t="shared" si="0"/>
        <v>#VALUE!</v>
      </c>
      <c r="N12" s="20" t="s">
        <v>2215</v>
      </c>
      <c r="O12" s="240" t="e">
        <f t="shared" si="1"/>
        <v>#VALUE!</v>
      </c>
      <c r="P12" s="20" t="s">
        <v>2215</v>
      </c>
      <c r="Q12" s="240" t="e">
        <f t="shared" si="2"/>
        <v>#VALUE!</v>
      </c>
      <c r="R12" s="20" t="s">
        <v>2215</v>
      </c>
      <c r="S12" s="240" t="e">
        <f t="shared" si="3"/>
        <v>#VALUE!</v>
      </c>
      <c r="T12" s="61" t="s">
        <v>2376</v>
      </c>
      <c r="U12" s="247" t="e">
        <f t="shared" si="4"/>
        <v>#VALUE!</v>
      </c>
      <c r="V12" s="61" t="s">
        <v>2377</v>
      </c>
      <c r="W12" s="247" t="e">
        <f t="shared" si="5"/>
        <v>#VALUE!</v>
      </c>
      <c r="X12" s="61" t="s">
        <v>2378</v>
      </c>
      <c r="Y12" s="247" t="e">
        <f t="shared" si="6"/>
        <v>#VALUE!</v>
      </c>
      <c r="Z12" s="61" t="s">
        <v>2379</v>
      </c>
      <c r="AA12" s="247" t="e">
        <f t="shared" si="7"/>
        <v>#VALUE!</v>
      </c>
      <c r="AB12" s="308">
        <v>1</v>
      </c>
      <c r="AC12" s="308">
        <v>2</v>
      </c>
      <c r="AD12" s="302"/>
      <c r="AE12" s="302"/>
      <c r="AF12" s="303"/>
      <c r="AG12" s="302"/>
      <c r="AH12" s="302"/>
      <c r="AI12" s="302"/>
      <c r="AJ12" s="304"/>
      <c r="AK12" s="304"/>
      <c r="AL12" s="306"/>
      <c r="AM12" s="306"/>
      <c r="AN12" s="307">
        <v>1</v>
      </c>
    </row>
    <row r="13" spans="1:40" ht="16">
      <c r="A13" s="6" t="s">
        <v>68</v>
      </c>
      <c r="B13" s="6">
        <v>22140401</v>
      </c>
      <c r="C13" s="6" t="s">
        <v>69</v>
      </c>
      <c r="D13" s="6" t="s">
        <v>70</v>
      </c>
      <c r="E13" s="6">
        <v>0</v>
      </c>
      <c r="F13" s="42">
        <v>43493</v>
      </c>
      <c r="G13" s="42">
        <v>43554</v>
      </c>
      <c r="H13" s="42">
        <v>43554</v>
      </c>
      <c r="I13" s="6" t="s">
        <v>66</v>
      </c>
      <c r="J13" s="7">
        <v>1520</v>
      </c>
      <c r="K13" s="57" t="s">
        <v>67</v>
      </c>
      <c r="L13" s="20" t="s">
        <v>2215</v>
      </c>
      <c r="M13" s="240" t="e">
        <f t="shared" si="0"/>
        <v>#VALUE!</v>
      </c>
      <c r="N13" s="20" t="s">
        <v>2215</v>
      </c>
      <c r="O13" s="240" t="e">
        <f t="shared" si="1"/>
        <v>#VALUE!</v>
      </c>
      <c r="P13" s="20" t="s">
        <v>2215</v>
      </c>
      <c r="Q13" s="240" t="e">
        <f t="shared" si="2"/>
        <v>#VALUE!</v>
      </c>
      <c r="R13" s="20" t="s">
        <v>2215</v>
      </c>
      <c r="S13" s="240" t="e">
        <f t="shared" si="3"/>
        <v>#VALUE!</v>
      </c>
      <c r="T13" s="61" t="s">
        <v>2376</v>
      </c>
      <c r="U13" s="247" t="e">
        <f t="shared" si="4"/>
        <v>#VALUE!</v>
      </c>
      <c r="V13" s="61" t="s">
        <v>2377</v>
      </c>
      <c r="W13" s="247" t="e">
        <f t="shared" si="5"/>
        <v>#VALUE!</v>
      </c>
      <c r="X13" s="61" t="s">
        <v>2378</v>
      </c>
      <c r="Y13" s="247" t="e">
        <f t="shared" si="6"/>
        <v>#VALUE!</v>
      </c>
      <c r="Z13" s="61" t="s">
        <v>2379</v>
      </c>
      <c r="AA13" s="247" t="e">
        <f t="shared" si="7"/>
        <v>#VALUE!</v>
      </c>
      <c r="AB13" s="308">
        <v>1</v>
      </c>
      <c r="AC13" s="308">
        <v>2</v>
      </c>
      <c r="AD13" s="302"/>
      <c r="AE13" s="302"/>
      <c r="AF13" s="303"/>
      <c r="AG13" s="302"/>
      <c r="AH13" s="302"/>
      <c r="AI13" s="302"/>
      <c r="AJ13" s="304"/>
      <c r="AK13" s="304"/>
      <c r="AL13" s="306"/>
      <c r="AM13" s="306"/>
      <c r="AN13" s="307">
        <v>0</v>
      </c>
    </row>
    <row r="14" spans="1:40" ht="16">
      <c r="A14" s="2" t="s">
        <v>71</v>
      </c>
      <c r="B14" s="2">
        <v>16900981</v>
      </c>
      <c r="C14" s="2" t="s">
        <v>72</v>
      </c>
      <c r="D14" s="2" t="s">
        <v>73</v>
      </c>
      <c r="E14" s="2">
        <v>0</v>
      </c>
      <c r="F14" s="23">
        <v>44023</v>
      </c>
      <c r="G14" s="44">
        <v>44023</v>
      </c>
      <c r="H14" s="23">
        <v>44023</v>
      </c>
      <c r="I14" s="2" t="s">
        <v>75</v>
      </c>
      <c r="J14" s="4">
        <v>3040</v>
      </c>
      <c r="K14" s="27" t="s">
        <v>76</v>
      </c>
      <c r="L14" s="17" t="s">
        <v>1667</v>
      </c>
      <c r="M14" s="241" t="e">
        <f t="shared" si="0"/>
        <v>#VALUE!</v>
      </c>
      <c r="N14" s="40">
        <v>44209</v>
      </c>
      <c r="O14" s="241">
        <f t="shared" si="1"/>
        <v>0.50958904109589043</v>
      </c>
      <c r="P14" s="40">
        <v>44204</v>
      </c>
      <c r="Q14" s="241">
        <f t="shared" si="2"/>
        <v>0.49589041095890413</v>
      </c>
      <c r="R14" s="40">
        <v>44209</v>
      </c>
      <c r="S14" s="241">
        <f t="shared" si="3"/>
        <v>0.50958904109589043</v>
      </c>
      <c r="T14" s="32" t="s">
        <v>1955</v>
      </c>
      <c r="U14" s="248" t="e">
        <f t="shared" si="4"/>
        <v>#VALUE!</v>
      </c>
      <c r="V14" s="32" t="s">
        <v>1955</v>
      </c>
      <c r="W14" s="248" t="e">
        <f t="shared" si="5"/>
        <v>#VALUE!</v>
      </c>
      <c r="X14" s="32" t="s">
        <v>1955</v>
      </c>
      <c r="Y14" s="248" t="e">
        <f t="shared" si="6"/>
        <v>#VALUE!</v>
      </c>
      <c r="Z14" s="32" t="s">
        <v>1955</v>
      </c>
      <c r="AA14" s="248" t="e">
        <f t="shared" si="7"/>
        <v>#VALUE!</v>
      </c>
      <c r="AB14" s="308">
        <v>0</v>
      </c>
      <c r="AC14" s="309">
        <v>0</v>
      </c>
      <c r="AD14" s="302"/>
      <c r="AE14" s="302"/>
      <c r="AF14" s="303"/>
      <c r="AG14" s="302"/>
      <c r="AH14" s="302"/>
      <c r="AI14" s="302"/>
      <c r="AJ14" s="304"/>
      <c r="AK14" s="304"/>
      <c r="AL14" s="306"/>
      <c r="AM14" s="306"/>
      <c r="AN14" s="307">
        <v>0</v>
      </c>
    </row>
    <row r="15" spans="1:40" ht="16">
      <c r="A15" s="2" t="s">
        <v>77</v>
      </c>
      <c r="B15" s="2">
        <v>21928109</v>
      </c>
      <c r="C15" s="2" t="s">
        <v>78</v>
      </c>
      <c r="D15" s="2" t="s">
        <v>79</v>
      </c>
      <c r="E15" s="2">
        <v>1</v>
      </c>
      <c r="F15" s="23">
        <v>43434</v>
      </c>
      <c r="G15" s="23">
        <v>43532</v>
      </c>
      <c r="H15" s="23">
        <v>43532</v>
      </c>
      <c r="I15" s="2" t="s">
        <v>80</v>
      </c>
      <c r="J15" s="4">
        <v>882</v>
      </c>
      <c r="K15" s="27" t="s">
        <v>81</v>
      </c>
      <c r="L15" s="16" t="s">
        <v>1995</v>
      </c>
      <c r="M15" s="239" t="e">
        <f t="shared" si="0"/>
        <v>#VALUE!</v>
      </c>
      <c r="N15" s="16" t="s">
        <v>1995</v>
      </c>
      <c r="O15" s="239" t="e">
        <f t="shared" si="1"/>
        <v>#VALUE!</v>
      </c>
      <c r="P15" s="16" t="s">
        <v>1995</v>
      </c>
      <c r="Q15" s="239" t="e">
        <f t="shared" si="2"/>
        <v>#VALUE!</v>
      </c>
      <c r="R15" s="16" t="s">
        <v>1995</v>
      </c>
      <c r="S15" s="239" t="e">
        <f t="shared" si="3"/>
        <v>#VALUE!</v>
      </c>
      <c r="T15" s="95">
        <v>44272</v>
      </c>
      <c r="U15" s="246">
        <f t="shared" si="4"/>
        <v>2.0273972602739727</v>
      </c>
      <c r="V15" s="96">
        <v>44307</v>
      </c>
      <c r="W15" s="249">
        <f t="shared" si="5"/>
        <v>2.1232876712328768</v>
      </c>
      <c r="X15" s="95">
        <v>44264</v>
      </c>
      <c r="Y15" s="246">
        <f t="shared" si="6"/>
        <v>2.0054794520547947</v>
      </c>
      <c r="Z15" s="95">
        <v>44272</v>
      </c>
      <c r="AA15" s="246">
        <f t="shared" si="7"/>
        <v>2.0273972602739727</v>
      </c>
      <c r="AB15" s="308">
        <v>2</v>
      </c>
      <c r="AC15">
        <v>2</v>
      </c>
      <c r="AD15" s="299">
        <v>83.5</v>
      </c>
      <c r="AE15" s="299">
        <v>11.1</v>
      </c>
      <c r="AF15" s="298">
        <f>AE15/(AD15/100)^2</f>
        <v>15.920255297787659</v>
      </c>
      <c r="AG15" s="299">
        <v>9.9</v>
      </c>
      <c r="AH15" s="299">
        <v>17.3</v>
      </c>
      <c r="AI15" s="299">
        <v>30.7</v>
      </c>
      <c r="AJ15" s="301">
        <v>1</v>
      </c>
      <c r="AK15" s="301">
        <v>1</v>
      </c>
      <c r="AL15" s="305">
        <v>0</v>
      </c>
      <c r="AM15" s="305">
        <v>2</v>
      </c>
      <c r="AN15" s="307">
        <v>1</v>
      </c>
    </row>
    <row r="16" spans="1:40" ht="16">
      <c r="A16" s="2" t="s">
        <v>82</v>
      </c>
      <c r="B16" s="2">
        <v>22104301</v>
      </c>
      <c r="C16" s="2" t="s">
        <v>83</v>
      </c>
      <c r="D16" s="2" t="s">
        <v>84</v>
      </c>
      <c r="E16" s="2">
        <v>1</v>
      </c>
      <c r="F16" s="23">
        <v>43999</v>
      </c>
      <c r="G16" s="23">
        <v>44058</v>
      </c>
      <c r="H16" s="23">
        <v>44058</v>
      </c>
      <c r="I16" s="2" t="s">
        <v>85</v>
      </c>
      <c r="J16" s="4">
        <v>985</v>
      </c>
      <c r="K16" s="56" t="s">
        <v>86</v>
      </c>
      <c r="L16" s="23">
        <v>44244</v>
      </c>
      <c r="M16" s="238">
        <f t="shared" si="0"/>
        <v>0.50958904109589043</v>
      </c>
      <c r="N16" s="23">
        <v>44244</v>
      </c>
      <c r="O16" s="238">
        <f t="shared" si="1"/>
        <v>0.50958904109589043</v>
      </c>
      <c r="P16" s="23">
        <v>44236</v>
      </c>
      <c r="Q16" s="238">
        <f t="shared" si="2"/>
        <v>0.48767123287671232</v>
      </c>
      <c r="R16" s="23">
        <v>44244</v>
      </c>
      <c r="S16" s="238">
        <f t="shared" si="3"/>
        <v>0.50958904109589043</v>
      </c>
      <c r="T16" s="40">
        <v>44860</v>
      </c>
      <c r="U16" s="241">
        <f t="shared" si="4"/>
        <v>2.1972602739726028</v>
      </c>
      <c r="V16" s="40">
        <v>44860</v>
      </c>
      <c r="W16" s="241">
        <f t="shared" si="5"/>
        <v>2.1972602739726028</v>
      </c>
      <c r="X16" s="40">
        <v>44853</v>
      </c>
      <c r="Y16" s="241">
        <f t="shared" si="6"/>
        <v>2.1780821917808217</v>
      </c>
      <c r="Z16" s="46" t="s">
        <v>1720</v>
      </c>
      <c r="AA16" s="244" t="e">
        <f t="shared" si="7"/>
        <v>#VALUE!</v>
      </c>
      <c r="AB16" s="308">
        <v>1</v>
      </c>
      <c r="AC16">
        <v>2</v>
      </c>
      <c r="AD16" s="299">
        <v>86.4</v>
      </c>
      <c r="AE16" s="299">
        <v>12.5</v>
      </c>
      <c r="AF16" s="298">
        <f>AE16/(AD16/100)^2</f>
        <v>16.7448988340192</v>
      </c>
      <c r="AG16" s="299">
        <v>35.700000000000003</v>
      </c>
      <c r="AH16" s="299">
        <v>29.4</v>
      </c>
      <c r="AI16" s="299">
        <v>58.7</v>
      </c>
      <c r="AJ16" s="313">
        <v>0</v>
      </c>
      <c r="AK16" s="313">
        <v>1</v>
      </c>
      <c r="AL16" s="305">
        <v>0</v>
      </c>
      <c r="AM16" s="305">
        <v>2</v>
      </c>
      <c r="AN16" s="307">
        <v>0</v>
      </c>
    </row>
    <row r="17" spans="1:40" ht="16">
      <c r="A17" s="6" t="s">
        <v>87</v>
      </c>
      <c r="B17" s="6">
        <v>21929043</v>
      </c>
      <c r="C17" s="6" t="s">
        <v>88</v>
      </c>
      <c r="D17" s="6" t="s">
        <v>89</v>
      </c>
      <c r="E17" s="6">
        <v>0</v>
      </c>
      <c r="F17" s="42">
        <v>43521</v>
      </c>
      <c r="G17" s="47">
        <v>43521</v>
      </c>
      <c r="H17" s="42">
        <v>43521</v>
      </c>
      <c r="I17" s="6" t="s">
        <v>90</v>
      </c>
      <c r="J17" s="7">
        <v>2555</v>
      </c>
      <c r="K17" s="57" t="s">
        <v>91</v>
      </c>
      <c r="L17" s="20" t="s">
        <v>2215</v>
      </c>
      <c r="M17" s="240" t="e">
        <f t="shared" si="0"/>
        <v>#VALUE!</v>
      </c>
      <c r="N17" s="20" t="s">
        <v>2215</v>
      </c>
      <c r="O17" s="240" t="e">
        <f t="shared" si="1"/>
        <v>#VALUE!</v>
      </c>
      <c r="P17" s="20" t="s">
        <v>2215</v>
      </c>
      <c r="Q17" s="240" t="e">
        <f t="shared" si="2"/>
        <v>#VALUE!</v>
      </c>
      <c r="R17" s="20" t="s">
        <v>2215</v>
      </c>
      <c r="S17" s="240" t="e">
        <f t="shared" si="3"/>
        <v>#VALUE!</v>
      </c>
      <c r="T17" s="61" t="s">
        <v>2380</v>
      </c>
      <c r="U17" s="247" t="e">
        <f t="shared" si="4"/>
        <v>#VALUE!</v>
      </c>
      <c r="V17" s="61" t="s">
        <v>2381</v>
      </c>
      <c r="W17" s="247" t="e">
        <f t="shared" si="5"/>
        <v>#VALUE!</v>
      </c>
      <c r="X17" s="61" t="s">
        <v>2382</v>
      </c>
      <c r="Y17" s="247" t="e">
        <f t="shared" si="6"/>
        <v>#VALUE!</v>
      </c>
      <c r="Z17" s="61" t="s">
        <v>2383</v>
      </c>
      <c r="AA17" s="247" t="e">
        <f t="shared" si="7"/>
        <v>#VALUE!</v>
      </c>
      <c r="AB17" s="308">
        <v>0</v>
      </c>
      <c r="AC17" s="309">
        <v>0</v>
      </c>
      <c r="AD17" s="302"/>
      <c r="AE17" s="302"/>
      <c r="AF17" s="303"/>
      <c r="AG17" s="302"/>
      <c r="AH17" s="302"/>
      <c r="AI17" s="302"/>
      <c r="AJ17" s="304"/>
      <c r="AK17" s="304"/>
      <c r="AL17" s="306"/>
      <c r="AM17" s="306"/>
      <c r="AN17" s="307">
        <v>0</v>
      </c>
    </row>
    <row r="18" spans="1:40" ht="16">
      <c r="A18" s="2" t="s">
        <v>92</v>
      </c>
      <c r="B18" s="2">
        <v>22104128</v>
      </c>
      <c r="C18" s="2" t="s">
        <v>93</v>
      </c>
      <c r="D18" s="2" t="s">
        <v>94</v>
      </c>
      <c r="E18" s="2">
        <v>1</v>
      </c>
      <c r="F18" s="23">
        <v>43981</v>
      </c>
      <c r="G18" s="23">
        <v>44058</v>
      </c>
      <c r="H18" s="23">
        <v>44058</v>
      </c>
      <c r="I18" s="2" t="s">
        <v>95</v>
      </c>
      <c r="J18" s="4">
        <v>940</v>
      </c>
      <c r="K18" s="27" t="s">
        <v>96</v>
      </c>
      <c r="L18" s="23">
        <v>44232</v>
      </c>
      <c r="M18" s="238">
        <f t="shared" si="0"/>
        <v>0.47671232876712327</v>
      </c>
      <c r="N18" s="23">
        <v>44232</v>
      </c>
      <c r="O18" s="238">
        <f t="shared" si="1"/>
        <v>0.47671232876712327</v>
      </c>
      <c r="P18" s="23">
        <v>44243</v>
      </c>
      <c r="Q18" s="238">
        <f t="shared" si="2"/>
        <v>0.50684931506849318</v>
      </c>
      <c r="R18" s="23">
        <v>44232</v>
      </c>
      <c r="S18" s="238">
        <f t="shared" si="3"/>
        <v>0.47671232876712327</v>
      </c>
      <c r="T18" s="32" t="s">
        <v>2494</v>
      </c>
      <c r="U18" s="248" t="e">
        <f t="shared" si="4"/>
        <v>#VALUE!</v>
      </c>
      <c r="V18" s="32" t="s">
        <v>2494</v>
      </c>
      <c r="W18" s="248" t="e">
        <f t="shared" si="5"/>
        <v>#VALUE!</v>
      </c>
      <c r="X18" s="32" t="s">
        <v>2494</v>
      </c>
      <c r="Y18" s="248" t="e">
        <f t="shared" si="6"/>
        <v>#VALUE!</v>
      </c>
      <c r="Z18" s="32" t="s">
        <v>2494</v>
      </c>
      <c r="AA18" s="248" t="e">
        <f t="shared" si="7"/>
        <v>#VALUE!</v>
      </c>
      <c r="AB18" s="308">
        <v>1</v>
      </c>
      <c r="AC18">
        <v>1</v>
      </c>
      <c r="AD18" s="302"/>
      <c r="AE18" s="302"/>
      <c r="AF18" s="303"/>
      <c r="AG18" s="302"/>
      <c r="AH18" s="302"/>
      <c r="AI18" s="302"/>
      <c r="AJ18" s="304"/>
      <c r="AK18" s="304"/>
      <c r="AL18" s="306"/>
      <c r="AM18" s="306"/>
      <c r="AN18" s="307">
        <v>0</v>
      </c>
    </row>
    <row r="19" spans="1:40" ht="16">
      <c r="A19" s="9" t="s">
        <v>97</v>
      </c>
      <c r="B19" s="9">
        <v>22104135</v>
      </c>
      <c r="C19" s="9" t="s">
        <v>98</v>
      </c>
      <c r="D19" s="9" t="s">
        <v>99</v>
      </c>
      <c r="E19" s="9">
        <v>0</v>
      </c>
      <c r="F19" s="30">
        <v>43981</v>
      </c>
      <c r="G19" s="30">
        <v>44050</v>
      </c>
      <c r="H19" s="30">
        <v>44050</v>
      </c>
      <c r="I19" s="9" t="s">
        <v>100</v>
      </c>
      <c r="J19" s="12">
        <v>1010</v>
      </c>
      <c r="K19" s="58" t="s">
        <v>101</v>
      </c>
      <c r="L19" s="30">
        <v>44225</v>
      </c>
      <c r="M19" s="242">
        <f t="shared" si="0"/>
        <v>0.47945205479452052</v>
      </c>
      <c r="N19" s="30">
        <v>44225</v>
      </c>
      <c r="O19" s="242">
        <f t="shared" si="1"/>
        <v>0.47945205479452052</v>
      </c>
      <c r="P19" s="30">
        <v>44224</v>
      </c>
      <c r="Q19" s="242">
        <f t="shared" si="2"/>
        <v>0.47671232876712327</v>
      </c>
      <c r="R19" s="30">
        <v>44225</v>
      </c>
      <c r="S19" s="242">
        <f t="shared" si="3"/>
        <v>0.47945205479452052</v>
      </c>
      <c r="T19" s="32" t="s">
        <v>2494</v>
      </c>
      <c r="U19" s="260" t="e">
        <f t="shared" si="4"/>
        <v>#VALUE!</v>
      </c>
      <c r="V19" s="32" t="s">
        <v>2494</v>
      </c>
      <c r="W19" s="260" t="e">
        <f t="shared" si="5"/>
        <v>#VALUE!</v>
      </c>
      <c r="X19" s="32" t="s">
        <v>2494</v>
      </c>
      <c r="Y19" s="260" t="e">
        <f t="shared" si="6"/>
        <v>#VALUE!</v>
      </c>
      <c r="Z19" s="32" t="s">
        <v>2494</v>
      </c>
      <c r="AA19" s="260" t="e">
        <f t="shared" si="7"/>
        <v>#VALUE!</v>
      </c>
      <c r="AB19" s="308">
        <v>1</v>
      </c>
      <c r="AC19">
        <v>2</v>
      </c>
      <c r="AD19" s="302"/>
      <c r="AE19" s="302"/>
      <c r="AF19" s="303"/>
      <c r="AG19" s="302"/>
      <c r="AH19" s="302"/>
      <c r="AI19" s="302"/>
      <c r="AJ19" s="304"/>
      <c r="AK19" s="304"/>
      <c r="AL19" s="306"/>
      <c r="AM19" s="306"/>
      <c r="AN19" s="307">
        <v>1</v>
      </c>
    </row>
    <row r="20" spans="1:40" ht="16">
      <c r="A20" s="9" t="s">
        <v>102</v>
      </c>
      <c r="B20" s="9">
        <v>22243391</v>
      </c>
      <c r="C20" s="9" t="s">
        <v>103</v>
      </c>
      <c r="D20" s="9" t="s">
        <v>104</v>
      </c>
      <c r="E20" s="9">
        <v>0</v>
      </c>
      <c r="F20" s="30">
        <v>44009</v>
      </c>
      <c r="G20" s="30">
        <v>44069</v>
      </c>
      <c r="H20" s="30">
        <v>44069</v>
      </c>
      <c r="I20" s="9" t="s">
        <v>105</v>
      </c>
      <c r="J20" s="12">
        <v>1288</v>
      </c>
      <c r="K20" s="59" t="s">
        <v>106</v>
      </c>
      <c r="L20" s="30">
        <v>44279</v>
      </c>
      <c r="M20" s="242">
        <f t="shared" si="0"/>
        <v>0.57534246575342463</v>
      </c>
      <c r="N20" s="30">
        <v>44279</v>
      </c>
      <c r="O20" s="242">
        <f t="shared" si="1"/>
        <v>0.57534246575342463</v>
      </c>
      <c r="P20" s="30">
        <v>44276</v>
      </c>
      <c r="Q20" s="242">
        <f t="shared" si="2"/>
        <v>0.56712328767123288</v>
      </c>
      <c r="R20" s="30">
        <v>44279</v>
      </c>
      <c r="S20" s="242">
        <f t="shared" si="3"/>
        <v>0.57534246575342463</v>
      </c>
      <c r="T20" s="32" t="s">
        <v>2494</v>
      </c>
      <c r="U20" s="260" t="e">
        <f t="shared" si="4"/>
        <v>#VALUE!</v>
      </c>
      <c r="V20" s="32" t="s">
        <v>2494</v>
      </c>
      <c r="W20" s="260" t="e">
        <f t="shared" si="5"/>
        <v>#VALUE!</v>
      </c>
      <c r="X20" s="32" t="s">
        <v>2494</v>
      </c>
      <c r="Y20" s="260" t="e">
        <f t="shared" si="6"/>
        <v>#VALUE!</v>
      </c>
      <c r="Z20" s="32" t="s">
        <v>2494</v>
      </c>
      <c r="AA20" s="260" t="e">
        <f t="shared" si="7"/>
        <v>#VALUE!</v>
      </c>
      <c r="AB20" s="308">
        <v>1</v>
      </c>
      <c r="AC20">
        <v>1</v>
      </c>
      <c r="AD20" s="302"/>
      <c r="AE20" s="302"/>
      <c r="AF20" s="303"/>
      <c r="AG20" s="302"/>
      <c r="AH20" s="302"/>
      <c r="AI20" s="302"/>
      <c r="AJ20" s="304"/>
      <c r="AK20" s="304"/>
      <c r="AL20" s="306"/>
      <c r="AM20" s="306"/>
      <c r="AN20" s="307">
        <v>0</v>
      </c>
    </row>
    <row r="21" spans="1:40" ht="16">
      <c r="A21" s="9" t="s">
        <v>107</v>
      </c>
      <c r="B21" s="9">
        <v>22103984</v>
      </c>
      <c r="C21" s="9" t="s">
        <v>108</v>
      </c>
      <c r="D21" s="9" t="s">
        <v>109</v>
      </c>
      <c r="E21" s="9">
        <v>0</v>
      </c>
      <c r="F21" s="30">
        <v>43964</v>
      </c>
      <c r="G21" s="30">
        <v>43970</v>
      </c>
      <c r="H21" s="30">
        <v>43964</v>
      </c>
      <c r="I21" s="9" t="s">
        <v>110</v>
      </c>
      <c r="J21" s="12">
        <v>3170</v>
      </c>
      <c r="K21" s="59" t="s">
        <v>111</v>
      </c>
      <c r="L21" s="30">
        <v>44211</v>
      </c>
      <c r="M21" s="242">
        <f t="shared" si="0"/>
        <v>0.67671232876712328</v>
      </c>
      <c r="N21" s="30">
        <v>44211</v>
      </c>
      <c r="O21" s="242">
        <f t="shared" si="1"/>
        <v>0.67671232876712328</v>
      </c>
      <c r="P21" s="30">
        <v>44210</v>
      </c>
      <c r="Q21" s="242">
        <f t="shared" si="2"/>
        <v>0.67397260273972603</v>
      </c>
      <c r="R21" s="30">
        <v>44211</v>
      </c>
      <c r="S21" s="242">
        <f t="shared" si="3"/>
        <v>0.67671232876712328</v>
      </c>
      <c r="T21" s="32" t="s">
        <v>2494</v>
      </c>
      <c r="U21" s="260" t="e">
        <f t="shared" si="4"/>
        <v>#VALUE!</v>
      </c>
      <c r="V21" s="32" t="s">
        <v>2494</v>
      </c>
      <c r="W21" s="260" t="e">
        <f t="shared" si="5"/>
        <v>#VALUE!</v>
      </c>
      <c r="X21" s="32" t="s">
        <v>2494</v>
      </c>
      <c r="Y21" s="260" t="e">
        <f t="shared" si="6"/>
        <v>#VALUE!</v>
      </c>
      <c r="Z21" s="32" t="s">
        <v>2494</v>
      </c>
      <c r="AA21" s="260" t="e">
        <f t="shared" si="7"/>
        <v>#VALUE!</v>
      </c>
      <c r="AB21" s="308">
        <v>0</v>
      </c>
      <c r="AC21">
        <v>0</v>
      </c>
      <c r="AD21" s="302"/>
      <c r="AE21" s="302"/>
      <c r="AF21" s="303"/>
      <c r="AG21" s="302"/>
      <c r="AH21" s="302"/>
      <c r="AI21" s="302"/>
      <c r="AJ21" s="304"/>
      <c r="AK21" s="304"/>
      <c r="AL21" s="306"/>
      <c r="AM21" s="306"/>
      <c r="AN21" s="307">
        <v>0</v>
      </c>
    </row>
    <row r="22" spans="1:40" ht="16">
      <c r="A22" s="9" t="s">
        <v>112</v>
      </c>
      <c r="B22" s="9">
        <v>21927677</v>
      </c>
      <c r="C22" s="9" t="s">
        <v>113</v>
      </c>
      <c r="D22" s="9" t="s">
        <v>114</v>
      </c>
      <c r="E22" s="9">
        <v>1</v>
      </c>
      <c r="F22" s="30">
        <v>43396</v>
      </c>
      <c r="G22" s="30">
        <v>43480</v>
      </c>
      <c r="H22" s="30">
        <v>43480</v>
      </c>
      <c r="I22" s="9" t="s">
        <v>49</v>
      </c>
      <c r="J22" s="12">
        <v>1275</v>
      </c>
      <c r="K22" s="59" t="s">
        <v>115</v>
      </c>
      <c r="L22" s="16" t="s">
        <v>1995</v>
      </c>
      <c r="M22" s="239" t="e">
        <f t="shared" si="0"/>
        <v>#VALUE!</v>
      </c>
      <c r="N22" s="16" t="s">
        <v>1995</v>
      </c>
      <c r="O22" s="239" t="e">
        <f t="shared" si="1"/>
        <v>#VALUE!</v>
      </c>
      <c r="P22" s="16" t="s">
        <v>1995</v>
      </c>
      <c r="Q22" s="239" t="e">
        <f t="shared" si="2"/>
        <v>#VALUE!</v>
      </c>
      <c r="R22" s="16" t="s">
        <v>1995</v>
      </c>
      <c r="S22" s="239" t="e">
        <f t="shared" si="3"/>
        <v>#VALUE!</v>
      </c>
      <c r="T22" s="48">
        <v>44218</v>
      </c>
      <c r="U22" s="243">
        <f t="shared" si="4"/>
        <v>2.021917808219178</v>
      </c>
      <c r="V22" s="19" t="s">
        <v>1959</v>
      </c>
      <c r="W22" s="243" t="e">
        <f t="shared" si="5"/>
        <v>#VALUE!</v>
      </c>
      <c r="X22" s="48">
        <v>44217</v>
      </c>
      <c r="Y22" s="243">
        <f t="shared" si="6"/>
        <v>2.0191780821917806</v>
      </c>
      <c r="Z22" s="48">
        <v>44218</v>
      </c>
      <c r="AA22" s="243">
        <f t="shared" si="7"/>
        <v>2.021917808219178</v>
      </c>
      <c r="AB22" s="308">
        <v>2</v>
      </c>
      <c r="AC22" s="308">
        <v>1</v>
      </c>
      <c r="AD22" s="299">
        <v>90</v>
      </c>
      <c r="AE22" s="299">
        <v>11.5</v>
      </c>
      <c r="AF22" s="298">
        <f>AE22/(AD22/100)^2</f>
        <v>14.19753086419753</v>
      </c>
      <c r="AG22" s="299">
        <v>18</v>
      </c>
      <c r="AH22" s="299">
        <v>76</v>
      </c>
      <c r="AI22" s="299">
        <v>1.3</v>
      </c>
      <c r="AJ22" s="301">
        <v>0</v>
      </c>
      <c r="AK22" s="301">
        <v>3</v>
      </c>
      <c r="AL22" s="305">
        <v>0</v>
      </c>
      <c r="AM22" s="305">
        <v>0</v>
      </c>
      <c r="AN22" s="307">
        <v>1</v>
      </c>
    </row>
    <row r="23" spans="1:40" ht="16">
      <c r="A23" s="9" t="s">
        <v>116</v>
      </c>
      <c r="B23" s="9">
        <v>22104757</v>
      </c>
      <c r="C23" s="9" t="s">
        <v>117</v>
      </c>
      <c r="D23" s="9" t="s">
        <v>118</v>
      </c>
      <c r="E23" s="9">
        <v>0</v>
      </c>
      <c r="F23" s="30">
        <v>44041</v>
      </c>
      <c r="G23" s="30">
        <v>44099</v>
      </c>
      <c r="H23" s="30">
        <v>44099</v>
      </c>
      <c r="I23" s="9" t="s">
        <v>119</v>
      </c>
      <c r="J23" s="12">
        <v>1450</v>
      </c>
      <c r="K23" s="59" t="s">
        <v>120</v>
      </c>
      <c r="L23" s="30">
        <v>44278</v>
      </c>
      <c r="M23" s="242">
        <f t="shared" si="0"/>
        <v>0.49041095890410957</v>
      </c>
      <c r="N23" s="30">
        <v>44278</v>
      </c>
      <c r="O23" s="242">
        <f t="shared" si="1"/>
        <v>0.49041095890410957</v>
      </c>
      <c r="P23" s="30">
        <v>44276</v>
      </c>
      <c r="Q23" s="242">
        <f t="shared" si="2"/>
        <v>0.48493150684931507</v>
      </c>
      <c r="R23" s="30">
        <v>44278</v>
      </c>
      <c r="S23" s="242">
        <f t="shared" si="3"/>
        <v>0.49041095890410957</v>
      </c>
      <c r="T23" s="32" t="s">
        <v>1955</v>
      </c>
      <c r="U23" s="248" t="e">
        <f t="shared" si="4"/>
        <v>#VALUE!</v>
      </c>
      <c r="V23" s="32" t="s">
        <v>1955</v>
      </c>
      <c r="W23" s="248" t="e">
        <f t="shared" si="5"/>
        <v>#VALUE!</v>
      </c>
      <c r="X23" s="32" t="s">
        <v>1955</v>
      </c>
      <c r="Y23" s="248" t="e">
        <f t="shared" si="6"/>
        <v>#VALUE!</v>
      </c>
      <c r="Z23" s="32" t="s">
        <v>1955</v>
      </c>
      <c r="AA23" s="248" t="e">
        <f t="shared" si="7"/>
        <v>#VALUE!</v>
      </c>
      <c r="AB23" s="308">
        <v>1</v>
      </c>
      <c r="AC23">
        <v>1</v>
      </c>
      <c r="AD23" s="302"/>
      <c r="AE23" s="302"/>
      <c r="AF23" s="303"/>
      <c r="AG23" s="302"/>
      <c r="AH23" s="302"/>
      <c r="AI23" s="302"/>
      <c r="AJ23" s="304"/>
      <c r="AK23" s="304"/>
      <c r="AL23" s="306"/>
      <c r="AM23" s="306"/>
      <c r="AN23" s="307">
        <v>0</v>
      </c>
    </row>
    <row r="24" spans="1:40" ht="16">
      <c r="A24" s="9" t="s">
        <v>121</v>
      </c>
      <c r="B24" s="9">
        <v>22104689</v>
      </c>
      <c r="C24" s="9" t="s">
        <v>122</v>
      </c>
      <c r="D24" s="9" t="s">
        <v>123</v>
      </c>
      <c r="E24" s="9">
        <v>0</v>
      </c>
      <c r="F24" s="30">
        <v>44035</v>
      </c>
      <c r="G24" s="30">
        <v>44042</v>
      </c>
      <c r="H24" s="30">
        <v>44035</v>
      </c>
      <c r="I24" s="9" t="s">
        <v>124</v>
      </c>
      <c r="J24" s="12">
        <v>2900</v>
      </c>
      <c r="K24" s="58" t="s">
        <v>125</v>
      </c>
      <c r="L24" s="30">
        <v>44232</v>
      </c>
      <c r="M24" s="242">
        <f t="shared" si="0"/>
        <v>0.53972602739726028</v>
      </c>
      <c r="N24" s="30">
        <v>44249</v>
      </c>
      <c r="O24" s="242">
        <f t="shared" si="1"/>
        <v>0.58630136986301373</v>
      </c>
      <c r="P24" s="30">
        <v>44247</v>
      </c>
      <c r="Q24" s="242">
        <f t="shared" si="2"/>
        <v>0.58082191780821912</v>
      </c>
      <c r="R24" s="30">
        <v>44232</v>
      </c>
      <c r="S24" s="242">
        <f t="shared" si="3"/>
        <v>0.53972602739726028</v>
      </c>
      <c r="T24" s="96">
        <v>44750</v>
      </c>
      <c r="U24" s="249">
        <f t="shared" si="4"/>
        <v>1.9589041095890412</v>
      </c>
      <c r="V24" s="96">
        <v>44793</v>
      </c>
      <c r="W24" s="249">
        <f t="shared" si="5"/>
        <v>2.0767123287671234</v>
      </c>
      <c r="X24" s="96">
        <v>44791</v>
      </c>
      <c r="Y24" s="249">
        <f t="shared" si="6"/>
        <v>2.0712328767123287</v>
      </c>
      <c r="Z24" s="96">
        <v>44750</v>
      </c>
      <c r="AA24" s="249">
        <f t="shared" si="7"/>
        <v>1.9589041095890412</v>
      </c>
      <c r="AB24" s="308">
        <v>0</v>
      </c>
      <c r="AC24">
        <v>0</v>
      </c>
      <c r="AD24" s="299">
        <v>82.6</v>
      </c>
      <c r="AE24" s="299">
        <v>10.5</v>
      </c>
      <c r="AF24" s="298">
        <f t="shared" ref="AF24:AF29" si="8">AE24/(AD24/100)^2</f>
        <v>15.38966635203349</v>
      </c>
      <c r="AG24" s="299">
        <v>10</v>
      </c>
      <c r="AH24" s="299">
        <v>22</v>
      </c>
      <c r="AI24" s="299">
        <v>21.9</v>
      </c>
      <c r="AJ24" s="301">
        <v>0</v>
      </c>
      <c r="AK24" s="301">
        <v>0</v>
      </c>
      <c r="AL24" s="305">
        <v>2</v>
      </c>
      <c r="AM24" s="305">
        <v>0</v>
      </c>
      <c r="AN24" s="307">
        <v>0</v>
      </c>
    </row>
    <row r="25" spans="1:40" ht="16">
      <c r="A25" s="9" t="s">
        <v>126</v>
      </c>
      <c r="B25" s="9">
        <v>22264557</v>
      </c>
      <c r="C25" s="9" t="s">
        <v>127</v>
      </c>
      <c r="D25" s="9" t="s">
        <v>128</v>
      </c>
      <c r="E25" s="9">
        <v>0</v>
      </c>
      <c r="F25" s="30">
        <v>44036</v>
      </c>
      <c r="G25" s="30">
        <v>44043</v>
      </c>
      <c r="H25" s="30">
        <v>44036</v>
      </c>
      <c r="I25" s="9" t="s">
        <v>129</v>
      </c>
      <c r="J25" s="12">
        <v>2760</v>
      </c>
      <c r="K25" s="58" t="s">
        <v>130</v>
      </c>
      <c r="L25" s="48">
        <v>44264</v>
      </c>
      <c r="M25" s="243">
        <f t="shared" si="0"/>
        <v>0.62465753424657533</v>
      </c>
      <c r="N25" s="48">
        <v>44264</v>
      </c>
      <c r="O25" s="243">
        <f t="shared" si="1"/>
        <v>0.62465753424657533</v>
      </c>
      <c r="P25" s="49" t="s">
        <v>1680</v>
      </c>
      <c r="Q25" s="245" t="e">
        <f t="shared" si="2"/>
        <v>#VALUE!</v>
      </c>
      <c r="R25" s="48">
        <v>44264</v>
      </c>
      <c r="S25" s="243">
        <f t="shared" si="3"/>
        <v>0.62465753424657533</v>
      </c>
      <c r="T25" s="96">
        <v>44995</v>
      </c>
      <c r="U25" s="249">
        <f t="shared" si="4"/>
        <v>2.6273972602739728</v>
      </c>
      <c r="V25" s="96">
        <v>44994</v>
      </c>
      <c r="W25" s="249">
        <f t="shared" si="5"/>
        <v>2.6246575342465754</v>
      </c>
      <c r="X25" s="96">
        <v>44994</v>
      </c>
      <c r="Y25" s="249">
        <f t="shared" si="6"/>
        <v>2.6246575342465754</v>
      </c>
      <c r="Z25" s="96">
        <v>44995</v>
      </c>
      <c r="AA25" s="249">
        <f t="shared" si="7"/>
        <v>2.6273972602739728</v>
      </c>
      <c r="AB25" s="308">
        <v>0</v>
      </c>
      <c r="AC25">
        <v>0</v>
      </c>
      <c r="AD25" s="299">
        <v>93.1</v>
      </c>
      <c r="AE25" s="299">
        <v>15.2</v>
      </c>
      <c r="AF25" s="298">
        <f t="shared" si="8"/>
        <v>17.53655275214275</v>
      </c>
      <c r="AG25" s="299">
        <v>87.7</v>
      </c>
      <c r="AH25" s="299">
        <v>70</v>
      </c>
      <c r="AI25" s="299">
        <v>86.4</v>
      </c>
      <c r="AJ25" s="301">
        <v>1</v>
      </c>
      <c r="AK25" s="301">
        <v>1</v>
      </c>
      <c r="AL25" s="305">
        <v>2</v>
      </c>
      <c r="AM25" s="305">
        <v>0</v>
      </c>
      <c r="AN25" s="307">
        <v>0</v>
      </c>
    </row>
    <row r="26" spans="1:40" ht="16">
      <c r="A26" s="9" t="s">
        <v>131</v>
      </c>
      <c r="B26" s="9">
        <v>22104829</v>
      </c>
      <c r="C26" s="50" t="s">
        <v>132</v>
      </c>
      <c r="D26" s="9" t="s">
        <v>133</v>
      </c>
      <c r="E26" s="9">
        <v>1</v>
      </c>
      <c r="F26" s="30">
        <v>44049</v>
      </c>
      <c r="G26" s="30">
        <v>44114</v>
      </c>
      <c r="H26" s="30">
        <v>44114</v>
      </c>
      <c r="I26" s="9" t="s">
        <v>134</v>
      </c>
      <c r="J26" s="12">
        <v>1410</v>
      </c>
      <c r="K26" s="58" t="s">
        <v>135</v>
      </c>
      <c r="L26" s="30">
        <v>44292</v>
      </c>
      <c r="M26" s="242">
        <f t="shared" si="0"/>
        <v>0.48767123287671232</v>
      </c>
      <c r="N26" s="30">
        <v>44292</v>
      </c>
      <c r="O26" s="242">
        <f t="shared" si="1"/>
        <v>0.48767123287671232</v>
      </c>
      <c r="P26" s="30">
        <v>44290</v>
      </c>
      <c r="Q26" s="242">
        <f t="shared" si="2"/>
        <v>0.48219178082191783</v>
      </c>
      <c r="R26" s="30">
        <v>44292</v>
      </c>
      <c r="S26" s="242">
        <f t="shared" si="3"/>
        <v>0.48767123287671232</v>
      </c>
      <c r="T26" s="96" t="s">
        <v>2214</v>
      </c>
      <c r="U26" s="249" t="e">
        <f t="shared" si="4"/>
        <v>#VALUE!</v>
      </c>
      <c r="V26" s="96">
        <v>44851</v>
      </c>
      <c r="W26" s="249">
        <f t="shared" si="5"/>
        <v>2.0191780821917806</v>
      </c>
      <c r="X26" s="96">
        <v>44846</v>
      </c>
      <c r="Y26" s="249">
        <f t="shared" si="6"/>
        <v>2.0054794520547947</v>
      </c>
      <c r="Z26" s="96">
        <v>44851</v>
      </c>
      <c r="AA26" s="249">
        <f t="shared" si="7"/>
        <v>2.0191780821917806</v>
      </c>
      <c r="AB26" s="308">
        <v>1</v>
      </c>
      <c r="AC26">
        <v>1</v>
      </c>
      <c r="AD26" s="299">
        <v>88.1</v>
      </c>
      <c r="AE26" s="299">
        <v>12.3</v>
      </c>
      <c r="AF26" s="298">
        <f t="shared" si="8"/>
        <v>15.847227572629912</v>
      </c>
      <c r="AG26" s="299">
        <v>32.799999999999997</v>
      </c>
      <c r="AH26" s="299">
        <v>53.5</v>
      </c>
      <c r="AI26" s="299">
        <v>30.3</v>
      </c>
      <c r="AJ26" s="301">
        <v>1</v>
      </c>
      <c r="AK26" s="301">
        <v>1</v>
      </c>
      <c r="AL26" s="305">
        <v>0</v>
      </c>
      <c r="AM26" s="305">
        <v>0</v>
      </c>
      <c r="AN26" s="307">
        <v>0</v>
      </c>
    </row>
    <row r="27" spans="1:40" ht="16">
      <c r="A27" s="9" t="s">
        <v>136</v>
      </c>
      <c r="B27" s="9">
        <v>22105033</v>
      </c>
      <c r="C27" s="9" t="s">
        <v>137</v>
      </c>
      <c r="D27" s="9" t="s">
        <v>138</v>
      </c>
      <c r="E27" s="9">
        <v>0</v>
      </c>
      <c r="F27" s="30">
        <v>44067</v>
      </c>
      <c r="G27" s="30">
        <v>44134</v>
      </c>
      <c r="H27" s="30">
        <v>44134</v>
      </c>
      <c r="I27" s="9" t="s">
        <v>139</v>
      </c>
      <c r="J27" s="12">
        <v>1850</v>
      </c>
      <c r="K27" s="59" t="s">
        <v>140</v>
      </c>
      <c r="L27" s="30">
        <v>44302</v>
      </c>
      <c r="M27" s="242">
        <f t="shared" si="0"/>
        <v>0.46027397260273972</v>
      </c>
      <c r="N27" s="30">
        <v>44435</v>
      </c>
      <c r="O27" s="242">
        <f t="shared" si="1"/>
        <v>0.8246575342465754</v>
      </c>
      <c r="P27" s="30">
        <v>44299</v>
      </c>
      <c r="Q27" s="242">
        <f t="shared" si="2"/>
        <v>0.45205479452054792</v>
      </c>
      <c r="R27" s="30">
        <v>44435</v>
      </c>
      <c r="S27" s="242">
        <f t="shared" si="3"/>
        <v>0.8246575342465754</v>
      </c>
      <c r="T27" s="48">
        <v>44901</v>
      </c>
      <c r="U27" s="243">
        <f t="shared" si="4"/>
        <v>2.1013698630136988</v>
      </c>
      <c r="V27" s="51" t="s">
        <v>1720</v>
      </c>
      <c r="W27" s="254" t="e">
        <f t="shared" si="5"/>
        <v>#VALUE!</v>
      </c>
      <c r="X27" s="51" t="s">
        <v>1720</v>
      </c>
      <c r="Y27" s="254" t="e">
        <f t="shared" si="6"/>
        <v>#VALUE!</v>
      </c>
      <c r="Z27" s="48">
        <v>44901</v>
      </c>
      <c r="AA27" s="243">
        <f t="shared" si="7"/>
        <v>2.1013698630136988</v>
      </c>
      <c r="AB27" s="308">
        <v>1</v>
      </c>
      <c r="AC27">
        <v>1</v>
      </c>
      <c r="AD27" s="315">
        <v>92.5</v>
      </c>
      <c r="AE27" s="315">
        <v>14.9</v>
      </c>
      <c r="AF27" s="316">
        <f t="shared" si="8"/>
        <v>17.414170927684442</v>
      </c>
      <c r="AG27" s="315">
        <v>92</v>
      </c>
      <c r="AH27" s="315">
        <v>85</v>
      </c>
      <c r="AI27" s="315">
        <v>79.8</v>
      </c>
      <c r="AJ27" s="304"/>
      <c r="AK27" s="304"/>
      <c r="AL27" s="306"/>
      <c r="AM27" s="306"/>
      <c r="AN27" s="307">
        <v>0</v>
      </c>
    </row>
    <row r="28" spans="1:40" ht="16">
      <c r="A28" s="9" t="s">
        <v>141</v>
      </c>
      <c r="B28" s="9">
        <v>22104898</v>
      </c>
      <c r="C28" s="265" t="s">
        <v>2506</v>
      </c>
      <c r="D28" s="9" t="s">
        <v>143</v>
      </c>
      <c r="E28" s="9">
        <v>0</v>
      </c>
      <c r="F28" s="30">
        <v>44055</v>
      </c>
      <c r="G28" s="30">
        <v>44142</v>
      </c>
      <c r="H28" s="30">
        <v>44142</v>
      </c>
      <c r="I28" s="9" t="s">
        <v>144</v>
      </c>
      <c r="J28" s="12">
        <v>900</v>
      </c>
      <c r="K28" s="58" t="s">
        <v>145</v>
      </c>
      <c r="L28" s="30">
        <v>44326</v>
      </c>
      <c r="M28" s="242">
        <f t="shared" si="0"/>
        <v>0.50410958904109593</v>
      </c>
      <c r="N28" s="30">
        <v>44326</v>
      </c>
      <c r="O28" s="242">
        <f t="shared" si="1"/>
        <v>0.50410958904109593</v>
      </c>
      <c r="P28" s="30">
        <v>44325</v>
      </c>
      <c r="Q28" s="242">
        <f t="shared" si="2"/>
        <v>0.50136986301369868</v>
      </c>
      <c r="R28" s="30">
        <v>44326</v>
      </c>
      <c r="S28" s="242">
        <f t="shared" si="3"/>
        <v>0.50410958904109593</v>
      </c>
      <c r="T28" s="96">
        <v>44887</v>
      </c>
      <c r="U28" s="249">
        <f t="shared" si="4"/>
        <v>2.0410958904109591</v>
      </c>
      <c r="V28" s="96">
        <v>44935</v>
      </c>
      <c r="W28" s="249">
        <f t="shared" si="5"/>
        <v>2.1726027397260275</v>
      </c>
      <c r="X28" s="96">
        <v>44934</v>
      </c>
      <c r="Y28" s="249">
        <f t="shared" si="6"/>
        <v>2.1698630136986301</v>
      </c>
      <c r="Z28" s="96">
        <v>44887</v>
      </c>
      <c r="AA28" s="249">
        <f t="shared" si="7"/>
        <v>2.0410958904109591</v>
      </c>
      <c r="AB28" s="308">
        <v>2</v>
      </c>
      <c r="AC28">
        <v>2</v>
      </c>
      <c r="AD28" s="299">
        <v>82.6</v>
      </c>
      <c r="AE28" s="299">
        <v>9</v>
      </c>
      <c r="AF28" s="298">
        <f t="shared" si="8"/>
        <v>13.191142587457277</v>
      </c>
      <c r="AG28" s="299">
        <v>0</v>
      </c>
      <c r="AH28" s="299">
        <v>12.3</v>
      </c>
      <c r="AI28" s="299">
        <v>0.2</v>
      </c>
      <c r="AJ28" s="301">
        <v>0</v>
      </c>
      <c r="AK28" s="301">
        <v>3</v>
      </c>
      <c r="AL28" s="305">
        <v>2</v>
      </c>
      <c r="AM28" s="305">
        <v>0</v>
      </c>
      <c r="AN28" s="307">
        <v>1</v>
      </c>
    </row>
    <row r="29" spans="1:40" ht="16">
      <c r="A29" s="9" t="s">
        <v>146</v>
      </c>
      <c r="B29" s="9">
        <v>22104899</v>
      </c>
      <c r="C29" s="265" t="s">
        <v>2507</v>
      </c>
      <c r="D29" s="9" t="s">
        <v>143</v>
      </c>
      <c r="E29" s="9">
        <v>0</v>
      </c>
      <c r="F29" s="30">
        <v>44055</v>
      </c>
      <c r="G29" s="30">
        <v>44142</v>
      </c>
      <c r="H29" s="30">
        <v>44142</v>
      </c>
      <c r="I29" s="9" t="s">
        <v>144</v>
      </c>
      <c r="J29" s="12">
        <v>925</v>
      </c>
      <c r="K29" s="58" t="s">
        <v>145</v>
      </c>
      <c r="L29" s="30">
        <v>44421</v>
      </c>
      <c r="M29" s="242">
        <f t="shared" si="0"/>
        <v>0.76438356164383559</v>
      </c>
      <c r="N29" s="30">
        <v>44424</v>
      </c>
      <c r="O29" s="242">
        <f t="shared" si="1"/>
        <v>0.77260273972602744</v>
      </c>
      <c r="P29" s="30">
        <v>44326</v>
      </c>
      <c r="Q29" s="242">
        <f t="shared" si="2"/>
        <v>0.50410958904109593</v>
      </c>
      <c r="R29" s="30">
        <v>44326</v>
      </c>
      <c r="S29" s="242">
        <f t="shared" si="3"/>
        <v>0.50410958904109593</v>
      </c>
      <c r="T29" s="96">
        <v>44887</v>
      </c>
      <c r="U29" s="249">
        <f t="shared" si="4"/>
        <v>2.0410958904109591</v>
      </c>
      <c r="V29" s="96">
        <v>44934</v>
      </c>
      <c r="W29" s="249">
        <f t="shared" si="5"/>
        <v>2.1698630136986301</v>
      </c>
      <c r="X29" s="96">
        <v>44934</v>
      </c>
      <c r="Y29" s="249">
        <f t="shared" si="6"/>
        <v>2.1698630136986301</v>
      </c>
      <c r="Z29" s="96">
        <v>44887</v>
      </c>
      <c r="AA29" s="249">
        <f t="shared" si="7"/>
        <v>2.0410958904109591</v>
      </c>
      <c r="AB29" s="308">
        <v>2</v>
      </c>
      <c r="AC29">
        <v>2</v>
      </c>
      <c r="AD29" s="299">
        <v>85.2</v>
      </c>
      <c r="AE29" s="299">
        <v>10</v>
      </c>
      <c r="AF29" s="298">
        <f t="shared" si="8"/>
        <v>13.775926293283961</v>
      </c>
      <c r="AG29" s="299">
        <v>1.7</v>
      </c>
      <c r="AH29" s="299">
        <v>33.200000000000003</v>
      </c>
      <c r="AI29" s="299">
        <v>1.4</v>
      </c>
      <c r="AJ29" s="301">
        <v>0</v>
      </c>
      <c r="AK29" s="301">
        <v>3</v>
      </c>
      <c r="AL29" s="305">
        <v>2</v>
      </c>
      <c r="AM29" s="305">
        <v>0</v>
      </c>
      <c r="AN29" s="307">
        <v>1</v>
      </c>
    </row>
    <row r="30" spans="1:40" ht="16">
      <c r="A30" s="9" t="s">
        <v>148</v>
      </c>
      <c r="B30" s="9">
        <v>22103889</v>
      </c>
      <c r="C30" s="9" t="s">
        <v>149</v>
      </c>
      <c r="D30" s="9" t="s">
        <v>150</v>
      </c>
      <c r="E30" s="9">
        <v>0</v>
      </c>
      <c r="F30" s="30">
        <v>43954</v>
      </c>
      <c r="G30" s="30">
        <v>44024</v>
      </c>
      <c r="H30" s="30">
        <v>44024</v>
      </c>
      <c r="I30" s="9" t="s">
        <v>44</v>
      </c>
      <c r="J30" s="12">
        <v>1530</v>
      </c>
      <c r="K30" s="59" t="s">
        <v>151</v>
      </c>
      <c r="L30" s="30">
        <v>44250</v>
      </c>
      <c r="M30" s="242">
        <f t="shared" si="0"/>
        <v>0.61917808219178083</v>
      </c>
      <c r="N30" s="30">
        <v>44253</v>
      </c>
      <c r="O30" s="242">
        <f t="shared" si="1"/>
        <v>0.62739726027397258</v>
      </c>
      <c r="P30" s="30">
        <v>44251</v>
      </c>
      <c r="Q30" s="242">
        <f t="shared" si="2"/>
        <v>0.62191780821917808</v>
      </c>
      <c r="R30" s="30">
        <v>44250</v>
      </c>
      <c r="S30" s="242">
        <f t="shared" si="3"/>
        <v>0.61917808219178083</v>
      </c>
      <c r="T30" s="32" t="s">
        <v>2494</v>
      </c>
      <c r="U30" s="260" t="e">
        <f t="shared" si="4"/>
        <v>#VALUE!</v>
      </c>
      <c r="V30" s="32" t="s">
        <v>2494</v>
      </c>
      <c r="W30" s="260" t="e">
        <f t="shared" si="5"/>
        <v>#VALUE!</v>
      </c>
      <c r="X30" s="32" t="s">
        <v>2494</v>
      </c>
      <c r="Y30" s="260" t="e">
        <f t="shared" si="6"/>
        <v>#VALUE!</v>
      </c>
      <c r="Z30" s="32" t="s">
        <v>2494</v>
      </c>
      <c r="AA30" s="260" t="e">
        <f t="shared" si="7"/>
        <v>#VALUE!</v>
      </c>
      <c r="AB30" s="308">
        <v>1</v>
      </c>
      <c r="AC30">
        <v>1</v>
      </c>
      <c r="AD30" s="302"/>
      <c r="AE30" s="302"/>
      <c r="AF30" s="303"/>
      <c r="AG30" s="302"/>
      <c r="AH30" s="302"/>
      <c r="AI30" s="302"/>
      <c r="AJ30" s="304"/>
      <c r="AK30" s="304"/>
      <c r="AL30" s="306"/>
      <c r="AM30" s="306"/>
      <c r="AN30" s="307">
        <v>0</v>
      </c>
    </row>
    <row r="31" spans="1:40" ht="16">
      <c r="A31" s="9" t="s">
        <v>152</v>
      </c>
      <c r="B31" s="9">
        <v>22105253</v>
      </c>
      <c r="C31" s="9" t="s">
        <v>153</v>
      </c>
      <c r="D31" s="9" t="s">
        <v>154</v>
      </c>
      <c r="E31" s="9">
        <v>0</v>
      </c>
      <c r="F31" s="30">
        <v>44088</v>
      </c>
      <c r="G31" s="30">
        <v>44097</v>
      </c>
      <c r="H31" s="30">
        <v>44088</v>
      </c>
      <c r="I31" s="9" t="s">
        <v>155</v>
      </c>
      <c r="J31" s="12">
        <v>2980</v>
      </c>
      <c r="K31" s="59" t="s">
        <v>156</v>
      </c>
      <c r="L31" s="48">
        <v>44280</v>
      </c>
      <c r="M31" s="243">
        <f t="shared" si="0"/>
        <v>0.52602739726027392</v>
      </c>
      <c r="N31" s="48">
        <v>44280</v>
      </c>
      <c r="O31" s="243">
        <f t="shared" si="1"/>
        <v>0.52602739726027392</v>
      </c>
      <c r="P31" s="48">
        <v>44280</v>
      </c>
      <c r="Q31" s="243">
        <f t="shared" si="2"/>
        <v>0.52602739726027392</v>
      </c>
      <c r="R31" s="19" t="s">
        <v>1693</v>
      </c>
      <c r="S31" s="243" t="e">
        <f t="shared" si="3"/>
        <v>#VALUE!</v>
      </c>
      <c r="T31" s="32" t="s">
        <v>1955</v>
      </c>
      <c r="U31" s="248" t="e">
        <f t="shared" si="4"/>
        <v>#VALUE!</v>
      </c>
      <c r="V31" s="32" t="s">
        <v>1955</v>
      </c>
      <c r="W31" s="248" t="e">
        <f t="shared" si="5"/>
        <v>#VALUE!</v>
      </c>
      <c r="X31" s="32" t="s">
        <v>1955</v>
      </c>
      <c r="Y31" s="248" t="e">
        <f t="shared" si="6"/>
        <v>#VALUE!</v>
      </c>
      <c r="Z31" s="32" t="s">
        <v>1955</v>
      </c>
      <c r="AA31" s="248" t="e">
        <f t="shared" si="7"/>
        <v>#VALUE!</v>
      </c>
      <c r="AB31" s="308">
        <v>0</v>
      </c>
      <c r="AC31">
        <v>0</v>
      </c>
      <c r="AD31" s="302"/>
      <c r="AE31" s="302"/>
      <c r="AF31" s="303"/>
      <c r="AG31" s="302"/>
      <c r="AH31" s="302"/>
      <c r="AI31" s="302"/>
      <c r="AJ31" s="304"/>
      <c r="AK31" s="304"/>
      <c r="AL31" s="306"/>
      <c r="AM31" s="306"/>
      <c r="AN31" s="307">
        <v>0</v>
      </c>
    </row>
    <row r="32" spans="1:40" ht="16">
      <c r="A32" s="9" t="s">
        <v>2661</v>
      </c>
      <c r="B32" s="9">
        <v>22239382</v>
      </c>
      <c r="C32" s="9" t="s">
        <v>158</v>
      </c>
      <c r="D32" s="9" t="s">
        <v>159</v>
      </c>
      <c r="E32" s="9">
        <v>1</v>
      </c>
      <c r="F32" s="30">
        <v>44206</v>
      </c>
      <c r="G32" s="30">
        <v>44222</v>
      </c>
      <c r="H32" s="30">
        <v>44206</v>
      </c>
      <c r="I32" s="9" t="s">
        <v>160</v>
      </c>
      <c r="J32" s="12">
        <v>2695</v>
      </c>
      <c r="K32" s="58" t="s">
        <v>161</v>
      </c>
      <c r="L32" s="19" t="s">
        <v>18</v>
      </c>
      <c r="M32" s="243" t="e">
        <f t="shared" si="0"/>
        <v>#VALUE!</v>
      </c>
      <c r="N32" s="48">
        <v>44425</v>
      </c>
      <c r="O32" s="243">
        <f t="shared" si="1"/>
        <v>0.6</v>
      </c>
      <c r="P32" s="48">
        <v>44425</v>
      </c>
      <c r="Q32" s="243">
        <f t="shared" si="2"/>
        <v>0.6</v>
      </c>
      <c r="R32" s="48">
        <v>44425</v>
      </c>
      <c r="S32" s="243">
        <f t="shared" si="3"/>
        <v>0.6</v>
      </c>
      <c r="T32" s="96">
        <v>45077</v>
      </c>
      <c r="U32" s="249">
        <f t="shared" si="4"/>
        <v>2.3863013698630136</v>
      </c>
      <c r="V32" s="96">
        <v>45077</v>
      </c>
      <c r="W32" s="249">
        <f t="shared" si="5"/>
        <v>2.3863013698630136</v>
      </c>
      <c r="X32" s="96">
        <v>45075</v>
      </c>
      <c r="Y32" s="249">
        <f t="shared" si="6"/>
        <v>2.3808219178082193</v>
      </c>
      <c r="Z32" s="96">
        <v>45077</v>
      </c>
      <c r="AA32" s="249">
        <f t="shared" si="7"/>
        <v>2.3863013698630136</v>
      </c>
      <c r="AB32" s="308">
        <v>0</v>
      </c>
      <c r="AC32">
        <v>0</v>
      </c>
      <c r="AD32" s="299">
        <v>89.1</v>
      </c>
      <c r="AE32" s="299">
        <v>12.6</v>
      </c>
      <c r="AF32" s="298">
        <f>AE32/(AD32/100)^2</f>
        <v>15.871396342776817</v>
      </c>
      <c r="AG32" s="299">
        <v>30.9</v>
      </c>
      <c r="AH32" s="299">
        <v>40.799999999999997</v>
      </c>
      <c r="AI32" s="299">
        <v>34.799999999999997</v>
      </c>
      <c r="AJ32" s="301">
        <v>0</v>
      </c>
      <c r="AK32" s="301">
        <v>1</v>
      </c>
      <c r="AL32" s="305">
        <v>2</v>
      </c>
      <c r="AM32" s="305">
        <v>2</v>
      </c>
      <c r="AN32" s="307">
        <v>0</v>
      </c>
    </row>
    <row r="33" spans="1:40" ht="16">
      <c r="A33" s="9" t="s">
        <v>162</v>
      </c>
      <c r="B33" s="9">
        <v>22104618</v>
      </c>
      <c r="C33" s="9" t="s">
        <v>163</v>
      </c>
      <c r="D33" s="9" t="s">
        <v>164</v>
      </c>
      <c r="E33" s="9">
        <v>1</v>
      </c>
      <c r="F33" s="30">
        <v>44028</v>
      </c>
      <c r="G33" s="30">
        <v>44120</v>
      </c>
      <c r="H33" s="30">
        <v>44120</v>
      </c>
      <c r="I33" s="9" t="s">
        <v>165</v>
      </c>
      <c r="J33" s="12">
        <v>860</v>
      </c>
      <c r="K33" s="59" t="s">
        <v>166</v>
      </c>
      <c r="L33" s="30">
        <v>44292</v>
      </c>
      <c r="M33" s="242">
        <f t="shared" si="0"/>
        <v>0.47123287671232877</v>
      </c>
      <c r="N33" s="30">
        <v>44292</v>
      </c>
      <c r="O33" s="242">
        <f t="shared" si="1"/>
        <v>0.47123287671232877</v>
      </c>
      <c r="P33" s="30">
        <v>44291</v>
      </c>
      <c r="Q33" s="242">
        <f t="shared" si="2"/>
        <v>0.46849315068493153</v>
      </c>
      <c r="R33" s="30">
        <v>44292</v>
      </c>
      <c r="S33" s="242">
        <f t="shared" si="3"/>
        <v>0.47123287671232877</v>
      </c>
      <c r="T33" s="32" t="s">
        <v>2494</v>
      </c>
      <c r="U33" s="260" t="e">
        <f t="shared" si="4"/>
        <v>#VALUE!</v>
      </c>
      <c r="V33" s="32" t="s">
        <v>2494</v>
      </c>
      <c r="W33" s="260" t="e">
        <f t="shared" si="5"/>
        <v>#VALUE!</v>
      </c>
      <c r="X33" s="32" t="s">
        <v>2494</v>
      </c>
      <c r="Y33" s="260" t="e">
        <f t="shared" si="6"/>
        <v>#VALUE!</v>
      </c>
      <c r="Z33" s="32" t="s">
        <v>2494</v>
      </c>
      <c r="AA33" s="260" t="e">
        <f t="shared" si="7"/>
        <v>#VALUE!</v>
      </c>
      <c r="AB33" s="308">
        <v>2</v>
      </c>
      <c r="AC33">
        <v>2</v>
      </c>
      <c r="AD33" s="302"/>
      <c r="AE33" s="302"/>
      <c r="AF33" s="303"/>
      <c r="AG33" s="302"/>
      <c r="AH33" s="302"/>
      <c r="AI33" s="302"/>
      <c r="AJ33" s="304"/>
      <c r="AK33" s="304"/>
      <c r="AL33" s="306"/>
      <c r="AM33" s="306"/>
      <c r="AN33" s="307">
        <v>1</v>
      </c>
    </row>
    <row r="34" spans="1:40" ht="16">
      <c r="A34" s="2" t="s">
        <v>167</v>
      </c>
      <c r="B34" s="2">
        <v>4997153</v>
      </c>
      <c r="C34" s="2" t="s">
        <v>168</v>
      </c>
      <c r="D34" s="2" t="s">
        <v>169</v>
      </c>
      <c r="E34" s="2">
        <v>0</v>
      </c>
      <c r="F34" s="23">
        <v>43563</v>
      </c>
      <c r="G34" s="23">
        <v>43557</v>
      </c>
      <c r="H34" s="23">
        <v>43563</v>
      </c>
      <c r="I34" s="2" t="s">
        <v>170</v>
      </c>
      <c r="J34" s="4">
        <v>3560</v>
      </c>
      <c r="K34" s="27" t="s">
        <v>171</v>
      </c>
      <c r="L34" s="16" t="s">
        <v>1995</v>
      </c>
      <c r="M34" s="239" t="e">
        <f t="shared" si="0"/>
        <v>#VALUE!</v>
      </c>
      <c r="N34" s="16" t="s">
        <v>1995</v>
      </c>
      <c r="O34" s="239" t="e">
        <f t="shared" si="1"/>
        <v>#VALUE!</v>
      </c>
      <c r="P34" s="16" t="s">
        <v>1995</v>
      </c>
      <c r="Q34" s="239" t="e">
        <f t="shared" si="2"/>
        <v>#VALUE!</v>
      </c>
      <c r="R34" s="16" t="s">
        <v>1995</v>
      </c>
      <c r="S34" s="239" t="e">
        <f t="shared" si="3"/>
        <v>#VALUE!</v>
      </c>
      <c r="T34" s="96">
        <v>44271</v>
      </c>
      <c r="U34" s="249">
        <f t="shared" si="4"/>
        <v>1.9397260273972603</v>
      </c>
      <c r="V34" s="96">
        <v>44331</v>
      </c>
      <c r="W34" s="249">
        <f t="shared" si="5"/>
        <v>2.1041095890410957</v>
      </c>
      <c r="X34" s="96">
        <v>44330</v>
      </c>
      <c r="Y34" s="249">
        <f t="shared" si="6"/>
        <v>2.1013698630136988</v>
      </c>
      <c r="Z34" s="96">
        <v>44271</v>
      </c>
      <c r="AA34" s="249">
        <f t="shared" si="7"/>
        <v>1.9397260273972603</v>
      </c>
      <c r="AB34" s="308">
        <v>0</v>
      </c>
      <c r="AC34">
        <v>0</v>
      </c>
      <c r="AD34" s="299">
        <v>88</v>
      </c>
      <c r="AE34" s="299">
        <v>12</v>
      </c>
      <c r="AF34" s="298">
        <f>AE34/(AD34/100)^2</f>
        <v>15.495867768595042</v>
      </c>
      <c r="AG34" s="299">
        <v>52</v>
      </c>
      <c r="AH34" s="299">
        <v>80</v>
      </c>
      <c r="AI34" s="299">
        <v>24.7</v>
      </c>
      <c r="AJ34" s="301">
        <v>0</v>
      </c>
      <c r="AK34" s="301">
        <v>3</v>
      </c>
      <c r="AL34" s="305">
        <v>2</v>
      </c>
      <c r="AM34" s="305">
        <v>0</v>
      </c>
      <c r="AN34" s="307">
        <v>0</v>
      </c>
    </row>
    <row r="35" spans="1:40" ht="16">
      <c r="A35" s="2" t="s">
        <v>172</v>
      </c>
      <c r="B35" s="2">
        <v>21926144</v>
      </c>
      <c r="C35" s="2" t="s">
        <v>173</v>
      </c>
      <c r="D35" s="2" t="s">
        <v>174</v>
      </c>
      <c r="E35" s="2">
        <v>0</v>
      </c>
      <c r="F35" s="23">
        <v>43245</v>
      </c>
      <c r="G35" s="23">
        <v>43335</v>
      </c>
      <c r="H35" s="23">
        <v>43335</v>
      </c>
      <c r="I35" s="2" t="s">
        <v>175</v>
      </c>
      <c r="J35" s="4">
        <v>530</v>
      </c>
      <c r="K35" s="27" t="s">
        <v>176</v>
      </c>
      <c r="L35" s="16" t="s">
        <v>1995</v>
      </c>
      <c r="M35" s="239" t="e">
        <f t="shared" si="0"/>
        <v>#VALUE!</v>
      </c>
      <c r="N35" s="16" t="s">
        <v>1995</v>
      </c>
      <c r="O35" s="239" t="e">
        <f t="shared" si="1"/>
        <v>#VALUE!</v>
      </c>
      <c r="P35" s="16" t="s">
        <v>1995</v>
      </c>
      <c r="Q35" s="239" t="e">
        <f t="shared" si="2"/>
        <v>#VALUE!</v>
      </c>
      <c r="R35" s="16" t="s">
        <v>1995</v>
      </c>
      <c r="S35" s="239" t="e">
        <f t="shared" si="3"/>
        <v>#VALUE!</v>
      </c>
      <c r="T35" s="96">
        <v>44272</v>
      </c>
      <c r="U35" s="249">
        <f t="shared" si="4"/>
        <v>2.5671232876712327</v>
      </c>
      <c r="V35" s="96">
        <v>44274</v>
      </c>
      <c r="W35" s="249">
        <f t="shared" si="5"/>
        <v>2.5726027397260274</v>
      </c>
      <c r="X35" s="96">
        <v>44274</v>
      </c>
      <c r="Y35" s="249">
        <f t="shared" si="6"/>
        <v>2.5726027397260274</v>
      </c>
      <c r="Z35" s="96">
        <v>44272</v>
      </c>
      <c r="AA35" s="249">
        <f t="shared" si="7"/>
        <v>2.5671232876712327</v>
      </c>
      <c r="AB35" s="308">
        <v>2</v>
      </c>
      <c r="AC35">
        <v>2</v>
      </c>
      <c r="AD35" s="299">
        <v>90</v>
      </c>
      <c r="AE35" s="299">
        <v>14.7</v>
      </c>
      <c r="AF35" s="298">
        <f>AE35/(AD35/100)^2</f>
        <v>18.148148148148145</v>
      </c>
      <c r="AG35" s="299">
        <v>83.4</v>
      </c>
      <c r="AH35" s="299">
        <v>43.9</v>
      </c>
      <c r="AI35" s="299">
        <v>92.3</v>
      </c>
      <c r="AJ35" s="301">
        <v>1</v>
      </c>
      <c r="AK35" s="301">
        <v>1</v>
      </c>
      <c r="AL35" s="305">
        <v>0</v>
      </c>
      <c r="AM35" s="305">
        <v>2</v>
      </c>
      <c r="AN35" s="307">
        <v>1</v>
      </c>
    </row>
    <row r="36" spans="1:40" ht="16">
      <c r="A36" s="2" t="s">
        <v>177</v>
      </c>
      <c r="B36" s="2">
        <v>21923161</v>
      </c>
      <c r="C36" s="2" t="s">
        <v>178</v>
      </c>
      <c r="D36" s="2" t="s">
        <v>179</v>
      </c>
      <c r="E36" s="2">
        <v>0</v>
      </c>
      <c r="F36" s="23">
        <v>43447</v>
      </c>
      <c r="G36" s="23">
        <v>43521</v>
      </c>
      <c r="H36" s="23">
        <v>43521</v>
      </c>
      <c r="I36" s="2" t="s">
        <v>180</v>
      </c>
      <c r="J36" s="4">
        <v>1070</v>
      </c>
      <c r="K36" s="27" t="s">
        <v>181</v>
      </c>
      <c r="L36" s="16" t="s">
        <v>1995</v>
      </c>
      <c r="M36" s="239" t="e">
        <f t="shared" si="0"/>
        <v>#VALUE!</v>
      </c>
      <c r="N36" s="16" t="s">
        <v>1995</v>
      </c>
      <c r="O36" s="239" t="e">
        <f t="shared" si="1"/>
        <v>#VALUE!</v>
      </c>
      <c r="P36" s="16" t="s">
        <v>1995</v>
      </c>
      <c r="Q36" s="239" t="e">
        <f t="shared" si="2"/>
        <v>#VALUE!</v>
      </c>
      <c r="R36" s="16" t="s">
        <v>1995</v>
      </c>
      <c r="S36" s="239" t="e">
        <f t="shared" si="3"/>
        <v>#VALUE!</v>
      </c>
      <c r="T36" s="96">
        <v>44307</v>
      </c>
      <c r="U36" s="249">
        <f t="shared" si="4"/>
        <v>2.1534246575342464</v>
      </c>
      <c r="V36" s="96">
        <v>44468</v>
      </c>
      <c r="W36" s="249">
        <f t="shared" si="5"/>
        <v>2.5945205479452054</v>
      </c>
      <c r="X36" s="96">
        <v>44468</v>
      </c>
      <c r="Y36" s="249">
        <f t="shared" si="6"/>
        <v>2.5945205479452054</v>
      </c>
      <c r="Z36" s="96">
        <v>44307</v>
      </c>
      <c r="AA36" s="249">
        <f t="shared" si="7"/>
        <v>2.1534246575342464</v>
      </c>
      <c r="AB36" s="308">
        <v>1</v>
      </c>
      <c r="AC36">
        <v>2</v>
      </c>
      <c r="AD36" s="299">
        <v>75</v>
      </c>
      <c r="AE36" s="299">
        <v>7.9</v>
      </c>
      <c r="AF36" s="298">
        <f>AE36/(AD36/100)^2</f>
        <v>14.044444444444444</v>
      </c>
      <c r="AG36" s="299">
        <v>0</v>
      </c>
      <c r="AH36" s="299">
        <v>0.1</v>
      </c>
      <c r="AI36" s="299">
        <v>4</v>
      </c>
      <c r="AJ36" s="301">
        <v>0</v>
      </c>
      <c r="AK36" s="301">
        <v>1</v>
      </c>
      <c r="AL36" s="305">
        <v>0</v>
      </c>
      <c r="AM36" s="305">
        <v>0</v>
      </c>
      <c r="AN36" s="307">
        <v>1</v>
      </c>
    </row>
    <row r="37" spans="1:40" ht="16">
      <c r="A37" s="2" t="s">
        <v>182</v>
      </c>
      <c r="B37" s="2">
        <v>22104076</v>
      </c>
      <c r="C37" s="2" t="s">
        <v>183</v>
      </c>
      <c r="D37" s="2" t="s">
        <v>184</v>
      </c>
      <c r="E37" s="2">
        <v>1</v>
      </c>
      <c r="F37" s="23">
        <v>43976</v>
      </c>
      <c r="G37" s="23">
        <v>44069</v>
      </c>
      <c r="H37" s="23">
        <v>44069</v>
      </c>
      <c r="I37" s="2" t="s">
        <v>185</v>
      </c>
      <c r="J37" s="4">
        <v>1120</v>
      </c>
      <c r="K37" s="27" t="s">
        <v>186</v>
      </c>
      <c r="L37" s="20" t="s">
        <v>2215</v>
      </c>
      <c r="M37" s="240" t="e">
        <f t="shared" si="0"/>
        <v>#VALUE!</v>
      </c>
      <c r="N37" s="20" t="s">
        <v>2215</v>
      </c>
      <c r="O37" s="240" t="e">
        <f t="shared" si="1"/>
        <v>#VALUE!</v>
      </c>
      <c r="P37" s="20" t="s">
        <v>2215</v>
      </c>
      <c r="Q37" s="240" t="e">
        <f t="shared" si="2"/>
        <v>#VALUE!</v>
      </c>
      <c r="R37" s="20" t="s">
        <v>2215</v>
      </c>
      <c r="S37" s="240" t="e">
        <f t="shared" si="3"/>
        <v>#VALUE!</v>
      </c>
      <c r="T37" s="25" t="s">
        <v>1955</v>
      </c>
      <c r="U37" s="248" t="e">
        <f t="shared" si="4"/>
        <v>#VALUE!</v>
      </c>
      <c r="V37" s="25" t="s">
        <v>1955</v>
      </c>
      <c r="W37" s="248" t="e">
        <f t="shared" si="5"/>
        <v>#VALUE!</v>
      </c>
      <c r="X37" s="25" t="s">
        <v>1955</v>
      </c>
      <c r="Y37" s="248" t="e">
        <f t="shared" si="6"/>
        <v>#VALUE!</v>
      </c>
      <c r="Z37" s="25" t="s">
        <v>1955</v>
      </c>
      <c r="AA37" s="248" t="e">
        <f t="shared" si="7"/>
        <v>#VALUE!</v>
      </c>
      <c r="AB37" s="308">
        <v>2</v>
      </c>
      <c r="AC37" s="308">
        <v>1</v>
      </c>
      <c r="AD37" s="302"/>
      <c r="AE37" s="302"/>
      <c r="AF37" s="303"/>
      <c r="AG37" s="302"/>
      <c r="AH37" s="302"/>
      <c r="AI37" s="302"/>
      <c r="AJ37" s="304"/>
      <c r="AK37" s="304"/>
      <c r="AL37" s="306"/>
      <c r="AM37" s="306"/>
      <c r="AN37" s="307">
        <v>0</v>
      </c>
    </row>
    <row r="38" spans="1:40" ht="16">
      <c r="A38" s="2" t="s">
        <v>187</v>
      </c>
      <c r="B38" s="2">
        <v>21929566</v>
      </c>
      <c r="C38" s="2" t="s">
        <v>188</v>
      </c>
      <c r="D38" s="2" t="s">
        <v>189</v>
      </c>
      <c r="E38" s="2">
        <v>1</v>
      </c>
      <c r="F38" s="23">
        <v>43567</v>
      </c>
      <c r="G38" s="23">
        <v>43676</v>
      </c>
      <c r="H38" s="23">
        <v>43676</v>
      </c>
      <c r="I38" s="2" t="s">
        <v>190</v>
      </c>
      <c r="J38" s="4">
        <v>710</v>
      </c>
      <c r="K38" s="27" t="s">
        <v>191</v>
      </c>
      <c r="L38" s="16" t="s">
        <v>1995</v>
      </c>
      <c r="M38" s="239" t="e">
        <f t="shared" si="0"/>
        <v>#VALUE!</v>
      </c>
      <c r="N38" s="16" t="s">
        <v>1995</v>
      </c>
      <c r="O38" s="239" t="e">
        <f t="shared" si="1"/>
        <v>#VALUE!</v>
      </c>
      <c r="P38" s="16" t="s">
        <v>1995</v>
      </c>
      <c r="Q38" s="239" t="e">
        <f t="shared" si="2"/>
        <v>#VALUE!</v>
      </c>
      <c r="R38" s="16" t="s">
        <v>1995</v>
      </c>
      <c r="S38" s="239" t="e">
        <f t="shared" si="3"/>
        <v>#VALUE!</v>
      </c>
      <c r="T38" s="95">
        <v>44420</v>
      </c>
      <c r="U38" s="246">
        <f t="shared" si="4"/>
        <v>2.0383561643835617</v>
      </c>
      <c r="V38" s="95">
        <v>44443</v>
      </c>
      <c r="W38" s="246">
        <f t="shared" si="5"/>
        <v>2.1013698630136988</v>
      </c>
      <c r="X38" s="95">
        <v>44444</v>
      </c>
      <c r="Y38" s="246">
        <f t="shared" si="6"/>
        <v>2.1041095890410957</v>
      </c>
      <c r="Z38" s="95">
        <v>44420</v>
      </c>
      <c r="AA38" s="246">
        <f t="shared" si="7"/>
        <v>2.0383561643835617</v>
      </c>
      <c r="AB38" s="308">
        <v>2</v>
      </c>
      <c r="AC38">
        <v>2</v>
      </c>
      <c r="AD38" s="299">
        <v>83.5</v>
      </c>
      <c r="AE38" s="299">
        <v>10.4</v>
      </c>
      <c r="AF38" s="298">
        <f>AE38/(AD38/100)^2</f>
        <v>14.916275233963212</v>
      </c>
      <c r="AG38" s="299">
        <v>2.8</v>
      </c>
      <c r="AH38" s="299">
        <v>17</v>
      </c>
      <c r="AI38" s="299">
        <v>7.6</v>
      </c>
      <c r="AJ38" s="301">
        <v>1</v>
      </c>
      <c r="AK38" s="301">
        <v>3</v>
      </c>
      <c r="AL38" s="305">
        <v>0</v>
      </c>
      <c r="AM38" s="305">
        <v>0</v>
      </c>
      <c r="AN38" s="307">
        <v>1</v>
      </c>
    </row>
    <row r="39" spans="1:40" ht="16">
      <c r="A39" s="2" t="s">
        <v>192</v>
      </c>
      <c r="B39" s="2">
        <v>22103802</v>
      </c>
      <c r="C39" s="2" t="s">
        <v>193</v>
      </c>
      <c r="D39" s="2" t="s">
        <v>104</v>
      </c>
      <c r="E39" s="2">
        <v>1</v>
      </c>
      <c r="F39" s="23">
        <v>43945</v>
      </c>
      <c r="G39" s="23">
        <v>44058</v>
      </c>
      <c r="H39" s="23">
        <v>44058</v>
      </c>
      <c r="I39" s="2" t="s">
        <v>194</v>
      </c>
      <c r="J39" s="4">
        <v>685</v>
      </c>
      <c r="K39" s="27" t="s">
        <v>195</v>
      </c>
      <c r="L39" s="23">
        <v>44428</v>
      </c>
      <c r="M39" s="238">
        <f t="shared" si="0"/>
        <v>1.0136986301369864</v>
      </c>
      <c r="N39" s="23">
        <v>44393</v>
      </c>
      <c r="O39" s="238">
        <f t="shared" si="1"/>
        <v>0.9178082191780822</v>
      </c>
      <c r="P39" s="23">
        <v>44392</v>
      </c>
      <c r="Q39" s="238">
        <f t="shared" si="2"/>
        <v>0.91506849315068495</v>
      </c>
      <c r="R39" s="23">
        <v>44428</v>
      </c>
      <c r="S39" s="238">
        <f t="shared" si="3"/>
        <v>1.0136986301369864</v>
      </c>
      <c r="T39" s="32" t="s">
        <v>1955</v>
      </c>
      <c r="U39" s="248" t="e">
        <f t="shared" si="4"/>
        <v>#VALUE!</v>
      </c>
      <c r="V39" s="32" t="s">
        <v>1955</v>
      </c>
      <c r="W39" s="248" t="e">
        <f t="shared" si="5"/>
        <v>#VALUE!</v>
      </c>
      <c r="X39" s="32" t="s">
        <v>1955</v>
      </c>
      <c r="Y39" s="248" t="e">
        <f t="shared" si="6"/>
        <v>#VALUE!</v>
      </c>
      <c r="Z39" s="32" t="s">
        <v>1955</v>
      </c>
      <c r="AA39" s="248" t="e">
        <f t="shared" si="7"/>
        <v>#VALUE!</v>
      </c>
      <c r="AB39" s="308">
        <v>2</v>
      </c>
      <c r="AC39">
        <v>2</v>
      </c>
      <c r="AD39" s="302"/>
      <c r="AE39" s="302"/>
      <c r="AF39" s="303"/>
      <c r="AG39" s="302"/>
      <c r="AH39" s="302"/>
      <c r="AI39" s="302"/>
      <c r="AJ39" s="304"/>
      <c r="AK39" s="304"/>
      <c r="AL39" s="306"/>
      <c r="AM39" s="306"/>
      <c r="AN39" s="307">
        <v>1</v>
      </c>
    </row>
    <row r="40" spans="1:40" ht="16">
      <c r="A40" s="2" t="s">
        <v>196</v>
      </c>
      <c r="B40" s="2">
        <v>22106464</v>
      </c>
      <c r="C40" s="2" t="s">
        <v>197</v>
      </c>
      <c r="D40" s="2" t="s">
        <v>198</v>
      </c>
      <c r="E40" s="2">
        <v>0</v>
      </c>
      <c r="F40" s="23">
        <v>44205</v>
      </c>
      <c r="G40" s="23">
        <v>44265</v>
      </c>
      <c r="H40" s="23">
        <v>44265</v>
      </c>
      <c r="I40" s="2" t="s">
        <v>105</v>
      </c>
      <c r="J40" s="4">
        <v>1800</v>
      </c>
      <c r="K40" s="27" t="s">
        <v>199</v>
      </c>
      <c r="L40" s="23">
        <v>44575</v>
      </c>
      <c r="M40" s="238">
        <f t="shared" si="0"/>
        <v>0.84931506849315064</v>
      </c>
      <c r="N40" s="23">
        <v>44575</v>
      </c>
      <c r="O40" s="238">
        <f t="shared" si="1"/>
        <v>0.84931506849315064</v>
      </c>
      <c r="P40" s="23">
        <v>44574</v>
      </c>
      <c r="Q40" s="238">
        <f t="shared" si="2"/>
        <v>0.84657534246575339</v>
      </c>
      <c r="R40" s="23">
        <v>44575</v>
      </c>
      <c r="S40" s="238">
        <f t="shared" si="3"/>
        <v>0.84931506849315064</v>
      </c>
      <c r="T40" s="32" t="s">
        <v>2529</v>
      </c>
      <c r="U40" s="248" t="e">
        <f t="shared" si="4"/>
        <v>#VALUE!</v>
      </c>
      <c r="V40" s="32" t="s">
        <v>2529</v>
      </c>
      <c r="W40" s="248" t="e">
        <f t="shared" si="5"/>
        <v>#VALUE!</v>
      </c>
      <c r="X40" s="32" t="s">
        <v>2529</v>
      </c>
      <c r="Y40" s="248" t="e">
        <f t="shared" si="6"/>
        <v>#VALUE!</v>
      </c>
      <c r="Z40" s="32" t="s">
        <v>2529</v>
      </c>
      <c r="AA40" s="248" t="e">
        <f t="shared" si="7"/>
        <v>#VALUE!</v>
      </c>
      <c r="AB40" s="308">
        <v>1</v>
      </c>
      <c r="AC40">
        <v>1</v>
      </c>
      <c r="AD40" s="302"/>
      <c r="AE40" s="302"/>
      <c r="AF40" s="303"/>
      <c r="AG40" s="302"/>
      <c r="AH40" s="302"/>
      <c r="AI40" s="302"/>
      <c r="AJ40" s="304"/>
      <c r="AK40" s="304"/>
      <c r="AL40" s="306"/>
      <c r="AM40" s="306"/>
      <c r="AN40" s="307">
        <v>0</v>
      </c>
    </row>
    <row r="41" spans="1:40" ht="16">
      <c r="A41" s="2" t="s">
        <v>200</v>
      </c>
      <c r="B41" s="2">
        <v>22102954</v>
      </c>
      <c r="C41" s="2" t="s">
        <v>201</v>
      </c>
      <c r="D41" s="2" t="s">
        <v>202</v>
      </c>
      <c r="E41" s="2">
        <v>1</v>
      </c>
      <c r="F41" s="23">
        <v>43860</v>
      </c>
      <c r="G41" s="23">
        <v>43952</v>
      </c>
      <c r="H41" s="23">
        <v>43952</v>
      </c>
      <c r="I41" s="2" t="s">
        <v>165</v>
      </c>
      <c r="J41" s="4">
        <v>909</v>
      </c>
      <c r="K41" s="56" t="s">
        <v>203</v>
      </c>
      <c r="L41" s="16" t="s">
        <v>1995</v>
      </c>
      <c r="M41" s="239" t="e">
        <f t="shared" si="0"/>
        <v>#VALUE!</v>
      </c>
      <c r="N41" s="16" t="s">
        <v>1995</v>
      </c>
      <c r="O41" s="239" t="e">
        <f t="shared" si="1"/>
        <v>#VALUE!</v>
      </c>
      <c r="P41" s="16" t="s">
        <v>1995</v>
      </c>
      <c r="Q41" s="239" t="e">
        <f t="shared" si="2"/>
        <v>#VALUE!</v>
      </c>
      <c r="R41" s="16" t="s">
        <v>1995</v>
      </c>
      <c r="S41" s="239" t="e">
        <f t="shared" si="3"/>
        <v>#VALUE!</v>
      </c>
      <c r="T41" s="40">
        <v>44694</v>
      </c>
      <c r="U41" s="241">
        <f t="shared" si="4"/>
        <v>2.032876712328767</v>
      </c>
      <c r="V41" s="22" t="s">
        <v>1720</v>
      </c>
      <c r="W41" s="244" t="e">
        <f t="shared" si="5"/>
        <v>#VALUE!</v>
      </c>
      <c r="X41" s="40">
        <v>44690</v>
      </c>
      <c r="Y41" s="241">
        <f t="shared" si="6"/>
        <v>2.021917808219178</v>
      </c>
      <c r="Z41" s="40">
        <v>44694</v>
      </c>
      <c r="AA41" s="241">
        <f t="shared" si="7"/>
        <v>2.032876712328767</v>
      </c>
      <c r="AB41" s="308">
        <v>2</v>
      </c>
      <c r="AC41" s="308">
        <v>2</v>
      </c>
      <c r="AD41" s="299">
        <v>91.5</v>
      </c>
      <c r="AE41" s="299">
        <v>11.6</v>
      </c>
      <c r="AF41" s="298">
        <f>AE41/(AD41/100)^2</f>
        <v>13.855295768759889</v>
      </c>
      <c r="AG41" s="299">
        <v>19</v>
      </c>
      <c r="AH41" s="299">
        <v>87</v>
      </c>
      <c r="AI41" s="299">
        <v>0.4</v>
      </c>
      <c r="AJ41" s="301">
        <v>0</v>
      </c>
      <c r="AK41" s="301">
        <v>1</v>
      </c>
      <c r="AL41" s="305">
        <v>0</v>
      </c>
      <c r="AM41" s="305">
        <v>2</v>
      </c>
      <c r="AN41" s="307">
        <v>1</v>
      </c>
    </row>
    <row r="42" spans="1:40" ht="16">
      <c r="A42" s="2" t="s">
        <v>204</v>
      </c>
      <c r="B42" s="2">
        <v>22104292</v>
      </c>
      <c r="C42" s="2" t="s">
        <v>205</v>
      </c>
      <c r="D42" s="2" t="s">
        <v>206</v>
      </c>
      <c r="E42" s="2">
        <v>0</v>
      </c>
      <c r="F42" s="23">
        <v>43998</v>
      </c>
      <c r="G42" s="23">
        <v>44106</v>
      </c>
      <c r="H42" s="23">
        <v>44106</v>
      </c>
      <c r="I42" s="2" t="s">
        <v>207</v>
      </c>
      <c r="J42" s="4">
        <v>544</v>
      </c>
      <c r="K42" s="27" t="s">
        <v>208</v>
      </c>
      <c r="L42" s="23">
        <v>44524</v>
      </c>
      <c r="M42" s="238">
        <f t="shared" si="0"/>
        <v>1.1452054794520548</v>
      </c>
      <c r="N42" s="23">
        <v>44356</v>
      </c>
      <c r="O42" s="238">
        <f t="shared" si="1"/>
        <v>0.68493150684931503</v>
      </c>
      <c r="P42" s="23">
        <v>44354</v>
      </c>
      <c r="Q42" s="238">
        <f t="shared" si="2"/>
        <v>0.67945205479452053</v>
      </c>
      <c r="R42" s="23">
        <v>44449</v>
      </c>
      <c r="S42" s="238">
        <f t="shared" si="3"/>
        <v>0.9397260273972603</v>
      </c>
      <c r="T42" s="32" t="s">
        <v>1955</v>
      </c>
      <c r="U42" s="248" t="e">
        <f t="shared" si="4"/>
        <v>#VALUE!</v>
      </c>
      <c r="V42" s="32" t="s">
        <v>1955</v>
      </c>
      <c r="W42" s="248" t="e">
        <f t="shared" si="5"/>
        <v>#VALUE!</v>
      </c>
      <c r="X42" s="32" t="s">
        <v>1955</v>
      </c>
      <c r="Y42" s="248" t="e">
        <f t="shared" si="6"/>
        <v>#VALUE!</v>
      </c>
      <c r="Z42" s="32" t="s">
        <v>1955</v>
      </c>
      <c r="AA42" s="248" t="e">
        <f t="shared" si="7"/>
        <v>#VALUE!</v>
      </c>
      <c r="AB42" s="308">
        <v>2</v>
      </c>
      <c r="AC42">
        <v>2</v>
      </c>
      <c r="AD42" s="302"/>
      <c r="AE42" s="302"/>
      <c r="AF42" s="303"/>
      <c r="AG42" s="302"/>
      <c r="AH42" s="302"/>
      <c r="AI42" s="302"/>
      <c r="AJ42" s="304"/>
      <c r="AK42" s="304"/>
      <c r="AL42" s="306"/>
      <c r="AM42" s="306"/>
      <c r="AN42" s="307">
        <v>1</v>
      </c>
    </row>
    <row r="43" spans="1:40" ht="16">
      <c r="A43" s="2" t="s">
        <v>209</v>
      </c>
      <c r="B43" s="2">
        <v>22104265</v>
      </c>
      <c r="C43" s="2" t="s">
        <v>210</v>
      </c>
      <c r="D43" s="2" t="s">
        <v>150</v>
      </c>
      <c r="E43" s="2">
        <v>1</v>
      </c>
      <c r="F43" s="23">
        <v>43994</v>
      </c>
      <c r="G43" s="23">
        <v>44099</v>
      </c>
      <c r="H43" s="23">
        <v>44099</v>
      </c>
      <c r="I43" s="2">
        <v>25</v>
      </c>
      <c r="J43" s="4">
        <v>550</v>
      </c>
      <c r="K43" s="27" t="s">
        <v>211</v>
      </c>
      <c r="L43" s="23">
        <v>44327</v>
      </c>
      <c r="M43" s="238">
        <f t="shared" si="0"/>
        <v>0.62465753424657533</v>
      </c>
      <c r="N43" s="23">
        <v>44412</v>
      </c>
      <c r="O43" s="238">
        <f t="shared" si="1"/>
        <v>0.8575342465753425</v>
      </c>
      <c r="P43" s="23">
        <v>44410</v>
      </c>
      <c r="Q43" s="238">
        <f t="shared" si="2"/>
        <v>0.852054794520548</v>
      </c>
      <c r="R43" s="23">
        <v>44328</v>
      </c>
      <c r="S43" s="238">
        <f t="shared" si="3"/>
        <v>0.62739726027397258</v>
      </c>
      <c r="T43" s="32" t="s">
        <v>2494</v>
      </c>
      <c r="U43" s="248" t="e">
        <f t="shared" si="4"/>
        <v>#VALUE!</v>
      </c>
      <c r="V43" s="32" t="s">
        <v>2494</v>
      </c>
      <c r="W43" s="248" t="e">
        <f t="shared" si="5"/>
        <v>#VALUE!</v>
      </c>
      <c r="X43" s="32" t="s">
        <v>2494</v>
      </c>
      <c r="Y43" s="248" t="e">
        <f t="shared" si="6"/>
        <v>#VALUE!</v>
      </c>
      <c r="Z43" s="32" t="s">
        <v>2494</v>
      </c>
      <c r="AA43" s="248" t="e">
        <f t="shared" si="7"/>
        <v>#VALUE!</v>
      </c>
      <c r="AB43" s="308">
        <v>2</v>
      </c>
      <c r="AC43">
        <v>2</v>
      </c>
      <c r="AD43" s="302"/>
      <c r="AE43" s="302"/>
      <c r="AF43" s="303"/>
      <c r="AG43" s="302"/>
      <c r="AH43" s="302"/>
      <c r="AI43" s="302"/>
      <c r="AJ43" s="304"/>
      <c r="AK43" s="304"/>
      <c r="AL43" s="306"/>
      <c r="AM43" s="306"/>
      <c r="AN43" s="307">
        <v>1</v>
      </c>
    </row>
    <row r="44" spans="1:40" ht="16">
      <c r="A44" s="2" t="s">
        <v>212</v>
      </c>
      <c r="B44" s="2">
        <v>22103803</v>
      </c>
      <c r="C44" s="2" t="s">
        <v>213</v>
      </c>
      <c r="D44" s="2" t="s">
        <v>104</v>
      </c>
      <c r="E44" s="2">
        <v>1</v>
      </c>
      <c r="F44" s="23">
        <v>43945</v>
      </c>
      <c r="G44" s="23">
        <v>44058</v>
      </c>
      <c r="H44" s="23">
        <v>44058</v>
      </c>
      <c r="I44" s="2" t="s">
        <v>194</v>
      </c>
      <c r="J44" s="4">
        <v>590</v>
      </c>
      <c r="K44" s="27" t="s">
        <v>195</v>
      </c>
      <c r="L44" s="23">
        <v>44428</v>
      </c>
      <c r="M44" s="238">
        <f t="shared" si="0"/>
        <v>1.0136986301369864</v>
      </c>
      <c r="N44" s="23">
        <v>44393</v>
      </c>
      <c r="O44" s="238">
        <f t="shared" si="1"/>
        <v>0.9178082191780822</v>
      </c>
      <c r="P44" s="23">
        <v>44392</v>
      </c>
      <c r="Q44" s="238">
        <f t="shared" si="2"/>
        <v>0.91506849315068495</v>
      </c>
      <c r="R44" s="23">
        <v>44428</v>
      </c>
      <c r="S44" s="238">
        <f t="shared" si="3"/>
        <v>1.0136986301369864</v>
      </c>
      <c r="T44" s="32" t="s">
        <v>1955</v>
      </c>
      <c r="U44" s="248" t="e">
        <f t="shared" si="4"/>
        <v>#VALUE!</v>
      </c>
      <c r="V44" s="32" t="s">
        <v>1955</v>
      </c>
      <c r="W44" s="248" t="e">
        <f t="shared" si="5"/>
        <v>#VALUE!</v>
      </c>
      <c r="X44" s="32" t="s">
        <v>1955</v>
      </c>
      <c r="Y44" s="248" t="e">
        <f t="shared" si="6"/>
        <v>#VALUE!</v>
      </c>
      <c r="Z44" s="32" t="s">
        <v>1955</v>
      </c>
      <c r="AA44" s="248" t="e">
        <f t="shared" si="7"/>
        <v>#VALUE!</v>
      </c>
      <c r="AB44" s="308">
        <v>2</v>
      </c>
      <c r="AC44">
        <v>2</v>
      </c>
      <c r="AD44" s="302"/>
      <c r="AE44" s="302"/>
      <c r="AF44" s="303"/>
      <c r="AG44" s="302"/>
      <c r="AH44" s="302"/>
      <c r="AI44" s="302"/>
      <c r="AJ44" s="304"/>
      <c r="AK44" s="304"/>
      <c r="AL44" s="306"/>
      <c r="AM44" s="306"/>
      <c r="AN44" s="307">
        <v>1</v>
      </c>
    </row>
    <row r="45" spans="1:40" ht="16">
      <c r="A45" s="2" t="s">
        <v>214</v>
      </c>
      <c r="B45" s="2">
        <v>22105667</v>
      </c>
      <c r="C45" s="2" t="s">
        <v>215</v>
      </c>
      <c r="D45" s="2" t="s">
        <v>216</v>
      </c>
      <c r="E45" s="2">
        <v>1</v>
      </c>
      <c r="F45" s="23">
        <v>44130</v>
      </c>
      <c r="G45" s="23">
        <v>44231</v>
      </c>
      <c r="H45" s="23">
        <v>44231</v>
      </c>
      <c r="I45" s="2" t="s">
        <v>217</v>
      </c>
      <c r="J45" s="4">
        <v>605</v>
      </c>
      <c r="K45" s="27" t="s">
        <v>218</v>
      </c>
      <c r="L45" s="23">
        <v>44502</v>
      </c>
      <c r="M45" s="238">
        <f t="shared" si="0"/>
        <v>0.74246575342465748</v>
      </c>
      <c r="N45" s="23">
        <v>44435</v>
      </c>
      <c r="O45" s="238">
        <f t="shared" si="1"/>
        <v>0.55890410958904113</v>
      </c>
      <c r="P45" s="23">
        <v>44434</v>
      </c>
      <c r="Q45" s="238">
        <f t="shared" si="2"/>
        <v>0.55616438356164388</v>
      </c>
      <c r="R45" s="23">
        <v>44435</v>
      </c>
      <c r="S45" s="238">
        <f t="shared" si="3"/>
        <v>0.55890410958904113</v>
      </c>
      <c r="T45" s="32" t="s">
        <v>2495</v>
      </c>
      <c r="U45" s="248" t="e">
        <f t="shared" si="4"/>
        <v>#VALUE!</v>
      </c>
      <c r="V45" s="32" t="s">
        <v>2477</v>
      </c>
      <c r="W45" s="248" t="e">
        <f t="shared" si="5"/>
        <v>#VALUE!</v>
      </c>
      <c r="X45" s="32" t="s">
        <v>2477</v>
      </c>
      <c r="Y45" s="248" t="e">
        <f t="shared" si="6"/>
        <v>#VALUE!</v>
      </c>
      <c r="Z45" s="32" t="s">
        <v>2477</v>
      </c>
      <c r="AA45" s="248" t="e">
        <f t="shared" si="7"/>
        <v>#VALUE!</v>
      </c>
      <c r="AB45" s="308">
        <v>2</v>
      </c>
      <c r="AC45">
        <v>2</v>
      </c>
      <c r="AD45" s="302"/>
      <c r="AE45" s="302"/>
      <c r="AF45" s="303"/>
      <c r="AG45" s="302"/>
      <c r="AH45" s="302"/>
      <c r="AI45" s="302"/>
      <c r="AJ45" s="304"/>
      <c r="AK45" s="304"/>
      <c r="AL45" s="306"/>
      <c r="AM45" s="306"/>
      <c r="AN45" s="307">
        <v>1</v>
      </c>
    </row>
    <row r="46" spans="1:40" ht="16">
      <c r="A46" s="2" t="s">
        <v>219</v>
      </c>
      <c r="B46" s="2">
        <v>22107706</v>
      </c>
      <c r="C46" s="2" t="s">
        <v>220</v>
      </c>
      <c r="D46" s="2" t="s">
        <v>221</v>
      </c>
      <c r="E46" s="2">
        <v>0</v>
      </c>
      <c r="F46" s="23">
        <v>44328</v>
      </c>
      <c r="G46" s="23">
        <v>44412</v>
      </c>
      <c r="H46" s="23">
        <v>44412</v>
      </c>
      <c r="I46" s="2">
        <v>28</v>
      </c>
      <c r="J46" s="4">
        <v>760</v>
      </c>
      <c r="K46" s="56" t="s">
        <v>222</v>
      </c>
      <c r="L46" s="23">
        <v>44607</v>
      </c>
      <c r="M46" s="238">
        <f t="shared" si="0"/>
        <v>0.53424657534246578</v>
      </c>
      <c r="N46" s="23">
        <v>44607</v>
      </c>
      <c r="O46" s="238">
        <f t="shared" si="1"/>
        <v>0.53424657534246578</v>
      </c>
      <c r="P46" s="23">
        <v>44606</v>
      </c>
      <c r="Q46" s="238">
        <f t="shared" si="2"/>
        <v>0.53150684931506853</v>
      </c>
      <c r="R46" s="23">
        <v>44607</v>
      </c>
      <c r="S46" s="238">
        <f t="shared" si="3"/>
        <v>0.53424657534246578</v>
      </c>
      <c r="T46" s="95">
        <v>45160</v>
      </c>
      <c r="U46" s="246">
        <f t="shared" si="4"/>
        <v>2.0493150684931507</v>
      </c>
      <c r="V46" s="95">
        <v>45160</v>
      </c>
      <c r="W46" s="246">
        <f t="shared" si="5"/>
        <v>2.0493150684931507</v>
      </c>
      <c r="X46" s="95">
        <v>45159</v>
      </c>
      <c r="Y46" s="246">
        <f t="shared" si="6"/>
        <v>2.0465753424657533</v>
      </c>
      <c r="Z46" s="95">
        <v>45160</v>
      </c>
      <c r="AA46" s="246">
        <f t="shared" si="7"/>
        <v>2.0493150684931507</v>
      </c>
      <c r="AB46" s="308">
        <v>2</v>
      </c>
      <c r="AC46">
        <v>2</v>
      </c>
      <c r="AD46" s="299">
        <v>81.900000000000006</v>
      </c>
      <c r="AE46" s="299">
        <v>9.9</v>
      </c>
      <c r="AF46" s="298">
        <f>AE46/(AD46/100)^2</f>
        <v>14.759355418696078</v>
      </c>
      <c r="AG46" s="299">
        <v>2</v>
      </c>
      <c r="AH46" s="299">
        <v>15.3</v>
      </c>
      <c r="AI46" s="299">
        <v>9.8000000000000007</v>
      </c>
      <c r="AJ46" s="301">
        <v>0</v>
      </c>
      <c r="AK46" s="301">
        <v>1</v>
      </c>
      <c r="AL46" s="305">
        <v>0</v>
      </c>
      <c r="AM46" s="305">
        <v>0</v>
      </c>
      <c r="AN46" s="307">
        <v>0</v>
      </c>
    </row>
    <row r="47" spans="1:40" ht="16">
      <c r="A47" s="2" t="s">
        <v>223</v>
      </c>
      <c r="B47" s="2">
        <v>22107436</v>
      </c>
      <c r="C47" s="2" t="s">
        <v>224</v>
      </c>
      <c r="D47" s="2" t="s">
        <v>225</v>
      </c>
      <c r="E47" s="2">
        <v>0</v>
      </c>
      <c r="F47" s="23">
        <v>44300</v>
      </c>
      <c r="G47" s="23">
        <v>44296</v>
      </c>
      <c r="H47" s="23">
        <v>44300</v>
      </c>
      <c r="I47" s="2" t="s">
        <v>226</v>
      </c>
      <c r="J47" s="4">
        <v>3250</v>
      </c>
      <c r="K47" s="27" t="s">
        <v>227</v>
      </c>
      <c r="L47" s="23">
        <v>44496</v>
      </c>
      <c r="M47" s="238">
        <f t="shared" si="0"/>
        <v>0.53698630136986303</v>
      </c>
      <c r="N47" s="23">
        <v>44517</v>
      </c>
      <c r="O47" s="238">
        <f t="shared" si="1"/>
        <v>0.59452054794520548</v>
      </c>
      <c r="P47" s="23">
        <v>44495</v>
      </c>
      <c r="Q47" s="238">
        <f t="shared" si="2"/>
        <v>0.53424657534246578</v>
      </c>
      <c r="R47" s="23">
        <v>44496</v>
      </c>
      <c r="S47" s="238">
        <f t="shared" si="3"/>
        <v>0.53698630136986303</v>
      </c>
      <c r="T47" s="32" t="s">
        <v>2422</v>
      </c>
      <c r="U47" s="248" t="e">
        <f t="shared" si="4"/>
        <v>#VALUE!</v>
      </c>
      <c r="V47" s="32" t="s">
        <v>2402</v>
      </c>
      <c r="W47" s="248" t="e">
        <f t="shared" si="5"/>
        <v>#VALUE!</v>
      </c>
      <c r="X47" s="32" t="s">
        <v>2403</v>
      </c>
      <c r="Y47" s="248" t="e">
        <f t="shared" si="6"/>
        <v>#VALUE!</v>
      </c>
      <c r="Z47" s="32" t="s">
        <v>2404</v>
      </c>
      <c r="AA47" s="248" t="e">
        <f t="shared" si="7"/>
        <v>#VALUE!</v>
      </c>
      <c r="AB47" s="308">
        <v>0</v>
      </c>
      <c r="AC47">
        <v>0</v>
      </c>
      <c r="AD47" s="302"/>
      <c r="AE47" s="302"/>
      <c r="AF47" s="303"/>
      <c r="AG47" s="302"/>
      <c r="AH47" s="302"/>
      <c r="AI47" s="302"/>
      <c r="AJ47" s="304"/>
      <c r="AK47" s="304"/>
      <c r="AL47" s="306"/>
      <c r="AM47" s="306"/>
      <c r="AN47" s="307">
        <v>0</v>
      </c>
    </row>
    <row r="48" spans="1:40" ht="16">
      <c r="A48" s="2" t="s">
        <v>228</v>
      </c>
      <c r="B48" s="2">
        <v>22107749</v>
      </c>
      <c r="C48" s="2" t="s">
        <v>229</v>
      </c>
      <c r="D48" s="2" t="s">
        <v>230</v>
      </c>
      <c r="E48" s="2">
        <v>1</v>
      </c>
      <c r="F48" s="23">
        <v>44333</v>
      </c>
      <c r="G48" s="23">
        <v>44402</v>
      </c>
      <c r="H48" s="23">
        <v>44402</v>
      </c>
      <c r="I48" s="2" t="s">
        <v>100</v>
      </c>
      <c r="J48" s="4">
        <v>1570</v>
      </c>
      <c r="K48" s="56" t="s">
        <v>231</v>
      </c>
      <c r="L48" s="23">
        <v>44575</v>
      </c>
      <c r="M48" s="238">
        <f t="shared" si="0"/>
        <v>0.47397260273972602</v>
      </c>
      <c r="N48" s="23">
        <v>44610</v>
      </c>
      <c r="O48" s="238">
        <f t="shared" si="1"/>
        <v>0.56986301369863013</v>
      </c>
      <c r="P48" s="23">
        <v>44610</v>
      </c>
      <c r="Q48" s="238">
        <f t="shared" si="2"/>
        <v>0.56986301369863013</v>
      </c>
      <c r="R48" s="23">
        <v>44575</v>
      </c>
      <c r="S48" s="238">
        <f t="shared" si="3"/>
        <v>0.47397260273972602</v>
      </c>
      <c r="T48" s="95">
        <v>45163</v>
      </c>
      <c r="U48" s="246">
        <f t="shared" si="4"/>
        <v>2.0849315068493151</v>
      </c>
      <c r="V48" s="95">
        <v>45163</v>
      </c>
      <c r="W48" s="246">
        <f t="shared" si="5"/>
        <v>2.0849315068493151</v>
      </c>
      <c r="X48" s="95">
        <v>45162</v>
      </c>
      <c r="Y48" s="246">
        <f t="shared" si="6"/>
        <v>2.0821917808219177</v>
      </c>
      <c r="Z48" s="95">
        <v>45163</v>
      </c>
      <c r="AA48" s="246">
        <f t="shared" si="7"/>
        <v>2.0849315068493151</v>
      </c>
      <c r="AB48" s="308">
        <v>1</v>
      </c>
      <c r="AC48">
        <v>1</v>
      </c>
      <c r="AD48" s="299">
        <v>89.4</v>
      </c>
      <c r="AE48" s="299">
        <v>11.8</v>
      </c>
      <c r="AF48" s="298">
        <f t="shared" ref="AF48:AF53" si="9">AE48/(AD48/100)^2</f>
        <v>14.764099715228042</v>
      </c>
      <c r="AG48" s="299">
        <v>22.3</v>
      </c>
      <c r="AH48" s="299">
        <v>73.099999999999994</v>
      </c>
      <c r="AI48" s="299">
        <v>5.7</v>
      </c>
      <c r="AJ48" s="301">
        <v>0</v>
      </c>
      <c r="AK48" s="313">
        <v>3</v>
      </c>
      <c r="AL48" s="305">
        <v>2</v>
      </c>
      <c r="AM48" s="305">
        <v>0</v>
      </c>
      <c r="AN48" s="307">
        <v>0</v>
      </c>
    </row>
    <row r="49" spans="1:40" ht="16">
      <c r="A49" s="2" t="s">
        <v>232</v>
      </c>
      <c r="B49" s="2">
        <v>21929694</v>
      </c>
      <c r="C49" s="39" t="s">
        <v>233</v>
      </c>
      <c r="D49" s="2" t="s">
        <v>234</v>
      </c>
      <c r="E49" s="2">
        <v>0</v>
      </c>
      <c r="F49" s="23">
        <v>43580</v>
      </c>
      <c r="G49" s="23">
        <v>43636</v>
      </c>
      <c r="H49" s="23">
        <v>43580</v>
      </c>
      <c r="I49" s="2">
        <v>32</v>
      </c>
      <c r="J49" s="4">
        <v>1635</v>
      </c>
      <c r="K49" s="27" t="s">
        <v>235</v>
      </c>
      <c r="L49" s="16" t="s">
        <v>1995</v>
      </c>
      <c r="M49" s="239" t="e">
        <f t="shared" si="0"/>
        <v>#VALUE!</v>
      </c>
      <c r="N49" s="16" t="s">
        <v>1995</v>
      </c>
      <c r="O49" s="239" t="e">
        <f t="shared" si="1"/>
        <v>#VALUE!</v>
      </c>
      <c r="P49" s="16" t="s">
        <v>1995</v>
      </c>
      <c r="Q49" s="239" t="e">
        <f t="shared" si="2"/>
        <v>#VALUE!</v>
      </c>
      <c r="R49" s="16" t="s">
        <v>1995</v>
      </c>
      <c r="S49" s="239" t="e">
        <f t="shared" si="3"/>
        <v>#VALUE!</v>
      </c>
      <c r="T49" s="95">
        <v>44438</v>
      </c>
      <c r="U49" s="246">
        <f t="shared" si="4"/>
        <v>2.3506849315068492</v>
      </c>
      <c r="V49" s="95">
        <v>44434</v>
      </c>
      <c r="W49" s="246">
        <f t="shared" si="5"/>
        <v>2.3397260273972602</v>
      </c>
      <c r="X49" s="95">
        <v>44429</v>
      </c>
      <c r="Y49" s="246">
        <f t="shared" si="6"/>
        <v>2.3260273972602739</v>
      </c>
      <c r="Z49" s="95">
        <v>44434</v>
      </c>
      <c r="AA49" s="246">
        <f t="shared" si="7"/>
        <v>2.3397260273972602</v>
      </c>
      <c r="AB49" s="308">
        <v>1</v>
      </c>
      <c r="AC49">
        <v>1</v>
      </c>
      <c r="AD49" s="299">
        <v>86</v>
      </c>
      <c r="AE49" s="299">
        <v>11.4</v>
      </c>
      <c r="AF49" s="298">
        <f t="shared" si="9"/>
        <v>15.413737155219039</v>
      </c>
      <c r="AG49" s="299">
        <v>20.6</v>
      </c>
      <c r="AH49" s="299">
        <v>38.299999999999997</v>
      </c>
      <c r="AI49" s="299">
        <v>25.4</v>
      </c>
      <c r="AJ49" s="301">
        <v>1</v>
      </c>
      <c r="AK49" s="301">
        <v>1</v>
      </c>
      <c r="AL49" s="305">
        <v>0</v>
      </c>
      <c r="AM49" s="305">
        <v>0</v>
      </c>
      <c r="AN49" s="307">
        <v>1</v>
      </c>
    </row>
    <row r="50" spans="1:40" ht="16">
      <c r="A50" s="2" t="s">
        <v>236</v>
      </c>
      <c r="B50" s="2">
        <v>21929692</v>
      </c>
      <c r="C50" s="39" t="s">
        <v>237</v>
      </c>
      <c r="D50" s="2" t="s">
        <v>238</v>
      </c>
      <c r="E50" s="2">
        <v>0</v>
      </c>
      <c r="F50" s="23">
        <v>43580</v>
      </c>
      <c r="G50" s="23">
        <v>43636</v>
      </c>
      <c r="H50" s="23">
        <v>43580</v>
      </c>
      <c r="I50" s="2">
        <v>32</v>
      </c>
      <c r="J50" s="4">
        <v>1705</v>
      </c>
      <c r="K50" s="27" t="s">
        <v>235</v>
      </c>
      <c r="L50" s="16" t="s">
        <v>1995</v>
      </c>
      <c r="M50" s="239" t="e">
        <f t="shared" si="0"/>
        <v>#VALUE!</v>
      </c>
      <c r="N50" s="16" t="s">
        <v>1995</v>
      </c>
      <c r="O50" s="239" t="e">
        <f t="shared" si="1"/>
        <v>#VALUE!</v>
      </c>
      <c r="P50" s="16" t="s">
        <v>1995</v>
      </c>
      <c r="Q50" s="239" t="e">
        <f t="shared" si="2"/>
        <v>#VALUE!</v>
      </c>
      <c r="R50" s="16" t="s">
        <v>1995</v>
      </c>
      <c r="S50" s="239" t="e">
        <f t="shared" si="3"/>
        <v>#VALUE!</v>
      </c>
      <c r="T50" s="95">
        <v>44438</v>
      </c>
      <c r="U50" s="246">
        <f t="shared" si="4"/>
        <v>2.3506849315068492</v>
      </c>
      <c r="V50" s="95">
        <v>44434</v>
      </c>
      <c r="W50" s="246">
        <f t="shared" si="5"/>
        <v>2.3397260273972602</v>
      </c>
      <c r="X50" s="95">
        <v>44433</v>
      </c>
      <c r="Y50" s="246">
        <f t="shared" si="6"/>
        <v>2.3369863013698629</v>
      </c>
      <c r="Z50" s="95">
        <v>44434</v>
      </c>
      <c r="AA50" s="246">
        <f t="shared" si="7"/>
        <v>2.3397260273972602</v>
      </c>
      <c r="AB50" s="308">
        <v>1</v>
      </c>
      <c r="AC50">
        <v>1</v>
      </c>
      <c r="AD50" s="299">
        <v>88.8</v>
      </c>
      <c r="AE50" s="299">
        <v>13.8</v>
      </c>
      <c r="AF50" s="298">
        <f t="shared" si="9"/>
        <v>17.500608716824935</v>
      </c>
      <c r="AG50" s="299">
        <v>82.1</v>
      </c>
      <c r="AH50" s="299">
        <v>68.5</v>
      </c>
      <c r="AI50" s="299">
        <v>80.099999999999994</v>
      </c>
      <c r="AJ50" s="301">
        <v>1</v>
      </c>
      <c r="AK50" s="301">
        <v>1</v>
      </c>
      <c r="AL50" s="305">
        <v>2</v>
      </c>
      <c r="AM50" s="305">
        <v>0</v>
      </c>
      <c r="AN50" s="307">
        <v>0</v>
      </c>
    </row>
    <row r="51" spans="1:40" ht="16">
      <c r="A51" s="2" t="s">
        <v>239</v>
      </c>
      <c r="B51" s="2">
        <v>22107552</v>
      </c>
      <c r="C51" s="2" t="s">
        <v>240</v>
      </c>
      <c r="D51" s="2" t="s">
        <v>241</v>
      </c>
      <c r="E51" s="2">
        <v>0</v>
      </c>
      <c r="F51" s="23">
        <v>44310</v>
      </c>
      <c r="G51" s="23">
        <v>44374</v>
      </c>
      <c r="H51" s="23">
        <v>44374</v>
      </c>
      <c r="I51" s="2" t="s">
        <v>242</v>
      </c>
      <c r="J51" s="4">
        <v>1185</v>
      </c>
      <c r="K51" s="56" t="s">
        <v>243</v>
      </c>
      <c r="L51" s="23">
        <v>44568</v>
      </c>
      <c r="M51" s="238">
        <f t="shared" si="0"/>
        <v>0.53150684931506853</v>
      </c>
      <c r="N51" s="23">
        <v>44580</v>
      </c>
      <c r="O51" s="238">
        <f t="shared" si="1"/>
        <v>0.56438356164383563</v>
      </c>
      <c r="P51" s="23">
        <v>44573</v>
      </c>
      <c r="Q51" s="238">
        <f t="shared" si="2"/>
        <v>0.54520547945205478</v>
      </c>
      <c r="R51" s="23">
        <v>44568</v>
      </c>
      <c r="S51" s="238">
        <f t="shared" si="3"/>
        <v>0.53150684931506853</v>
      </c>
      <c r="T51" s="40">
        <v>45142</v>
      </c>
      <c r="U51" s="241">
        <f t="shared" si="4"/>
        <v>2.1041095890410957</v>
      </c>
      <c r="V51" s="40"/>
      <c r="W51" s="241">
        <f t="shared" si="5"/>
        <v>-121.57260273972602</v>
      </c>
      <c r="X51" s="40">
        <v>45137</v>
      </c>
      <c r="Y51" s="241">
        <f t="shared" si="6"/>
        <v>2.0904109589041098</v>
      </c>
      <c r="Z51" s="40">
        <v>45142</v>
      </c>
      <c r="AA51" s="241">
        <f t="shared" si="7"/>
        <v>2.1041095890410957</v>
      </c>
      <c r="AB51" s="308">
        <v>1</v>
      </c>
      <c r="AC51">
        <v>2</v>
      </c>
      <c r="AD51" s="299">
        <v>83</v>
      </c>
      <c r="AE51" s="299">
        <v>10</v>
      </c>
      <c r="AF51" s="298">
        <f t="shared" si="9"/>
        <v>14.51589490492089</v>
      </c>
      <c r="AG51" s="299">
        <v>2</v>
      </c>
      <c r="AH51" s="299">
        <v>14</v>
      </c>
      <c r="AI51" s="299">
        <v>6.8</v>
      </c>
      <c r="AJ51" s="301">
        <v>1</v>
      </c>
      <c r="AK51" s="301">
        <v>1</v>
      </c>
      <c r="AL51" s="305">
        <v>0</v>
      </c>
      <c r="AM51" s="305">
        <v>2</v>
      </c>
      <c r="AN51" s="307">
        <v>0</v>
      </c>
    </row>
    <row r="52" spans="1:40" ht="16">
      <c r="A52" s="2" t="s">
        <v>244</v>
      </c>
      <c r="B52" s="2">
        <v>22105413</v>
      </c>
      <c r="C52" s="2" t="s">
        <v>245</v>
      </c>
      <c r="D52" s="2" t="s">
        <v>246</v>
      </c>
      <c r="E52" s="2">
        <v>0</v>
      </c>
      <c r="F52" s="23">
        <v>44106</v>
      </c>
      <c r="G52" s="23">
        <v>44208</v>
      </c>
      <c r="H52" s="23">
        <v>44208</v>
      </c>
      <c r="I52" s="2" t="s">
        <v>247</v>
      </c>
      <c r="J52" s="4">
        <v>650</v>
      </c>
      <c r="K52" s="56" t="s">
        <v>248</v>
      </c>
      <c r="L52" s="23">
        <v>44419</v>
      </c>
      <c r="M52" s="238">
        <f t="shared" si="0"/>
        <v>0.57808219178082187</v>
      </c>
      <c r="N52" s="23">
        <v>44419</v>
      </c>
      <c r="O52" s="238">
        <f t="shared" si="1"/>
        <v>0.57808219178082187</v>
      </c>
      <c r="P52" s="23">
        <v>44418</v>
      </c>
      <c r="Q52" s="238">
        <f t="shared" si="2"/>
        <v>0.57534246575342463</v>
      </c>
      <c r="R52" s="23">
        <v>44419</v>
      </c>
      <c r="S52" s="238">
        <f t="shared" si="3"/>
        <v>0.57808219178082187</v>
      </c>
      <c r="T52" s="95">
        <v>44916</v>
      </c>
      <c r="U52" s="246">
        <f t="shared" si="4"/>
        <v>1.9397260273972603</v>
      </c>
      <c r="V52" s="95">
        <v>44939</v>
      </c>
      <c r="W52" s="246">
        <f t="shared" si="5"/>
        <v>2.0027397260273974</v>
      </c>
      <c r="X52" s="95">
        <v>44935</v>
      </c>
      <c r="Y52" s="246">
        <f t="shared" si="6"/>
        <v>1.9917808219178081</v>
      </c>
      <c r="Z52" s="95">
        <v>44916</v>
      </c>
      <c r="AA52" s="246">
        <f t="shared" si="7"/>
        <v>1.9397260273972603</v>
      </c>
      <c r="AB52" s="308">
        <v>2</v>
      </c>
      <c r="AC52">
        <v>2</v>
      </c>
      <c r="AD52" s="299">
        <v>79.2</v>
      </c>
      <c r="AE52" s="299">
        <v>8.3000000000000007</v>
      </c>
      <c r="AF52" s="298">
        <f t="shared" si="9"/>
        <v>13.23206815631058</v>
      </c>
      <c r="AG52" s="299">
        <v>0</v>
      </c>
      <c r="AH52" s="299">
        <v>5</v>
      </c>
      <c r="AI52" s="299">
        <v>0.2</v>
      </c>
      <c r="AJ52" s="301">
        <v>1</v>
      </c>
      <c r="AK52" s="301">
        <v>1</v>
      </c>
      <c r="AL52" s="305">
        <v>0</v>
      </c>
      <c r="AM52" s="305">
        <v>0</v>
      </c>
      <c r="AN52" s="307">
        <v>1</v>
      </c>
    </row>
    <row r="53" spans="1:40" ht="16">
      <c r="A53" s="2" t="s">
        <v>249</v>
      </c>
      <c r="B53" s="2">
        <v>22105943</v>
      </c>
      <c r="C53" s="2" t="s">
        <v>250</v>
      </c>
      <c r="D53" s="2" t="s">
        <v>251</v>
      </c>
      <c r="E53" s="2">
        <v>0</v>
      </c>
      <c r="F53" s="23">
        <v>44156</v>
      </c>
      <c r="G53" s="23">
        <v>44214</v>
      </c>
      <c r="H53" s="23">
        <v>44214</v>
      </c>
      <c r="I53" s="2" t="s">
        <v>119</v>
      </c>
      <c r="J53" s="4">
        <v>1410</v>
      </c>
      <c r="K53" s="56" t="s">
        <v>252</v>
      </c>
      <c r="L53" s="17" t="s">
        <v>18</v>
      </c>
      <c r="M53" s="241" t="e">
        <f t="shared" si="0"/>
        <v>#VALUE!</v>
      </c>
      <c r="N53" s="40">
        <v>44447</v>
      </c>
      <c r="O53" s="241">
        <f t="shared" si="1"/>
        <v>0.63835616438356169</v>
      </c>
      <c r="P53" s="40">
        <v>44448</v>
      </c>
      <c r="Q53" s="241">
        <f t="shared" si="2"/>
        <v>0.64109589041095894</v>
      </c>
      <c r="R53" s="40">
        <v>44447</v>
      </c>
      <c r="S53" s="241">
        <f t="shared" si="3"/>
        <v>0.63835616438356169</v>
      </c>
      <c r="T53" s="17" t="s">
        <v>2220</v>
      </c>
      <c r="U53" s="241" t="e">
        <f t="shared" si="4"/>
        <v>#VALUE!</v>
      </c>
      <c r="V53" s="40" t="s">
        <v>2220</v>
      </c>
      <c r="W53" s="241" t="e">
        <f t="shared" si="5"/>
        <v>#VALUE!</v>
      </c>
      <c r="X53" s="40">
        <v>44912</v>
      </c>
      <c r="Y53" s="241">
        <f t="shared" si="6"/>
        <v>1.9123287671232876</v>
      </c>
      <c r="Z53" s="40">
        <v>44914</v>
      </c>
      <c r="AA53" s="241">
        <f t="shared" si="7"/>
        <v>1.9178082191780821</v>
      </c>
      <c r="AB53" s="308">
        <v>1</v>
      </c>
      <c r="AC53">
        <v>2</v>
      </c>
      <c r="AD53" s="299">
        <v>81.400000000000006</v>
      </c>
      <c r="AE53" s="299">
        <v>10</v>
      </c>
      <c r="AF53" s="298">
        <f t="shared" si="9"/>
        <v>15.092152684290275</v>
      </c>
      <c r="AG53" s="299">
        <v>4</v>
      </c>
      <c r="AH53" s="299">
        <v>15</v>
      </c>
      <c r="AI53" s="299">
        <v>16</v>
      </c>
      <c r="AJ53" s="301">
        <v>1</v>
      </c>
      <c r="AK53" s="301">
        <v>1</v>
      </c>
      <c r="AL53" s="305">
        <v>2</v>
      </c>
      <c r="AM53" s="305">
        <v>2</v>
      </c>
      <c r="AN53" s="307">
        <v>0</v>
      </c>
    </row>
    <row r="54" spans="1:40" ht="16">
      <c r="A54" s="2" t="s">
        <v>253</v>
      </c>
      <c r="B54" s="2">
        <v>22104786</v>
      </c>
      <c r="C54" s="2" t="s">
        <v>254</v>
      </c>
      <c r="D54" s="2" t="s">
        <v>255</v>
      </c>
      <c r="E54" s="2">
        <v>1</v>
      </c>
      <c r="F54" s="23">
        <v>44045</v>
      </c>
      <c r="G54" s="23">
        <v>44112</v>
      </c>
      <c r="H54" s="23">
        <v>44112</v>
      </c>
      <c r="I54" s="2" t="s">
        <v>139</v>
      </c>
      <c r="J54" s="4">
        <v>1440</v>
      </c>
      <c r="K54" s="27" t="s">
        <v>256</v>
      </c>
      <c r="L54" s="23">
        <v>44482</v>
      </c>
      <c r="M54" s="238">
        <f t="shared" si="0"/>
        <v>1.0136986301369864</v>
      </c>
      <c r="N54" s="23">
        <v>44482</v>
      </c>
      <c r="O54" s="238">
        <f t="shared" si="1"/>
        <v>1.0136986301369864</v>
      </c>
      <c r="P54" s="23">
        <v>44480</v>
      </c>
      <c r="Q54" s="238">
        <f t="shared" si="2"/>
        <v>1.0082191780821919</v>
      </c>
      <c r="R54" s="23">
        <v>44482</v>
      </c>
      <c r="S54" s="238">
        <f t="shared" si="3"/>
        <v>1.0136986301369864</v>
      </c>
      <c r="T54" s="32" t="s">
        <v>1955</v>
      </c>
      <c r="U54" s="248" t="e">
        <f t="shared" si="4"/>
        <v>#VALUE!</v>
      </c>
      <c r="V54" s="32" t="s">
        <v>1955</v>
      </c>
      <c r="W54" s="248" t="e">
        <f t="shared" si="5"/>
        <v>#VALUE!</v>
      </c>
      <c r="X54" s="32" t="s">
        <v>1955</v>
      </c>
      <c r="Y54" s="248" t="e">
        <f t="shared" si="6"/>
        <v>#VALUE!</v>
      </c>
      <c r="Z54" s="32" t="s">
        <v>1955</v>
      </c>
      <c r="AA54" s="248" t="e">
        <f t="shared" si="7"/>
        <v>#VALUE!</v>
      </c>
      <c r="AB54" s="308">
        <v>1</v>
      </c>
      <c r="AC54">
        <v>1</v>
      </c>
      <c r="AD54" s="302"/>
      <c r="AE54" s="302"/>
      <c r="AF54" s="303"/>
      <c r="AG54" s="302"/>
      <c r="AH54" s="302"/>
      <c r="AI54" s="302"/>
      <c r="AJ54" s="304"/>
      <c r="AK54" s="304"/>
      <c r="AL54" s="306"/>
      <c r="AM54" s="306"/>
      <c r="AN54" s="307">
        <v>0</v>
      </c>
    </row>
    <row r="55" spans="1:40" ht="16">
      <c r="A55" s="2" t="s">
        <v>257</v>
      </c>
      <c r="B55" s="2">
        <v>22106937</v>
      </c>
      <c r="C55" s="2" t="s">
        <v>258</v>
      </c>
      <c r="D55" s="2" t="s">
        <v>259</v>
      </c>
      <c r="E55" s="2">
        <v>0</v>
      </c>
      <c r="F55" s="23">
        <v>44250</v>
      </c>
      <c r="G55" s="23">
        <v>44326</v>
      </c>
      <c r="H55" s="23">
        <v>44326</v>
      </c>
      <c r="I55" s="2" t="s">
        <v>260</v>
      </c>
      <c r="J55" s="4">
        <v>1000</v>
      </c>
      <c r="K55" s="56" t="s">
        <v>261</v>
      </c>
      <c r="L55" s="23">
        <v>44498</v>
      </c>
      <c r="M55" s="238">
        <f t="shared" si="0"/>
        <v>0.47123287671232877</v>
      </c>
      <c r="N55" s="23">
        <v>44498</v>
      </c>
      <c r="O55" s="238">
        <f t="shared" si="1"/>
        <v>0.47123287671232877</v>
      </c>
      <c r="P55" s="23">
        <v>44493</v>
      </c>
      <c r="Q55" s="238">
        <f t="shared" si="2"/>
        <v>0.45753424657534247</v>
      </c>
      <c r="R55" s="23">
        <v>44498</v>
      </c>
      <c r="S55" s="238">
        <f t="shared" si="3"/>
        <v>0.47123287671232877</v>
      </c>
      <c r="T55" s="40" t="s">
        <v>1955</v>
      </c>
      <c r="U55" s="241" t="e">
        <f t="shared" si="4"/>
        <v>#VALUE!</v>
      </c>
      <c r="V55" s="40">
        <v>45014</v>
      </c>
      <c r="W55" s="241">
        <f t="shared" si="5"/>
        <v>1.8849315068493151</v>
      </c>
      <c r="X55" s="40">
        <v>45011</v>
      </c>
      <c r="Y55" s="241">
        <f t="shared" si="6"/>
        <v>1.8767123287671232</v>
      </c>
      <c r="Z55" s="40" t="s">
        <v>1955</v>
      </c>
      <c r="AA55" s="241" t="e">
        <f t="shared" si="7"/>
        <v>#VALUE!</v>
      </c>
      <c r="AB55" s="308">
        <v>1</v>
      </c>
      <c r="AC55">
        <v>2</v>
      </c>
      <c r="AD55" s="299">
        <v>80</v>
      </c>
      <c r="AE55" s="299">
        <v>9</v>
      </c>
      <c r="AF55" s="298">
        <f>AE55/(AD55/100)^2</f>
        <v>14.062499999999996</v>
      </c>
      <c r="AG55" s="299">
        <v>0</v>
      </c>
      <c r="AH55" s="299">
        <v>10</v>
      </c>
      <c r="AI55" s="299">
        <v>2.5</v>
      </c>
      <c r="AJ55" s="301">
        <v>0</v>
      </c>
      <c r="AK55" s="301">
        <v>1</v>
      </c>
      <c r="AL55" s="305">
        <v>0</v>
      </c>
      <c r="AM55" s="305">
        <v>0</v>
      </c>
      <c r="AN55" s="307">
        <v>0</v>
      </c>
    </row>
    <row r="56" spans="1:40" ht="16">
      <c r="A56" s="2" t="s">
        <v>262</v>
      </c>
      <c r="B56" s="2">
        <v>22102827</v>
      </c>
      <c r="C56" s="2" t="s">
        <v>263</v>
      </c>
      <c r="D56" s="2" t="s">
        <v>264</v>
      </c>
      <c r="E56" s="2">
        <v>0</v>
      </c>
      <c r="F56" s="23">
        <v>43847</v>
      </c>
      <c r="G56" s="23">
        <v>43912</v>
      </c>
      <c r="H56" s="23">
        <v>43912</v>
      </c>
      <c r="I56" s="2" t="s">
        <v>134</v>
      </c>
      <c r="J56" s="4">
        <v>965</v>
      </c>
      <c r="K56" s="27" t="s">
        <v>265</v>
      </c>
      <c r="L56" s="20" t="s">
        <v>2215</v>
      </c>
      <c r="M56" s="240" t="e">
        <f t="shared" si="0"/>
        <v>#VALUE!</v>
      </c>
      <c r="N56" s="20" t="s">
        <v>2215</v>
      </c>
      <c r="O56" s="240" t="e">
        <f t="shared" si="1"/>
        <v>#VALUE!</v>
      </c>
      <c r="P56" s="20" t="s">
        <v>2215</v>
      </c>
      <c r="Q56" s="240" t="e">
        <f t="shared" si="2"/>
        <v>#VALUE!</v>
      </c>
      <c r="R56" s="20" t="s">
        <v>2215</v>
      </c>
      <c r="S56" s="240" t="e">
        <f t="shared" si="3"/>
        <v>#VALUE!</v>
      </c>
      <c r="T56" s="25" t="s">
        <v>1955</v>
      </c>
      <c r="U56" s="248" t="e">
        <f t="shared" si="4"/>
        <v>#VALUE!</v>
      </c>
      <c r="V56" s="25" t="s">
        <v>1955</v>
      </c>
      <c r="W56" s="25" t="e">
        <f t="shared" si="5"/>
        <v>#VALUE!</v>
      </c>
      <c r="X56" s="25" t="s">
        <v>1955</v>
      </c>
      <c r="Y56" s="248" t="e">
        <f t="shared" si="6"/>
        <v>#VALUE!</v>
      </c>
      <c r="Z56" s="25" t="s">
        <v>1955</v>
      </c>
      <c r="AA56" s="248" t="e">
        <f t="shared" si="7"/>
        <v>#VALUE!</v>
      </c>
      <c r="AB56" s="308">
        <v>1</v>
      </c>
      <c r="AC56" s="308">
        <v>2</v>
      </c>
      <c r="AD56" s="302"/>
      <c r="AE56" s="302"/>
      <c r="AF56" s="303"/>
      <c r="AG56" s="302"/>
      <c r="AH56" s="302"/>
      <c r="AI56" s="302"/>
      <c r="AJ56" s="304"/>
      <c r="AK56" s="304"/>
      <c r="AL56" s="306"/>
      <c r="AM56" s="306"/>
      <c r="AN56" s="307">
        <v>0</v>
      </c>
    </row>
    <row r="57" spans="1:40" ht="16">
      <c r="A57" s="2" t="s">
        <v>266</v>
      </c>
      <c r="B57" s="2">
        <v>22192272</v>
      </c>
      <c r="C57" s="2" t="s">
        <v>267</v>
      </c>
      <c r="D57" s="2" t="s">
        <v>268</v>
      </c>
      <c r="E57" s="2">
        <v>1</v>
      </c>
      <c r="F57" s="23">
        <v>43869</v>
      </c>
      <c r="G57" s="23">
        <v>43956</v>
      </c>
      <c r="H57" s="23">
        <v>43956</v>
      </c>
      <c r="I57" s="2" t="s">
        <v>144</v>
      </c>
      <c r="J57" s="4">
        <v>1130</v>
      </c>
      <c r="K57" s="27" t="s">
        <v>269</v>
      </c>
      <c r="L57" s="16" t="s">
        <v>1995</v>
      </c>
      <c r="M57" s="239" t="e">
        <f t="shared" si="0"/>
        <v>#VALUE!</v>
      </c>
      <c r="N57" s="16" t="s">
        <v>1995</v>
      </c>
      <c r="O57" s="239" t="e">
        <f t="shared" si="1"/>
        <v>#VALUE!</v>
      </c>
      <c r="P57" s="16" t="s">
        <v>1995</v>
      </c>
      <c r="Q57" s="239" t="e">
        <f t="shared" si="2"/>
        <v>#VALUE!</v>
      </c>
      <c r="R57" s="16" t="s">
        <v>1995</v>
      </c>
      <c r="S57" s="239" t="e">
        <f t="shared" si="3"/>
        <v>#VALUE!</v>
      </c>
      <c r="T57" s="95">
        <v>44698</v>
      </c>
      <c r="U57" s="246">
        <f t="shared" si="4"/>
        <v>2.032876712328767</v>
      </c>
      <c r="V57" s="95">
        <v>44698</v>
      </c>
      <c r="W57" s="246">
        <f t="shared" si="5"/>
        <v>2.032876712328767</v>
      </c>
      <c r="X57" s="95">
        <v>44695</v>
      </c>
      <c r="Y57" s="246">
        <f t="shared" si="6"/>
        <v>2.0246575342465754</v>
      </c>
      <c r="Z57" s="95">
        <v>44698</v>
      </c>
      <c r="AA57" s="246">
        <f t="shared" si="7"/>
        <v>2.032876712328767</v>
      </c>
      <c r="AB57" s="308">
        <v>2</v>
      </c>
      <c r="AC57">
        <v>2</v>
      </c>
      <c r="AD57" s="299">
        <v>90.5</v>
      </c>
      <c r="AE57" s="299">
        <v>12.7</v>
      </c>
      <c r="AF57" s="298">
        <f t="shared" ref="AF57:AF62" si="10">AE57/(AD57/100)^2</f>
        <v>15.506242178199688</v>
      </c>
      <c r="AG57" s="299">
        <v>49.1</v>
      </c>
      <c r="AH57" s="299">
        <v>85.4</v>
      </c>
      <c r="AI57" s="299">
        <v>19.399999999999999</v>
      </c>
      <c r="AJ57" s="301">
        <v>1</v>
      </c>
      <c r="AK57" s="301">
        <v>1</v>
      </c>
      <c r="AL57" s="305">
        <v>0</v>
      </c>
      <c r="AM57" s="305">
        <v>0</v>
      </c>
      <c r="AN57" s="307">
        <v>1</v>
      </c>
    </row>
    <row r="58" spans="1:40" ht="16">
      <c r="A58" s="2" t="s">
        <v>270</v>
      </c>
      <c r="B58" s="2">
        <v>22105580</v>
      </c>
      <c r="C58" s="2" t="s">
        <v>271</v>
      </c>
      <c r="D58" s="2" t="s">
        <v>109</v>
      </c>
      <c r="E58" s="2">
        <v>1</v>
      </c>
      <c r="F58" s="23">
        <v>44123</v>
      </c>
      <c r="G58" s="23">
        <v>44179</v>
      </c>
      <c r="H58" s="23">
        <v>44123</v>
      </c>
      <c r="I58" s="2">
        <v>32</v>
      </c>
      <c r="J58" s="4">
        <v>1330</v>
      </c>
      <c r="K58" s="56" t="s">
        <v>272</v>
      </c>
      <c r="L58" s="23">
        <v>44425</v>
      </c>
      <c r="M58" s="238">
        <f t="shared" si="0"/>
        <v>0.82739726027397265</v>
      </c>
      <c r="N58" s="23">
        <v>44432</v>
      </c>
      <c r="O58" s="238">
        <f t="shared" si="1"/>
        <v>0.84657534246575339</v>
      </c>
      <c r="P58" s="23">
        <v>44431</v>
      </c>
      <c r="Q58" s="238">
        <f t="shared" si="2"/>
        <v>0.84383561643835614</v>
      </c>
      <c r="R58" s="23">
        <v>44425</v>
      </c>
      <c r="S58" s="238">
        <f t="shared" si="3"/>
        <v>0.82739726027397265</v>
      </c>
      <c r="T58" s="95">
        <v>44910</v>
      </c>
      <c r="U58" s="246">
        <f t="shared" si="4"/>
        <v>2.1561643835616437</v>
      </c>
      <c r="V58" s="95">
        <v>44910</v>
      </c>
      <c r="W58" s="246">
        <f t="shared" si="5"/>
        <v>2.1561643835616437</v>
      </c>
      <c r="X58" s="95">
        <v>44909</v>
      </c>
      <c r="Y58" s="246">
        <f t="shared" si="6"/>
        <v>2.1534246575342464</v>
      </c>
      <c r="Z58" s="95">
        <v>44910</v>
      </c>
      <c r="AA58" s="246">
        <f t="shared" si="7"/>
        <v>2.1561643835616437</v>
      </c>
      <c r="AB58" s="308">
        <v>1</v>
      </c>
      <c r="AC58">
        <v>1</v>
      </c>
      <c r="AD58" s="299">
        <v>80.599999999999994</v>
      </c>
      <c r="AE58" s="299">
        <v>10.7</v>
      </c>
      <c r="AF58" s="298">
        <f t="shared" si="10"/>
        <v>16.470762088307914</v>
      </c>
      <c r="AG58" s="299">
        <v>9</v>
      </c>
      <c r="AH58" s="299">
        <v>7</v>
      </c>
      <c r="AI58" s="299">
        <v>47.2</v>
      </c>
      <c r="AJ58" s="301">
        <v>0</v>
      </c>
      <c r="AK58" s="301">
        <v>1</v>
      </c>
      <c r="AL58" s="305">
        <v>0</v>
      </c>
      <c r="AM58" s="305">
        <v>0</v>
      </c>
      <c r="AN58" s="307">
        <v>0</v>
      </c>
    </row>
    <row r="59" spans="1:40" ht="16">
      <c r="A59" s="2" t="s">
        <v>273</v>
      </c>
      <c r="B59" s="2">
        <v>22105942</v>
      </c>
      <c r="C59" s="2" t="s">
        <v>274</v>
      </c>
      <c r="D59" s="2" t="s">
        <v>275</v>
      </c>
      <c r="E59" s="2">
        <v>1</v>
      </c>
      <c r="F59" s="23">
        <v>44156</v>
      </c>
      <c r="G59" s="23">
        <v>44251</v>
      </c>
      <c r="H59" s="23">
        <v>44251</v>
      </c>
      <c r="I59" s="2" t="s">
        <v>276</v>
      </c>
      <c r="J59" s="4">
        <v>1052</v>
      </c>
      <c r="K59" s="56" t="s">
        <v>277</v>
      </c>
      <c r="L59" s="23">
        <v>44491</v>
      </c>
      <c r="M59" s="238">
        <f t="shared" si="0"/>
        <v>0.65753424657534243</v>
      </c>
      <c r="N59" s="23">
        <v>44491</v>
      </c>
      <c r="O59" s="238">
        <f t="shared" si="1"/>
        <v>0.65753424657534243</v>
      </c>
      <c r="P59" s="23">
        <v>44428</v>
      </c>
      <c r="Q59" s="238">
        <f t="shared" si="2"/>
        <v>0.48493150684931507</v>
      </c>
      <c r="R59" s="23">
        <v>44428</v>
      </c>
      <c r="S59" s="238">
        <f t="shared" si="3"/>
        <v>0.48493150684931507</v>
      </c>
      <c r="T59" s="95">
        <v>44981</v>
      </c>
      <c r="U59" s="246">
        <f t="shared" si="4"/>
        <v>2</v>
      </c>
      <c r="V59" s="95">
        <v>44981</v>
      </c>
      <c r="W59" s="246">
        <f t="shared" si="5"/>
        <v>2</v>
      </c>
      <c r="X59" s="95">
        <v>44957</v>
      </c>
      <c r="Y59" s="246">
        <f t="shared" si="6"/>
        <v>1.9342465753424658</v>
      </c>
      <c r="Z59" s="95">
        <v>44981</v>
      </c>
      <c r="AA59" s="246">
        <f t="shared" si="7"/>
        <v>2</v>
      </c>
      <c r="AB59" s="308">
        <v>2</v>
      </c>
      <c r="AC59">
        <v>2</v>
      </c>
      <c r="AD59" s="299">
        <v>89</v>
      </c>
      <c r="AE59" s="299">
        <v>12.5</v>
      </c>
      <c r="AF59" s="298">
        <f t="shared" si="10"/>
        <v>15.780835753061481</v>
      </c>
      <c r="AG59" s="299">
        <v>44</v>
      </c>
      <c r="AH59" s="299">
        <v>74.900000000000006</v>
      </c>
      <c r="AI59" s="299">
        <v>26.4</v>
      </c>
      <c r="AJ59" s="301">
        <v>0</v>
      </c>
      <c r="AK59" s="301">
        <v>1</v>
      </c>
      <c r="AL59" s="305">
        <v>0</v>
      </c>
      <c r="AM59" s="305">
        <v>2</v>
      </c>
      <c r="AN59" s="307">
        <v>1</v>
      </c>
    </row>
    <row r="60" spans="1:40" ht="16">
      <c r="A60" s="2" t="s">
        <v>278</v>
      </c>
      <c r="B60" s="2">
        <v>22106996</v>
      </c>
      <c r="C60" s="39" t="s">
        <v>279</v>
      </c>
      <c r="D60" s="2" t="s">
        <v>280</v>
      </c>
      <c r="E60" s="2">
        <v>0</v>
      </c>
      <c r="F60" s="23">
        <v>44254</v>
      </c>
      <c r="G60" s="23">
        <v>44329</v>
      </c>
      <c r="H60" s="23">
        <v>44329</v>
      </c>
      <c r="I60" s="2" t="s">
        <v>281</v>
      </c>
      <c r="J60" s="4">
        <v>945</v>
      </c>
      <c r="K60" s="56" t="s">
        <v>282</v>
      </c>
      <c r="L60" s="23">
        <v>44509</v>
      </c>
      <c r="M60" s="238">
        <f t="shared" si="0"/>
        <v>0.49315068493150682</v>
      </c>
      <c r="N60" s="23">
        <v>44509</v>
      </c>
      <c r="O60" s="238">
        <f t="shared" si="1"/>
        <v>0.49315068493150682</v>
      </c>
      <c r="P60" s="23">
        <v>44506</v>
      </c>
      <c r="Q60" s="238">
        <f t="shared" si="2"/>
        <v>0.48493150684931507</v>
      </c>
      <c r="R60" s="23">
        <v>44509</v>
      </c>
      <c r="S60" s="238">
        <f t="shared" si="3"/>
        <v>0.49315068493150682</v>
      </c>
      <c r="T60" s="261"/>
      <c r="U60" s="267">
        <f t="shared" si="4"/>
        <v>-121.44931506849315</v>
      </c>
      <c r="V60" s="40"/>
      <c r="W60" s="241">
        <f t="shared" si="5"/>
        <v>-121.44931506849315</v>
      </c>
      <c r="X60" s="40">
        <v>45075</v>
      </c>
      <c r="Y60" s="241">
        <f t="shared" si="6"/>
        <v>2.043835616438356</v>
      </c>
      <c r="Z60" s="40"/>
      <c r="AA60" s="241">
        <f t="shared" si="7"/>
        <v>-121.44931506849315</v>
      </c>
      <c r="AB60" s="308">
        <v>1</v>
      </c>
      <c r="AC60">
        <v>2</v>
      </c>
      <c r="AD60" s="299">
        <v>80.2</v>
      </c>
      <c r="AE60" s="299">
        <v>9.5</v>
      </c>
      <c r="AF60" s="298">
        <f t="shared" si="10"/>
        <v>14.76980864546862</v>
      </c>
      <c r="AG60" s="299">
        <v>1</v>
      </c>
      <c r="AH60" s="299">
        <v>4</v>
      </c>
      <c r="AI60" s="299">
        <v>9.8000000000000007</v>
      </c>
      <c r="AJ60" s="301">
        <v>0</v>
      </c>
      <c r="AK60" s="301">
        <v>1</v>
      </c>
      <c r="AL60" s="305">
        <v>0</v>
      </c>
      <c r="AM60" s="305">
        <v>0</v>
      </c>
      <c r="AN60" s="307">
        <v>0</v>
      </c>
    </row>
    <row r="61" spans="1:40" ht="16">
      <c r="A61" s="2" t="s">
        <v>283</v>
      </c>
      <c r="B61" s="2">
        <v>22106997</v>
      </c>
      <c r="C61" s="39" t="s">
        <v>284</v>
      </c>
      <c r="D61" s="2" t="s">
        <v>285</v>
      </c>
      <c r="E61" s="2">
        <v>0</v>
      </c>
      <c r="F61" s="23">
        <v>44254</v>
      </c>
      <c r="G61" s="23">
        <v>44329</v>
      </c>
      <c r="H61" s="23">
        <v>44329</v>
      </c>
      <c r="I61" s="2" t="s">
        <v>281</v>
      </c>
      <c r="J61" s="4">
        <v>885</v>
      </c>
      <c r="K61" s="56" t="s">
        <v>282</v>
      </c>
      <c r="L61" s="23">
        <v>44509</v>
      </c>
      <c r="M61" s="238">
        <f t="shared" si="0"/>
        <v>0.49315068493150682</v>
      </c>
      <c r="N61" s="23">
        <v>44509</v>
      </c>
      <c r="O61" s="238">
        <f t="shared" si="1"/>
        <v>0.49315068493150682</v>
      </c>
      <c r="P61" s="23">
        <v>44508</v>
      </c>
      <c r="Q61" s="238">
        <f t="shared" si="2"/>
        <v>0.49041095890410957</v>
      </c>
      <c r="R61" s="23">
        <v>44509</v>
      </c>
      <c r="S61" s="238">
        <f t="shared" si="3"/>
        <v>0.49315068493150682</v>
      </c>
      <c r="T61" s="40"/>
      <c r="U61" s="241">
        <f t="shared" si="4"/>
        <v>-121.44931506849315</v>
      </c>
      <c r="V61" s="40"/>
      <c r="W61" s="241">
        <f t="shared" si="5"/>
        <v>-121.44931506849315</v>
      </c>
      <c r="X61" s="40">
        <v>45084</v>
      </c>
      <c r="Y61" s="241">
        <f t="shared" si="6"/>
        <v>2.0684931506849313</v>
      </c>
      <c r="Z61" s="40"/>
      <c r="AA61" s="241">
        <f t="shared" si="7"/>
        <v>-121.44931506849315</v>
      </c>
      <c r="AB61" s="308">
        <v>1</v>
      </c>
      <c r="AC61">
        <v>2</v>
      </c>
      <c r="AD61" s="299">
        <v>85.8</v>
      </c>
      <c r="AE61" s="299">
        <v>9</v>
      </c>
      <c r="AF61" s="298">
        <f t="shared" si="10"/>
        <v>12.225536701061177</v>
      </c>
      <c r="AG61" s="299">
        <v>0</v>
      </c>
      <c r="AH61" s="299">
        <v>45</v>
      </c>
      <c r="AI61" s="299">
        <v>0</v>
      </c>
      <c r="AJ61" s="301">
        <v>0</v>
      </c>
      <c r="AK61" s="301">
        <v>1</v>
      </c>
      <c r="AL61" s="305">
        <v>0</v>
      </c>
      <c r="AM61" s="305">
        <v>0</v>
      </c>
      <c r="AN61" s="307">
        <v>1</v>
      </c>
    </row>
    <row r="62" spans="1:40" ht="16">
      <c r="A62" s="2" t="s">
        <v>286</v>
      </c>
      <c r="B62" s="2">
        <v>22108155</v>
      </c>
      <c r="C62" s="2" t="s">
        <v>287</v>
      </c>
      <c r="D62" s="2" t="s">
        <v>288</v>
      </c>
      <c r="E62" s="2">
        <v>0</v>
      </c>
      <c r="F62" s="23">
        <v>44375</v>
      </c>
      <c r="G62" s="23">
        <v>44446</v>
      </c>
      <c r="H62" s="23">
        <v>44446</v>
      </c>
      <c r="I62" s="2" t="s">
        <v>289</v>
      </c>
      <c r="J62" s="4">
        <v>1310</v>
      </c>
      <c r="K62" s="56" t="s">
        <v>290</v>
      </c>
      <c r="L62" s="40"/>
      <c r="M62" s="241">
        <f t="shared" si="0"/>
        <v>-121.76986301369863</v>
      </c>
      <c r="N62" s="40">
        <v>44643</v>
      </c>
      <c r="O62" s="241">
        <f t="shared" si="1"/>
        <v>0.53972602739726028</v>
      </c>
      <c r="P62" s="40">
        <v>44643</v>
      </c>
      <c r="Q62" s="241">
        <f t="shared" si="2"/>
        <v>0.53972602739726028</v>
      </c>
      <c r="R62" s="40">
        <v>44643</v>
      </c>
      <c r="S62" s="241">
        <f t="shared" si="3"/>
        <v>0.53972602739726028</v>
      </c>
      <c r="T62" s="17"/>
      <c r="U62" s="241">
        <f t="shared" si="4"/>
        <v>-121.76986301369863</v>
      </c>
      <c r="V62" s="40">
        <v>45365</v>
      </c>
      <c r="W62" s="241">
        <f t="shared" si="5"/>
        <v>2.5178082191780824</v>
      </c>
      <c r="X62" s="40">
        <v>45363</v>
      </c>
      <c r="Y62" s="241">
        <f t="shared" si="6"/>
        <v>2.5123287671232877</v>
      </c>
      <c r="Z62" s="17"/>
      <c r="AA62" s="241">
        <f t="shared" si="7"/>
        <v>-121.76986301369863</v>
      </c>
      <c r="AB62" s="308">
        <v>1</v>
      </c>
      <c r="AC62">
        <v>1</v>
      </c>
      <c r="AD62" s="299">
        <v>90</v>
      </c>
      <c r="AE62" s="299">
        <v>12</v>
      </c>
      <c r="AF62" s="298">
        <f t="shared" si="10"/>
        <v>14.814814814814813</v>
      </c>
      <c r="AG62" s="299">
        <v>23</v>
      </c>
      <c r="AH62" s="299">
        <v>48.5</v>
      </c>
      <c r="AI62" s="299">
        <v>15.2</v>
      </c>
      <c r="AJ62" s="301">
        <v>0</v>
      </c>
      <c r="AK62" s="301">
        <v>1</v>
      </c>
      <c r="AL62" s="305">
        <v>2</v>
      </c>
      <c r="AM62" s="305">
        <v>2</v>
      </c>
      <c r="AN62" s="307">
        <v>1</v>
      </c>
    </row>
    <row r="63" spans="1:40" ht="16">
      <c r="A63" s="2" t="s">
        <v>291</v>
      </c>
      <c r="B63" s="2">
        <v>22106340</v>
      </c>
      <c r="C63" s="2" t="s">
        <v>292</v>
      </c>
      <c r="D63" s="2" t="s">
        <v>293</v>
      </c>
      <c r="E63" s="2">
        <v>1</v>
      </c>
      <c r="F63" s="23">
        <v>44194</v>
      </c>
      <c r="G63" s="23">
        <v>44190</v>
      </c>
      <c r="H63" s="23">
        <v>44194</v>
      </c>
      <c r="I63" s="2" t="s">
        <v>294</v>
      </c>
      <c r="J63" s="4">
        <v>3180</v>
      </c>
      <c r="K63" s="27" t="s">
        <v>295</v>
      </c>
      <c r="L63" s="23">
        <v>44438</v>
      </c>
      <c r="M63" s="238">
        <f t="shared" si="0"/>
        <v>0.66849315068493154</v>
      </c>
      <c r="N63" s="23">
        <v>44438</v>
      </c>
      <c r="O63" s="238">
        <f t="shared" si="1"/>
        <v>0.66849315068493154</v>
      </c>
      <c r="P63" s="23">
        <v>44435</v>
      </c>
      <c r="Q63" s="238">
        <f t="shared" si="2"/>
        <v>0.66027397260273968</v>
      </c>
      <c r="R63" s="23">
        <v>44438</v>
      </c>
      <c r="S63" s="238">
        <f t="shared" si="3"/>
        <v>0.66849315068493154</v>
      </c>
      <c r="T63" s="32"/>
      <c r="U63" s="248">
        <f t="shared" si="4"/>
        <v>-121.07945205479452</v>
      </c>
      <c r="V63" s="32"/>
      <c r="W63" s="248">
        <f t="shared" si="5"/>
        <v>-121.07945205479452</v>
      </c>
      <c r="X63" s="32"/>
      <c r="Y63" s="248">
        <f t="shared" si="6"/>
        <v>-121.07945205479452</v>
      </c>
      <c r="Z63" s="32"/>
      <c r="AA63" s="248">
        <f t="shared" si="7"/>
        <v>-121.07945205479452</v>
      </c>
      <c r="AB63" s="308">
        <v>0</v>
      </c>
      <c r="AC63">
        <v>0</v>
      </c>
      <c r="AD63" s="302"/>
      <c r="AE63" s="302"/>
      <c r="AF63" s="303"/>
      <c r="AG63" s="302"/>
      <c r="AH63" s="302"/>
      <c r="AI63" s="302"/>
      <c r="AJ63" s="304"/>
      <c r="AK63" s="304"/>
      <c r="AL63" s="306"/>
      <c r="AM63" s="306"/>
      <c r="AN63" s="307">
        <v>0</v>
      </c>
    </row>
    <row r="64" spans="1:40" ht="16">
      <c r="A64" s="2" t="s">
        <v>296</v>
      </c>
      <c r="B64" s="2">
        <v>22103195</v>
      </c>
      <c r="C64" s="2" t="s">
        <v>297</v>
      </c>
      <c r="D64" s="2" t="s">
        <v>298</v>
      </c>
      <c r="E64" s="2">
        <v>0</v>
      </c>
      <c r="F64" s="23">
        <v>43881</v>
      </c>
      <c r="G64" s="23">
        <v>43949</v>
      </c>
      <c r="H64" s="23">
        <v>43949</v>
      </c>
      <c r="I64" s="2" t="s">
        <v>299</v>
      </c>
      <c r="J64" s="4">
        <v>1390</v>
      </c>
      <c r="K64" s="56" t="s">
        <v>300</v>
      </c>
      <c r="L64" s="16" t="s">
        <v>1995</v>
      </c>
      <c r="M64" s="239" t="e">
        <f t="shared" si="0"/>
        <v>#VALUE!</v>
      </c>
      <c r="N64" s="16" t="s">
        <v>1995</v>
      </c>
      <c r="O64" s="239" t="e">
        <f t="shared" si="1"/>
        <v>#VALUE!</v>
      </c>
      <c r="P64" s="16" t="s">
        <v>1995</v>
      </c>
      <c r="Q64" s="239" t="e">
        <f t="shared" si="2"/>
        <v>#VALUE!</v>
      </c>
      <c r="R64" s="16" t="s">
        <v>1995</v>
      </c>
      <c r="S64" s="239" t="e">
        <f t="shared" si="3"/>
        <v>#VALUE!</v>
      </c>
      <c r="T64" s="95">
        <v>44764</v>
      </c>
      <c r="U64" s="246">
        <f t="shared" si="4"/>
        <v>2.2328767123287672</v>
      </c>
      <c r="V64" s="95">
        <v>44764</v>
      </c>
      <c r="W64" s="246">
        <f t="shared" si="5"/>
        <v>2.2328767123287672</v>
      </c>
      <c r="X64" s="95">
        <v>44734</v>
      </c>
      <c r="Y64" s="246">
        <f t="shared" si="6"/>
        <v>2.1506849315068495</v>
      </c>
      <c r="Z64" s="95">
        <v>44736</v>
      </c>
      <c r="AA64" s="246">
        <f t="shared" si="7"/>
        <v>2.1561643835616437</v>
      </c>
      <c r="AB64" s="308">
        <v>1</v>
      </c>
      <c r="AC64">
        <v>1</v>
      </c>
      <c r="AD64" s="299">
        <v>86.7</v>
      </c>
      <c r="AE64" s="299">
        <v>12.3</v>
      </c>
      <c r="AF64" s="298">
        <f>AE64/(AD64/100)^2</f>
        <v>16.36315018578162</v>
      </c>
      <c r="AG64" s="299">
        <v>48.9</v>
      </c>
      <c r="AH64" s="299">
        <v>51.7</v>
      </c>
      <c r="AI64" s="299">
        <v>51.8</v>
      </c>
      <c r="AJ64" s="301">
        <v>0</v>
      </c>
      <c r="AK64" s="301">
        <v>1</v>
      </c>
      <c r="AL64" s="305">
        <v>2</v>
      </c>
      <c r="AM64" s="305">
        <v>2</v>
      </c>
      <c r="AN64" s="307">
        <v>0</v>
      </c>
    </row>
    <row r="65" spans="1:40" ht="16">
      <c r="A65" s="2" t="s">
        <v>301</v>
      </c>
      <c r="B65" s="2">
        <v>22107168</v>
      </c>
      <c r="C65" s="2" t="s">
        <v>302</v>
      </c>
      <c r="D65" s="2" t="s">
        <v>303</v>
      </c>
      <c r="E65" s="2">
        <v>1</v>
      </c>
      <c r="F65" s="23">
        <v>44272</v>
      </c>
      <c r="G65" s="23">
        <v>44338</v>
      </c>
      <c r="H65" s="23">
        <v>44338</v>
      </c>
      <c r="I65" s="2" t="s">
        <v>304</v>
      </c>
      <c r="J65" s="4">
        <v>1100</v>
      </c>
      <c r="K65" s="56" t="s">
        <v>305</v>
      </c>
      <c r="L65" s="40">
        <v>44511</v>
      </c>
      <c r="M65" s="241">
        <f t="shared" si="0"/>
        <v>0.47397260273972602</v>
      </c>
      <c r="N65" s="40">
        <v>44511</v>
      </c>
      <c r="O65" s="241">
        <f t="shared" si="1"/>
        <v>0.47397260273972602</v>
      </c>
      <c r="P65" s="40">
        <v>44513</v>
      </c>
      <c r="Q65" s="241">
        <f t="shared" si="2"/>
        <v>0.47945205479452052</v>
      </c>
      <c r="R65" s="17" t="s">
        <v>1714</v>
      </c>
      <c r="S65" s="241" t="e">
        <f t="shared" si="3"/>
        <v>#VALUE!</v>
      </c>
      <c r="T65" s="95">
        <v>45107</v>
      </c>
      <c r="U65" s="246">
        <f t="shared" si="4"/>
        <v>2.106849315068493</v>
      </c>
      <c r="V65" s="95">
        <v>45107</v>
      </c>
      <c r="W65" s="246">
        <f t="shared" si="5"/>
        <v>2.106849315068493</v>
      </c>
      <c r="X65" s="95">
        <v>45104</v>
      </c>
      <c r="Y65" s="246">
        <f t="shared" si="6"/>
        <v>2.0986301369863014</v>
      </c>
      <c r="Z65" s="95">
        <v>45107</v>
      </c>
      <c r="AA65" s="246">
        <f t="shared" si="7"/>
        <v>2.106849315068493</v>
      </c>
      <c r="AB65" s="308">
        <v>1</v>
      </c>
      <c r="AC65">
        <v>1</v>
      </c>
      <c r="AD65" s="299">
        <v>86</v>
      </c>
      <c r="AE65" s="299">
        <v>11.2</v>
      </c>
      <c r="AF65" s="298">
        <f>AE65/(AD65/100)^2</f>
        <v>15.143320713899406</v>
      </c>
      <c r="AG65" s="299">
        <v>9.8000000000000007</v>
      </c>
      <c r="AH65" s="299">
        <v>33.5</v>
      </c>
      <c r="AI65" s="299">
        <v>11.9</v>
      </c>
      <c r="AJ65" s="301">
        <v>0</v>
      </c>
      <c r="AK65" s="301">
        <v>1</v>
      </c>
      <c r="AL65" s="305">
        <v>2</v>
      </c>
      <c r="AM65" s="305">
        <v>2</v>
      </c>
      <c r="AN65" s="307">
        <v>0</v>
      </c>
    </row>
    <row r="66" spans="1:40" ht="16">
      <c r="A66" s="6" t="s">
        <v>306</v>
      </c>
      <c r="B66" s="6">
        <v>22107334</v>
      </c>
      <c r="C66" s="6" t="s">
        <v>307</v>
      </c>
      <c r="D66" s="6" t="s">
        <v>143</v>
      </c>
      <c r="E66" s="6">
        <v>0</v>
      </c>
      <c r="F66" s="42">
        <v>44287</v>
      </c>
      <c r="G66" s="42">
        <v>44357</v>
      </c>
      <c r="H66" s="42">
        <v>44357</v>
      </c>
      <c r="I66" s="6">
        <v>30</v>
      </c>
      <c r="J66" s="7">
        <v>880</v>
      </c>
      <c r="K66" s="57" t="s">
        <v>308</v>
      </c>
      <c r="L66" s="20" t="s">
        <v>2215</v>
      </c>
      <c r="M66" s="240" t="e">
        <f t="shared" ref="M66:M129" si="11">(L66-H66)/365</f>
        <v>#VALUE!</v>
      </c>
      <c r="N66" s="20" t="s">
        <v>2215</v>
      </c>
      <c r="O66" s="240" t="e">
        <f t="shared" ref="O66:O129" si="12">(N66-H66)/365</f>
        <v>#VALUE!</v>
      </c>
      <c r="P66" s="20" t="s">
        <v>2215</v>
      </c>
      <c r="Q66" s="240" t="e">
        <f t="shared" ref="Q66:Q129" si="13">(P66-H66)/365</f>
        <v>#VALUE!</v>
      </c>
      <c r="R66" s="20" t="s">
        <v>2215</v>
      </c>
      <c r="S66" s="240" t="e">
        <f t="shared" ref="S66:S129" si="14">(R66-H66)/365</f>
        <v>#VALUE!</v>
      </c>
      <c r="T66" s="61" t="s">
        <v>2384</v>
      </c>
      <c r="U66" s="247" t="e">
        <f t="shared" ref="U66:U129" si="15">(T66-H66)/365</f>
        <v>#VALUE!</v>
      </c>
      <c r="V66" s="61" t="s">
        <v>2385</v>
      </c>
      <c r="W66" s="247" t="e">
        <f t="shared" ref="W66:W129" si="16">(V66-H66)/365</f>
        <v>#VALUE!</v>
      </c>
      <c r="X66" s="61" t="s">
        <v>2386</v>
      </c>
      <c r="Y66" s="247" t="e">
        <f t="shared" ref="Y66:Y129" si="17">(X66-H66)/365</f>
        <v>#VALUE!</v>
      </c>
      <c r="Z66" s="61" t="s">
        <v>2387</v>
      </c>
      <c r="AA66" s="247" t="e">
        <f t="shared" ref="AA66:AA129" si="18">(Z66-H66)/365</f>
        <v>#VALUE!</v>
      </c>
      <c r="AB66" s="308">
        <v>1</v>
      </c>
      <c r="AC66" s="308">
        <v>2</v>
      </c>
      <c r="AD66" s="302"/>
      <c r="AE66" s="302"/>
      <c r="AF66" s="303"/>
      <c r="AG66" s="302"/>
      <c r="AH66" s="302"/>
      <c r="AI66" s="302"/>
      <c r="AJ66" s="304"/>
      <c r="AK66" s="304"/>
      <c r="AL66" s="306"/>
      <c r="AM66" s="306"/>
      <c r="AN66" s="307">
        <v>1</v>
      </c>
    </row>
    <row r="67" spans="1:40" ht="16">
      <c r="A67" s="6" t="s">
        <v>309</v>
      </c>
      <c r="B67" s="6">
        <v>22107336</v>
      </c>
      <c r="C67" s="6" t="s">
        <v>310</v>
      </c>
      <c r="D67" s="6" t="s">
        <v>311</v>
      </c>
      <c r="E67" s="6">
        <v>0</v>
      </c>
      <c r="F67" s="42">
        <v>44287</v>
      </c>
      <c r="G67" s="42">
        <v>44357</v>
      </c>
      <c r="H67" s="42">
        <v>44357</v>
      </c>
      <c r="I67" s="6">
        <v>30</v>
      </c>
      <c r="J67" s="7">
        <v>1230</v>
      </c>
      <c r="K67" s="57" t="s">
        <v>308</v>
      </c>
      <c r="L67" s="20" t="s">
        <v>2215</v>
      </c>
      <c r="M67" s="240" t="e">
        <f t="shared" si="11"/>
        <v>#VALUE!</v>
      </c>
      <c r="N67" s="20" t="s">
        <v>2215</v>
      </c>
      <c r="O67" s="240" t="e">
        <f t="shared" si="12"/>
        <v>#VALUE!</v>
      </c>
      <c r="P67" s="20" t="s">
        <v>2215</v>
      </c>
      <c r="Q67" s="240" t="e">
        <f t="shared" si="13"/>
        <v>#VALUE!</v>
      </c>
      <c r="R67" s="20" t="s">
        <v>2215</v>
      </c>
      <c r="S67" s="240" t="e">
        <f t="shared" si="14"/>
        <v>#VALUE!</v>
      </c>
      <c r="T67" s="61" t="s">
        <v>2384</v>
      </c>
      <c r="U67" s="247" t="e">
        <f t="shared" si="15"/>
        <v>#VALUE!</v>
      </c>
      <c r="V67" s="61" t="s">
        <v>2385</v>
      </c>
      <c r="W67" s="247" t="e">
        <f t="shared" si="16"/>
        <v>#VALUE!</v>
      </c>
      <c r="X67" s="61" t="s">
        <v>2386</v>
      </c>
      <c r="Y67" s="247" t="e">
        <f t="shared" si="17"/>
        <v>#VALUE!</v>
      </c>
      <c r="Z67" s="61" t="s">
        <v>2387</v>
      </c>
      <c r="AA67" s="247" t="e">
        <f t="shared" si="18"/>
        <v>#VALUE!</v>
      </c>
      <c r="AB67" s="308">
        <v>1</v>
      </c>
      <c r="AC67" s="308">
        <v>2</v>
      </c>
      <c r="AD67" s="302"/>
      <c r="AE67" s="302"/>
      <c r="AF67" s="303"/>
      <c r="AG67" s="302"/>
      <c r="AH67" s="302"/>
      <c r="AI67" s="302"/>
      <c r="AJ67" s="304"/>
      <c r="AK67" s="304"/>
      <c r="AL67" s="306"/>
      <c r="AM67" s="306"/>
      <c r="AN67" s="307">
        <v>0</v>
      </c>
    </row>
    <row r="68" spans="1:40" ht="16">
      <c r="A68" s="2" t="s">
        <v>312</v>
      </c>
      <c r="B68" s="2">
        <v>22106885</v>
      </c>
      <c r="C68" s="2" t="s">
        <v>313</v>
      </c>
      <c r="D68" s="2" t="s">
        <v>94</v>
      </c>
      <c r="E68" s="2">
        <v>0</v>
      </c>
      <c r="F68" s="23">
        <v>44246</v>
      </c>
      <c r="G68" s="23">
        <v>44356</v>
      </c>
      <c r="H68" s="23">
        <v>44356</v>
      </c>
      <c r="I68" s="2" t="s">
        <v>314</v>
      </c>
      <c r="J68" s="4">
        <v>670</v>
      </c>
      <c r="K68" s="56" t="s">
        <v>315</v>
      </c>
      <c r="L68" s="23">
        <v>44568</v>
      </c>
      <c r="M68" s="238">
        <f t="shared" si="11"/>
        <v>0.58082191780821912</v>
      </c>
      <c r="N68" s="23">
        <v>44568</v>
      </c>
      <c r="O68" s="238">
        <f t="shared" si="12"/>
        <v>0.58082191780821912</v>
      </c>
      <c r="P68" s="23">
        <v>44566</v>
      </c>
      <c r="Q68" s="238">
        <f t="shared" si="13"/>
        <v>0.57534246575342463</v>
      </c>
      <c r="R68" s="23">
        <v>44568</v>
      </c>
      <c r="S68" s="238">
        <f t="shared" si="14"/>
        <v>0.58082191780821912</v>
      </c>
      <c r="T68" s="95">
        <v>45079</v>
      </c>
      <c r="U68" s="246">
        <f t="shared" si="15"/>
        <v>1.9808219178082191</v>
      </c>
      <c r="V68" s="95">
        <v>45079</v>
      </c>
      <c r="W68" s="246">
        <f t="shared" si="16"/>
        <v>1.9808219178082191</v>
      </c>
      <c r="X68" s="95">
        <v>45075</v>
      </c>
      <c r="Y68" s="246">
        <f t="shared" si="17"/>
        <v>1.9698630136986301</v>
      </c>
      <c r="Z68" s="95">
        <v>45079</v>
      </c>
      <c r="AA68" s="246">
        <f t="shared" si="18"/>
        <v>1.9808219178082191</v>
      </c>
      <c r="AB68" s="308">
        <v>2</v>
      </c>
      <c r="AC68">
        <v>2</v>
      </c>
      <c r="AD68" s="299">
        <v>84.6</v>
      </c>
      <c r="AE68" s="299">
        <v>11.6</v>
      </c>
      <c r="AF68" s="298">
        <f>AE68/(AD68/100)^2</f>
        <v>16.207546009869837</v>
      </c>
      <c r="AG68" s="299">
        <v>38</v>
      </c>
      <c r="AH68" s="299">
        <v>42</v>
      </c>
      <c r="AI68" s="299">
        <v>44.4</v>
      </c>
      <c r="AJ68" s="301">
        <v>1</v>
      </c>
      <c r="AK68" s="301">
        <v>1</v>
      </c>
      <c r="AL68" s="305">
        <v>0</v>
      </c>
      <c r="AM68" s="305">
        <v>2</v>
      </c>
      <c r="AN68" s="307">
        <v>1</v>
      </c>
    </row>
    <row r="69" spans="1:40" ht="16">
      <c r="A69" s="2" t="s">
        <v>316</v>
      </c>
      <c r="B69" s="2">
        <v>22106005</v>
      </c>
      <c r="C69" s="2" t="s">
        <v>317</v>
      </c>
      <c r="D69" s="2" t="s">
        <v>318</v>
      </c>
      <c r="E69" s="2">
        <v>1</v>
      </c>
      <c r="F69" s="23">
        <v>44164</v>
      </c>
      <c r="G69" s="23">
        <v>44259</v>
      </c>
      <c r="H69" s="23">
        <v>44259</v>
      </c>
      <c r="I69" s="2" t="s">
        <v>276</v>
      </c>
      <c r="J69" s="4">
        <v>670</v>
      </c>
      <c r="K69" s="56" t="s">
        <v>319</v>
      </c>
      <c r="L69" s="23">
        <v>44463</v>
      </c>
      <c r="M69" s="238">
        <f t="shared" si="11"/>
        <v>0.55890410958904113</v>
      </c>
      <c r="N69" s="23">
        <v>44463</v>
      </c>
      <c r="O69" s="238">
        <f t="shared" si="12"/>
        <v>0.55890410958904113</v>
      </c>
      <c r="P69" s="23">
        <v>44455</v>
      </c>
      <c r="Q69" s="238">
        <f t="shared" si="13"/>
        <v>0.53698630136986303</v>
      </c>
      <c r="R69" s="23">
        <v>44463</v>
      </c>
      <c r="S69" s="238">
        <f t="shared" si="14"/>
        <v>0.55890410958904113</v>
      </c>
      <c r="T69" s="95">
        <v>44995</v>
      </c>
      <c r="U69" s="246">
        <f t="shared" si="15"/>
        <v>2.0164383561643837</v>
      </c>
      <c r="V69" s="95">
        <v>44995</v>
      </c>
      <c r="W69" s="246">
        <f t="shared" si="16"/>
        <v>2.0164383561643837</v>
      </c>
      <c r="X69" s="95">
        <v>44994</v>
      </c>
      <c r="Y69" s="246">
        <f t="shared" si="17"/>
        <v>2.0136986301369864</v>
      </c>
      <c r="Z69" s="95">
        <v>44995</v>
      </c>
      <c r="AA69" s="246">
        <f t="shared" si="18"/>
        <v>2.0164383561643837</v>
      </c>
      <c r="AB69" s="308">
        <v>2</v>
      </c>
      <c r="AC69">
        <v>1</v>
      </c>
      <c r="AD69" s="299">
        <v>87</v>
      </c>
      <c r="AE69" s="299">
        <v>11.5</v>
      </c>
      <c r="AF69" s="298">
        <f>AE69/(AD69/100)^2</f>
        <v>15.193552648962875</v>
      </c>
      <c r="AG69" s="299">
        <v>17.399999999999999</v>
      </c>
      <c r="AH69" s="299">
        <v>53.4</v>
      </c>
      <c r="AI69" s="299">
        <v>12.1</v>
      </c>
      <c r="AJ69" s="301">
        <v>1</v>
      </c>
      <c r="AK69" s="301">
        <v>1</v>
      </c>
      <c r="AL69" s="305">
        <v>2</v>
      </c>
      <c r="AM69" s="305">
        <v>0</v>
      </c>
      <c r="AN69" s="307">
        <v>0</v>
      </c>
    </row>
    <row r="70" spans="1:40" ht="16">
      <c r="A70" s="2" t="s">
        <v>320</v>
      </c>
      <c r="B70" s="2">
        <v>22108151</v>
      </c>
      <c r="C70" s="39" t="s">
        <v>321</v>
      </c>
      <c r="D70" s="2" t="s">
        <v>322</v>
      </c>
      <c r="E70" s="2">
        <v>1</v>
      </c>
      <c r="F70" s="23">
        <v>44374</v>
      </c>
      <c r="G70" s="23">
        <v>44436</v>
      </c>
      <c r="H70" s="23">
        <v>44436</v>
      </c>
      <c r="I70" s="2" t="s">
        <v>323</v>
      </c>
      <c r="J70" s="4">
        <v>1540</v>
      </c>
      <c r="K70" s="56" t="s">
        <v>324</v>
      </c>
      <c r="L70" s="23">
        <v>44750</v>
      </c>
      <c r="M70" s="238">
        <f t="shared" si="11"/>
        <v>0.86027397260273974</v>
      </c>
      <c r="N70" s="23">
        <v>44631</v>
      </c>
      <c r="O70" s="238">
        <f t="shared" si="12"/>
        <v>0.53424657534246578</v>
      </c>
      <c r="P70" s="23">
        <v>44629</v>
      </c>
      <c r="Q70" s="238">
        <f t="shared" si="13"/>
        <v>0.52876712328767128</v>
      </c>
      <c r="R70" s="23">
        <v>44631</v>
      </c>
      <c r="S70" s="238">
        <f t="shared" si="14"/>
        <v>0.53424657534246578</v>
      </c>
      <c r="T70" s="17"/>
      <c r="U70" s="241">
        <f t="shared" si="15"/>
        <v>-121.74246575342465</v>
      </c>
      <c r="V70" s="40">
        <v>45283</v>
      </c>
      <c r="W70" s="241">
        <f t="shared" si="16"/>
        <v>2.3205479452054796</v>
      </c>
      <c r="X70" s="40">
        <v>45271</v>
      </c>
      <c r="Y70" s="241">
        <f t="shared" si="17"/>
        <v>2.2876712328767121</v>
      </c>
      <c r="Z70" s="17"/>
      <c r="AA70" s="241">
        <f t="shared" si="18"/>
        <v>-121.74246575342465</v>
      </c>
      <c r="AB70" s="308">
        <v>1</v>
      </c>
      <c r="AC70">
        <v>1</v>
      </c>
      <c r="AD70" s="299">
        <v>90</v>
      </c>
      <c r="AE70" s="299">
        <v>12</v>
      </c>
      <c r="AF70" s="298">
        <f>AE70/(AD70/100)^2</f>
        <v>14.814814814814813</v>
      </c>
      <c r="AG70" s="299">
        <v>18.7</v>
      </c>
      <c r="AH70" s="299">
        <v>56.2</v>
      </c>
      <c r="AI70" s="299">
        <v>7.7</v>
      </c>
      <c r="AJ70" s="301">
        <v>0</v>
      </c>
      <c r="AK70" s="301">
        <v>1</v>
      </c>
      <c r="AL70" s="305">
        <v>0</v>
      </c>
      <c r="AM70" s="305">
        <v>0</v>
      </c>
      <c r="AN70" s="307">
        <v>0</v>
      </c>
    </row>
    <row r="71" spans="1:40" ht="16">
      <c r="A71" s="2" t="s">
        <v>325</v>
      </c>
      <c r="B71" s="2">
        <v>22108143</v>
      </c>
      <c r="C71" s="2" t="s">
        <v>326</v>
      </c>
      <c r="D71" s="2" t="s">
        <v>327</v>
      </c>
      <c r="E71" s="2">
        <v>0</v>
      </c>
      <c r="F71" s="23">
        <v>44373</v>
      </c>
      <c r="G71" s="23">
        <v>44433</v>
      </c>
      <c r="H71" s="23">
        <v>44433</v>
      </c>
      <c r="I71" s="2" t="s">
        <v>105</v>
      </c>
      <c r="J71" s="4">
        <v>1420</v>
      </c>
      <c r="K71" s="27" t="s">
        <v>328</v>
      </c>
      <c r="L71" s="22" t="s">
        <v>1718</v>
      </c>
      <c r="M71" s="244" t="e">
        <f t="shared" si="11"/>
        <v>#VALUE!</v>
      </c>
      <c r="N71" s="40">
        <v>44637</v>
      </c>
      <c r="O71" s="241">
        <f t="shared" si="12"/>
        <v>0.55890410958904113</v>
      </c>
      <c r="P71" s="40">
        <v>44637</v>
      </c>
      <c r="Q71" s="241">
        <f t="shared" si="13"/>
        <v>0.55890410958904113</v>
      </c>
      <c r="R71" s="17"/>
      <c r="S71" s="241">
        <f t="shared" si="14"/>
        <v>-121.73424657534247</v>
      </c>
      <c r="T71" s="61" t="s">
        <v>2359</v>
      </c>
      <c r="U71" s="247" t="e">
        <f t="shared" si="15"/>
        <v>#VALUE!</v>
      </c>
      <c r="V71" s="61" t="s">
        <v>2393</v>
      </c>
      <c r="W71" s="247" t="e">
        <f t="shared" si="16"/>
        <v>#VALUE!</v>
      </c>
      <c r="X71" s="61" t="s">
        <v>2393</v>
      </c>
      <c r="Y71" s="247" t="e">
        <f t="shared" si="17"/>
        <v>#VALUE!</v>
      </c>
      <c r="Z71" s="61" t="s">
        <v>2393</v>
      </c>
      <c r="AA71" s="247" t="e">
        <f t="shared" si="18"/>
        <v>#VALUE!</v>
      </c>
      <c r="AB71" s="308">
        <v>1</v>
      </c>
      <c r="AC71" s="308">
        <v>2</v>
      </c>
      <c r="AD71" s="302"/>
      <c r="AE71" s="302"/>
      <c r="AF71" s="303"/>
      <c r="AG71" s="302"/>
      <c r="AH71" s="302"/>
      <c r="AI71" s="302"/>
      <c r="AJ71" s="304"/>
      <c r="AK71" s="304"/>
      <c r="AL71" s="306"/>
      <c r="AM71" s="306"/>
      <c r="AN71" s="307">
        <v>0</v>
      </c>
    </row>
    <row r="72" spans="1:40" ht="16">
      <c r="A72" s="2" t="s">
        <v>329</v>
      </c>
      <c r="B72" s="2">
        <v>22107452</v>
      </c>
      <c r="C72" s="2" t="s">
        <v>330</v>
      </c>
      <c r="D72" s="2" t="s">
        <v>331</v>
      </c>
      <c r="E72" s="2">
        <v>1</v>
      </c>
      <c r="F72" s="23">
        <v>44301</v>
      </c>
      <c r="G72" s="23">
        <v>44393</v>
      </c>
      <c r="H72" s="23">
        <v>44393</v>
      </c>
      <c r="I72" s="2" t="s">
        <v>165</v>
      </c>
      <c r="J72" s="4">
        <v>500</v>
      </c>
      <c r="K72" s="56" t="s">
        <v>332</v>
      </c>
      <c r="L72" s="23">
        <v>44631</v>
      </c>
      <c r="M72" s="238">
        <f t="shared" si="11"/>
        <v>0.65205479452054793</v>
      </c>
      <c r="N72" s="23">
        <v>44627</v>
      </c>
      <c r="O72" s="238">
        <f t="shared" si="12"/>
        <v>0.64109589041095894</v>
      </c>
      <c r="P72" s="23">
        <v>44626</v>
      </c>
      <c r="Q72" s="238">
        <f t="shared" si="13"/>
        <v>0.63835616438356169</v>
      </c>
      <c r="R72" s="23">
        <v>44627</v>
      </c>
      <c r="S72" s="238">
        <f t="shared" si="14"/>
        <v>0.64109589041095894</v>
      </c>
      <c r="T72" s="17"/>
      <c r="U72" s="241">
        <f t="shared" si="15"/>
        <v>-121.62465753424658</v>
      </c>
      <c r="V72" s="40">
        <v>45148</v>
      </c>
      <c r="W72" s="241">
        <f t="shared" si="16"/>
        <v>2.0684931506849313</v>
      </c>
      <c r="X72" s="40">
        <v>45152</v>
      </c>
      <c r="Y72" s="241">
        <f t="shared" si="17"/>
        <v>2.0794520547945203</v>
      </c>
      <c r="Z72" s="17"/>
      <c r="AA72" s="241">
        <f t="shared" si="18"/>
        <v>-121.62465753424658</v>
      </c>
      <c r="AB72" s="308">
        <v>2</v>
      </c>
      <c r="AC72">
        <v>2</v>
      </c>
      <c r="AD72" s="299">
        <v>90</v>
      </c>
      <c r="AE72" s="299">
        <v>8.8000000000000007</v>
      </c>
      <c r="AF72" s="298">
        <f>AE72/(AD72/100)^2</f>
        <v>10.864197530864198</v>
      </c>
      <c r="AG72" s="299">
        <v>0</v>
      </c>
      <c r="AH72" s="299">
        <v>79.2</v>
      </c>
      <c r="AI72" s="299">
        <v>0</v>
      </c>
      <c r="AJ72" s="301">
        <v>0</v>
      </c>
      <c r="AK72" s="301">
        <v>1</v>
      </c>
      <c r="AL72" s="305">
        <v>0</v>
      </c>
      <c r="AM72" s="305">
        <v>2</v>
      </c>
      <c r="AN72" s="307">
        <v>1</v>
      </c>
    </row>
    <row r="73" spans="1:40" ht="16">
      <c r="A73" s="2" t="s">
        <v>333</v>
      </c>
      <c r="B73" s="2">
        <v>22105672</v>
      </c>
      <c r="C73" s="2" t="s">
        <v>334</v>
      </c>
      <c r="D73" s="2" t="s">
        <v>335</v>
      </c>
      <c r="E73" s="2">
        <v>0</v>
      </c>
      <c r="F73" s="23">
        <v>44131</v>
      </c>
      <c r="G73" s="23">
        <v>44215</v>
      </c>
      <c r="H73" s="23">
        <v>44215</v>
      </c>
      <c r="I73" s="2">
        <v>28</v>
      </c>
      <c r="J73" s="4">
        <v>666</v>
      </c>
      <c r="K73" s="56" t="s">
        <v>336</v>
      </c>
      <c r="L73" s="23">
        <v>44498</v>
      </c>
      <c r="M73" s="238">
        <f t="shared" si="11"/>
        <v>0.77534246575342469</v>
      </c>
      <c r="N73" s="23">
        <v>44498</v>
      </c>
      <c r="O73" s="238">
        <f t="shared" si="12"/>
        <v>0.77534246575342469</v>
      </c>
      <c r="P73" s="23">
        <v>44496</v>
      </c>
      <c r="Q73" s="238">
        <f t="shared" si="13"/>
        <v>0.76986301369863008</v>
      </c>
      <c r="R73" s="23">
        <v>44441</v>
      </c>
      <c r="S73" s="238">
        <f t="shared" si="14"/>
        <v>0.61917808219178083</v>
      </c>
      <c r="T73" s="40"/>
      <c r="U73" s="241">
        <f t="shared" si="15"/>
        <v>-121.13698630136986</v>
      </c>
      <c r="V73" s="40"/>
      <c r="W73" s="241">
        <f t="shared" si="16"/>
        <v>-121.13698630136986</v>
      </c>
      <c r="X73" s="40">
        <v>45230</v>
      </c>
      <c r="Y73" s="241">
        <f t="shared" si="17"/>
        <v>2.7808219178082192</v>
      </c>
      <c r="Z73" s="40"/>
      <c r="AA73" s="241">
        <f t="shared" si="18"/>
        <v>-121.13698630136986</v>
      </c>
      <c r="AB73" s="308">
        <v>2</v>
      </c>
      <c r="AC73">
        <v>2</v>
      </c>
      <c r="AD73" s="299">
        <v>88.3</v>
      </c>
      <c r="AE73" s="299">
        <v>9.5</v>
      </c>
      <c r="AF73" s="298">
        <f>AE73/(AD73/100)^2</f>
        <v>12.184345296650331</v>
      </c>
      <c r="AG73" s="299">
        <v>0</v>
      </c>
      <c r="AH73" s="299">
        <v>11</v>
      </c>
      <c r="AI73" s="299">
        <v>0</v>
      </c>
      <c r="AJ73" s="301">
        <v>0</v>
      </c>
      <c r="AK73" s="312">
        <v>1</v>
      </c>
      <c r="AL73" s="305">
        <v>0</v>
      </c>
      <c r="AM73" s="305">
        <v>2</v>
      </c>
      <c r="AN73" s="307">
        <v>1</v>
      </c>
    </row>
    <row r="74" spans="1:40" ht="16">
      <c r="A74" s="6" t="s">
        <v>337</v>
      </c>
      <c r="B74" s="6">
        <v>22108394</v>
      </c>
      <c r="C74" s="6" t="s">
        <v>338</v>
      </c>
      <c r="D74" s="6" t="s">
        <v>339</v>
      </c>
      <c r="E74" s="6">
        <v>1</v>
      </c>
      <c r="F74" s="42">
        <v>44398</v>
      </c>
      <c r="G74" s="42">
        <v>44461</v>
      </c>
      <c r="H74" s="42">
        <v>44461</v>
      </c>
      <c r="I74" s="6">
        <v>31</v>
      </c>
      <c r="J74" s="7">
        <v>1340</v>
      </c>
      <c r="K74" s="57" t="s">
        <v>340</v>
      </c>
      <c r="L74" s="20" t="s">
        <v>2215</v>
      </c>
      <c r="M74" s="240" t="e">
        <f t="shared" si="11"/>
        <v>#VALUE!</v>
      </c>
      <c r="N74" s="20" t="s">
        <v>2215</v>
      </c>
      <c r="O74" s="240" t="e">
        <f t="shared" si="12"/>
        <v>#VALUE!</v>
      </c>
      <c r="P74" s="20" t="s">
        <v>2215</v>
      </c>
      <c r="Q74" s="240" t="e">
        <f t="shared" si="13"/>
        <v>#VALUE!</v>
      </c>
      <c r="R74" s="20" t="s">
        <v>2215</v>
      </c>
      <c r="S74" s="240" t="e">
        <f t="shared" si="14"/>
        <v>#VALUE!</v>
      </c>
      <c r="T74" s="61" t="s">
        <v>2392</v>
      </c>
      <c r="U74" s="247" t="e">
        <f t="shared" si="15"/>
        <v>#VALUE!</v>
      </c>
      <c r="V74" s="61" t="s">
        <v>2392</v>
      </c>
      <c r="W74" s="247" t="e">
        <f t="shared" si="16"/>
        <v>#VALUE!</v>
      </c>
      <c r="X74" s="62" t="s">
        <v>2392</v>
      </c>
      <c r="Y74" s="255" t="e">
        <f t="shared" si="17"/>
        <v>#VALUE!</v>
      </c>
      <c r="Z74" s="62" t="s">
        <v>2392</v>
      </c>
      <c r="AA74" s="255" t="e">
        <f t="shared" si="18"/>
        <v>#VALUE!</v>
      </c>
      <c r="AB74" s="308">
        <v>1</v>
      </c>
      <c r="AC74" s="308">
        <v>1</v>
      </c>
      <c r="AD74" s="302"/>
      <c r="AE74" s="302"/>
      <c r="AF74" s="303"/>
      <c r="AG74" s="302"/>
      <c r="AH74" s="302"/>
      <c r="AI74" s="302"/>
      <c r="AJ74" s="304"/>
      <c r="AK74" s="304"/>
      <c r="AL74" s="306"/>
      <c r="AM74" s="306"/>
      <c r="AN74" s="307">
        <v>0</v>
      </c>
    </row>
    <row r="75" spans="1:40" ht="16">
      <c r="A75" s="6" t="s">
        <v>341</v>
      </c>
      <c r="B75" s="6">
        <v>22108395</v>
      </c>
      <c r="C75" s="6" t="s">
        <v>342</v>
      </c>
      <c r="D75" s="6" t="s">
        <v>343</v>
      </c>
      <c r="E75" s="6">
        <v>1</v>
      </c>
      <c r="F75" s="42">
        <v>44398</v>
      </c>
      <c r="G75" s="42">
        <v>44461</v>
      </c>
      <c r="H75" s="42">
        <v>44461</v>
      </c>
      <c r="I75" s="6">
        <v>31</v>
      </c>
      <c r="J75" s="7">
        <v>1350</v>
      </c>
      <c r="K75" s="57" t="s">
        <v>340</v>
      </c>
      <c r="L75" s="20" t="s">
        <v>2215</v>
      </c>
      <c r="M75" s="240" t="e">
        <f t="shared" si="11"/>
        <v>#VALUE!</v>
      </c>
      <c r="N75" s="20" t="s">
        <v>2215</v>
      </c>
      <c r="O75" s="240" t="e">
        <f t="shared" si="12"/>
        <v>#VALUE!</v>
      </c>
      <c r="P75" s="20" t="s">
        <v>2215</v>
      </c>
      <c r="Q75" s="240" t="e">
        <f t="shared" si="13"/>
        <v>#VALUE!</v>
      </c>
      <c r="R75" s="20" t="s">
        <v>2215</v>
      </c>
      <c r="S75" s="240" t="e">
        <f t="shared" si="14"/>
        <v>#VALUE!</v>
      </c>
      <c r="T75" s="61" t="s">
        <v>2392</v>
      </c>
      <c r="U75" s="247" t="e">
        <f t="shared" si="15"/>
        <v>#VALUE!</v>
      </c>
      <c r="V75" s="61" t="s">
        <v>2392</v>
      </c>
      <c r="W75" s="247" t="e">
        <f t="shared" si="16"/>
        <v>#VALUE!</v>
      </c>
      <c r="X75" s="62" t="s">
        <v>2392</v>
      </c>
      <c r="Y75" s="255" t="e">
        <f t="shared" si="17"/>
        <v>#VALUE!</v>
      </c>
      <c r="Z75" s="62" t="s">
        <v>2392</v>
      </c>
      <c r="AA75" s="255" t="e">
        <f t="shared" si="18"/>
        <v>#VALUE!</v>
      </c>
      <c r="AB75" s="308">
        <v>1</v>
      </c>
      <c r="AC75" s="308">
        <v>1</v>
      </c>
      <c r="AD75" s="302"/>
      <c r="AE75" s="302"/>
      <c r="AF75" s="303"/>
      <c r="AG75" s="302"/>
      <c r="AH75" s="302"/>
      <c r="AI75" s="302"/>
      <c r="AJ75" s="304"/>
      <c r="AK75" s="304"/>
      <c r="AL75" s="306"/>
      <c r="AM75" s="306"/>
      <c r="AN75" s="307">
        <v>0</v>
      </c>
    </row>
    <row r="76" spans="1:40" ht="16">
      <c r="A76" s="2" t="s">
        <v>344</v>
      </c>
      <c r="B76" s="2">
        <v>21929897</v>
      </c>
      <c r="C76" s="2" t="s">
        <v>345</v>
      </c>
      <c r="D76" s="2" t="s">
        <v>346</v>
      </c>
      <c r="E76" s="2">
        <v>0</v>
      </c>
      <c r="F76" s="23">
        <v>43598</v>
      </c>
      <c r="G76" s="23">
        <v>43687</v>
      </c>
      <c r="H76" s="23">
        <v>43687</v>
      </c>
      <c r="I76" s="2" t="s">
        <v>347</v>
      </c>
      <c r="J76" s="4">
        <v>760</v>
      </c>
      <c r="K76" s="56" t="s">
        <v>348</v>
      </c>
      <c r="L76" s="16" t="s">
        <v>1995</v>
      </c>
      <c r="M76" s="239" t="e">
        <f t="shared" si="11"/>
        <v>#VALUE!</v>
      </c>
      <c r="N76" s="16" t="s">
        <v>1995</v>
      </c>
      <c r="O76" s="239" t="e">
        <f t="shared" si="12"/>
        <v>#VALUE!</v>
      </c>
      <c r="P76" s="16" t="s">
        <v>1995</v>
      </c>
      <c r="Q76" s="239" t="e">
        <f t="shared" si="13"/>
        <v>#VALUE!</v>
      </c>
      <c r="R76" s="16" t="s">
        <v>1995</v>
      </c>
      <c r="S76" s="239" t="e">
        <f t="shared" si="14"/>
        <v>#VALUE!</v>
      </c>
      <c r="T76" s="95">
        <v>44585</v>
      </c>
      <c r="U76" s="246">
        <f t="shared" si="15"/>
        <v>2.4602739726027396</v>
      </c>
      <c r="V76" s="95">
        <v>44585</v>
      </c>
      <c r="W76" s="246">
        <f t="shared" si="16"/>
        <v>2.4602739726027396</v>
      </c>
      <c r="X76" s="95">
        <v>44581</v>
      </c>
      <c r="Y76" s="246">
        <f t="shared" si="17"/>
        <v>2.4493150684931506</v>
      </c>
      <c r="Z76" s="95">
        <v>44442</v>
      </c>
      <c r="AA76" s="246">
        <f t="shared" si="18"/>
        <v>2.0684931506849313</v>
      </c>
      <c r="AB76" s="308">
        <v>2</v>
      </c>
      <c r="AC76">
        <v>2</v>
      </c>
      <c r="AD76" s="299">
        <v>97.1</v>
      </c>
      <c r="AE76" s="299">
        <v>14.3</v>
      </c>
      <c r="AF76" s="298">
        <f>AE76/(AD76/100)^2</f>
        <v>15.166926342829811</v>
      </c>
      <c r="AG76" s="299">
        <v>81.400000000000006</v>
      </c>
      <c r="AH76" s="299">
        <v>97.9</v>
      </c>
      <c r="AI76" s="299">
        <v>23.1</v>
      </c>
      <c r="AJ76" s="301">
        <v>0</v>
      </c>
      <c r="AK76" s="301">
        <v>2</v>
      </c>
      <c r="AL76" s="305">
        <v>2</v>
      </c>
      <c r="AM76" s="305">
        <v>0</v>
      </c>
      <c r="AN76" s="307">
        <v>1</v>
      </c>
    </row>
    <row r="77" spans="1:40" ht="16">
      <c r="A77" s="2" t="s">
        <v>349</v>
      </c>
      <c r="B77" s="2">
        <v>22102403</v>
      </c>
      <c r="C77" s="2" t="s">
        <v>350</v>
      </c>
      <c r="D77" s="2" t="s">
        <v>351</v>
      </c>
      <c r="E77" s="2">
        <v>0</v>
      </c>
      <c r="F77" s="23">
        <v>43811</v>
      </c>
      <c r="G77" s="23">
        <v>43880</v>
      </c>
      <c r="H77" s="23">
        <v>43880</v>
      </c>
      <c r="I77" s="2" t="s">
        <v>100</v>
      </c>
      <c r="J77" s="4">
        <v>1310</v>
      </c>
      <c r="K77" s="27" t="s">
        <v>352</v>
      </c>
      <c r="L77" s="16" t="s">
        <v>1995</v>
      </c>
      <c r="M77" s="239" t="e">
        <f t="shared" si="11"/>
        <v>#VALUE!</v>
      </c>
      <c r="N77" s="16" t="s">
        <v>1995</v>
      </c>
      <c r="O77" s="239" t="e">
        <f t="shared" si="12"/>
        <v>#VALUE!</v>
      </c>
      <c r="P77" s="16" t="s">
        <v>1995</v>
      </c>
      <c r="Q77" s="239" t="e">
        <f t="shared" si="13"/>
        <v>#VALUE!</v>
      </c>
      <c r="R77" s="16" t="s">
        <v>1995</v>
      </c>
      <c r="S77" s="239" t="e">
        <f t="shared" si="14"/>
        <v>#VALUE!</v>
      </c>
      <c r="T77" s="95">
        <v>44634</v>
      </c>
      <c r="U77" s="246">
        <f t="shared" si="15"/>
        <v>2.0657534246575344</v>
      </c>
      <c r="V77" s="95">
        <v>44634</v>
      </c>
      <c r="W77" s="246">
        <f t="shared" si="16"/>
        <v>2.0657534246575344</v>
      </c>
      <c r="X77" s="95">
        <v>44633</v>
      </c>
      <c r="Y77" s="246">
        <f t="shared" si="17"/>
        <v>2.0630136986301371</v>
      </c>
      <c r="Z77" s="95">
        <v>44634</v>
      </c>
      <c r="AA77" s="246">
        <f t="shared" si="18"/>
        <v>2.0657534246575344</v>
      </c>
      <c r="AB77" s="308">
        <v>1</v>
      </c>
      <c r="AC77">
        <v>1</v>
      </c>
      <c r="AD77" s="299">
        <v>78.5</v>
      </c>
      <c r="AE77" s="299">
        <v>9.4</v>
      </c>
      <c r="AF77" s="298">
        <f>AE77/(AD77/100)^2</f>
        <v>15.254168526106536</v>
      </c>
      <c r="AG77" s="299">
        <v>0.4</v>
      </c>
      <c r="AH77" s="299">
        <v>2.2000000000000002</v>
      </c>
      <c r="AI77" s="299">
        <v>19.2</v>
      </c>
      <c r="AJ77" s="301">
        <v>0</v>
      </c>
      <c r="AK77" s="301">
        <v>1</v>
      </c>
      <c r="AL77" s="305">
        <v>2</v>
      </c>
      <c r="AM77" s="305">
        <v>2</v>
      </c>
      <c r="AN77" s="307">
        <v>0</v>
      </c>
    </row>
    <row r="78" spans="1:40" ht="16">
      <c r="A78" s="2" t="s">
        <v>353</v>
      </c>
      <c r="B78" s="2">
        <v>22107823</v>
      </c>
      <c r="C78" s="2" t="s">
        <v>354</v>
      </c>
      <c r="D78" s="2" t="s">
        <v>355</v>
      </c>
      <c r="E78" s="2">
        <v>0</v>
      </c>
      <c r="F78" s="23">
        <v>44339</v>
      </c>
      <c r="G78" s="23">
        <v>44404</v>
      </c>
      <c r="H78" s="23">
        <v>44404</v>
      </c>
      <c r="I78" s="2" t="s">
        <v>134</v>
      </c>
      <c r="J78" s="4">
        <v>1610</v>
      </c>
      <c r="K78" s="56" t="s">
        <v>356</v>
      </c>
      <c r="L78" s="23">
        <v>44628</v>
      </c>
      <c r="M78" s="238">
        <f t="shared" si="11"/>
        <v>0.61369863013698633</v>
      </c>
      <c r="N78" s="23">
        <v>44628</v>
      </c>
      <c r="O78" s="238">
        <f t="shared" si="12"/>
        <v>0.61369863013698633</v>
      </c>
      <c r="P78" s="23">
        <v>44627</v>
      </c>
      <c r="Q78" s="238">
        <f t="shared" si="13"/>
        <v>0.61095890410958908</v>
      </c>
      <c r="R78" s="23">
        <v>44628</v>
      </c>
      <c r="S78" s="238">
        <f t="shared" si="14"/>
        <v>0.61369863013698633</v>
      </c>
      <c r="T78" s="40">
        <v>45174</v>
      </c>
      <c r="U78" s="241">
        <f t="shared" si="15"/>
        <v>2.1095890410958904</v>
      </c>
      <c r="V78" s="40">
        <v>45188</v>
      </c>
      <c r="W78" s="241">
        <f t="shared" si="16"/>
        <v>2.1479452054794521</v>
      </c>
      <c r="X78" s="40">
        <v>45182</v>
      </c>
      <c r="Y78" s="241">
        <f t="shared" si="17"/>
        <v>2.1315068493150684</v>
      </c>
      <c r="Z78" s="17"/>
      <c r="AA78" s="241">
        <f t="shared" si="18"/>
        <v>-121.65479452054795</v>
      </c>
      <c r="AB78" s="308">
        <v>1</v>
      </c>
      <c r="AC78">
        <v>1</v>
      </c>
      <c r="AD78" s="299">
        <v>85.6</v>
      </c>
      <c r="AE78" s="299">
        <v>10.6</v>
      </c>
      <c r="AF78" s="298">
        <f>AE78/(AD78/100)^2</f>
        <v>14.466328937025068</v>
      </c>
      <c r="AG78" s="299">
        <v>7.7</v>
      </c>
      <c r="AH78" s="299">
        <v>44.1</v>
      </c>
      <c r="AI78" s="299">
        <v>6.3</v>
      </c>
      <c r="AJ78" s="301">
        <v>0</v>
      </c>
      <c r="AK78" s="301">
        <v>1</v>
      </c>
      <c r="AL78" s="305">
        <v>0</v>
      </c>
      <c r="AM78" s="305">
        <v>0</v>
      </c>
      <c r="AN78" s="307">
        <v>1</v>
      </c>
    </row>
    <row r="79" spans="1:40" ht="16">
      <c r="A79" s="2" t="s">
        <v>357</v>
      </c>
      <c r="B79" s="2">
        <v>4998396</v>
      </c>
      <c r="C79" s="2" t="s">
        <v>358</v>
      </c>
      <c r="D79" s="2" t="s">
        <v>169</v>
      </c>
      <c r="E79" s="2">
        <v>0</v>
      </c>
      <c r="F79" s="23">
        <v>44263</v>
      </c>
      <c r="G79" s="23">
        <v>44271</v>
      </c>
      <c r="H79" s="23">
        <v>44263</v>
      </c>
      <c r="I79" s="2" t="s">
        <v>90</v>
      </c>
      <c r="J79" s="4">
        <v>3080</v>
      </c>
      <c r="K79" s="27" t="s">
        <v>171</v>
      </c>
      <c r="L79" s="23">
        <v>44462</v>
      </c>
      <c r="M79" s="238">
        <f t="shared" si="11"/>
        <v>0.54520547945205478</v>
      </c>
      <c r="N79" s="23">
        <v>44484</v>
      </c>
      <c r="O79" s="238">
        <f t="shared" si="12"/>
        <v>0.60547945205479448</v>
      </c>
      <c r="P79" s="23">
        <v>44464</v>
      </c>
      <c r="Q79" s="238">
        <f t="shared" si="13"/>
        <v>0.55068493150684927</v>
      </c>
      <c r="R79" s="23">
        <v>44462</v>
      </c>
      <c r="S79" s="238">
        <f t="shared" si="14"/>
        <v>0.54520547945205478</v>
      </c>
      <c r="T79" s="32" t="s">
        <v>1955</v>
      </c>
      <c r="U79" s="248" t="e">
        <f t="shared" si="15"/>
        <v>#VALUE!</v>
      </c>
      <c r="V79" s="32" t="s">
        <v>1955</v>
      </c>
      <c r="W79" s="248" t="e">
        <f t="shared" si="16"/>
        <v>#VALUE!</v>
      </c>
      <c r="X79" s="32" t="s">
        <v>1955</v>
      </c>
      <c r="Y79" s="248" t="e">
        <f t="shared" si="17"/>
        <v>#VALUE!</v>
      </c>
      <c r="Z79" s="32" t="s">
        <v>1955</v>
      </c>
      <c r="AA79" s="248" t="e">
        <f t="shared" si="18"/>
        <v>#VALUE!</v>
      </c>
      <c r="AB79" s="308">
        <v>0</v>
      </c>
      <c r="AC79">
        <v>0</v>
      </c>
      <c r="AD79" s="302"/>
      <c r="AE79" s="302"/>
      <c r="AF79" s="303"/>
      <c r="AG79" s="302"/>
      <c r="AH79" s="302"/>
      <c r="AI79" s="302"/>
      <c r="AJ79" s="304"/>
      <c r="AK79" s="304"/>
      <c r="AL79" s="306"/>
      <c r="AM79" s="306"/>
      <c r="AN79" s="307">
        <v>0</v>
      </c>
    </row>
    <row r="80" spans="1:40" ht="16">
      <c r="A80" s="2" t="s">
        <v>359</v>
      </c>
      <c r="B80" s="2">
        <v>22270695</v>
      </c>
      <c r="C80" s="2" t="s">
        <v>360</v>
      </c>
      <c r="D80" s="2" t="s">
        <v>361</v>
      </c>
      <c r="E80" s="2">
        <v>1</v>
      </c>
      <c r="F80" s="23">
        <v>44227</v>
      </c>
      <c r="G80" s="23">
        <v>44324</v>
      </c>
      <c r="H80" s="23">
        <v>44324</v>
      </c>
      <c r="I80" s="2">
        <v>26</v>
      </c>
      <c r="J80" s="4">
        <v>925</v>
      </c>
      <c r="K80" s="56" t="s">
        <v>362</v>
      </c>
      <c r="L80" s="23">
        <v>44508</v>
      </c>
      <c r="M80" s="238">
        <f t="shared" si="11"/>
        <v>0.50410958904109593</v>
      </c>
      <c r="N80" s="23">
        <v>44498</v>
      </c>
      <c r="O80" s="238">
        <f t="shared" si="12"/>
        <v>0.47671232876712327</v>
      </c>
      <c r="P80" s="23">
        <v>44497</v>
      </c>
      <c r="Q80" s="238">
        <f t="shared" si="13"/>
        <v>0.47397260273972602</v>
      </c>
      <c r="R80" s="23">
        <v>44508</v>
      </c>
      <c r="S80" s="238">
        <f t="shared" si="14"/>
        <v>0.50410958904109593</v>
      </c>
      <c r="T80" s="95">
        <v>45080</v>
      </c>
      <c r="U80" s="246">
        <f t="shared" si="15"/>
        <v>2.0712328767123287</v>
      </c>
      <c r="V80" s="95">
        <v>45080</v>
      </c>
      <c r="W80" s="246">
        <f t="shared" si="16"/>
        <v>2.0712328767123287</v>
      </c>
      <c r="X80" s="95">
        <v>45077</v>
      </c>
      <c r="Y80" s="246">
        <f t="shared" si="17"/>
        <v>2.0630136986301371</v>
      </c>
      <c r="Z80" s="95">
        <v>45080</v>
      </c>
      <c r="AA80" s="246">
        <f t="shared" si="18"/>
        <v>2.0712328767123287</v>
      </c>
      <c r="AB80" s="308">
        <v>2</v>
      </c>
      <c r="AC80">
        <v>2</v>
      </c>
      <c r="AD80" s="299">
        <v>82.7</v>
      </c>
      <c r="AE80" s="299">
        <v>11.3</v>
      </c>
      <c r="AF80" s="298">
        <f>AE80/(AD80/100)^2</f>
        <v>16.522182858162175</v>
      </c>
      <c r="AG80" s="299">
        <v>12.3</v>
      </c>
      <c r="AH80" s="299">
        <v>10.4</v>
      </c>
      <c r="AI80" s="299">
        <v>49.7</v>
      </c>
      <c r="AJ80" s="301">
        <v>0</v>
      </c>
      <c r="AK80" s="301">
        <v>1</v>
      </c>
      <c r="AL80" s="305">
        <v>0</v>
      </c>
      <c r="AM80" s="305">
        <v>2</v>
      </c>
      <c r="AN80" s="307">
        <v>1</v>
      </c>
    </row>
    <row r="81" spans="1:40" ht="16">
      <c r="A81" s="2" t="s">
        <v>2737</v>
      </c>
      <c r="B81" s="2">
        <v>22107485</v>
      </c>
      <c r="C81" s="39" t="s">
        <v>364</v>
      </c>
      <c r="D81" s="2" t="s">
        <v>365</v>
      </c>
      <c r="E81" s="2">
        <v>1</v>
      </c>
      <c r="F81" s="23">
        <v>44304</v>
      </c>
      <c r="G81" s="23">
        <v>44368</v>
      </c>
      <c r="H81" s="23">
        <v>44368</v>
      </c>
      <c r="I81" s="2" t="s">
        <v>242</v>
      </c>
      <c r="J81" s="2">
        <v>1460</v>
      </c>
      <c r="K81" s="56" t="s">
        <v>366</v>
      </c>
      <c r="L81" s="23">
        <v>44545</v>
      </c>
      <c r="M81" s="238">
        <f t="shared" si="11"/>
        <v>0.48493150684931507</v>
      </c>
      <c r="N81" s="23">
        <v>44545</v>
      </c>
      <c r="O81" s="238">
        <f t="shared" si="12"/>
        <v>0.48493150684931507</v>
      </c>
      <c r="P81" s="23">
        <v>44541</v>
      </c>
      <c r="Q81" s="238">
        <f t="shared" si="13"/>
        <v>0.47397260273972602</v>
      </c>
      <c r="R81" s="23">
        <v>44545</v>
      </c>
      <c r="S81" s="238">
        <f t="shared" si="14"/>
        <v>0.48493150684931507</v>
      </c>
      <c r="T81" s="40"/>
      <c r="U81" s="241">
        <f t="shared" si="15"/>
        <v>-121.55616438356165</v>
      </c>
      <c r="V81" s="40"/>
      <c r="W81" s="241">
        <f t="shared" si="16"/>
        <v>-121.55616438356165</v>
      </c>
      <c r="X81" s="40">
        <v>45124</v>
      </c>
      <c r="Y81" s="241">
        <f t="shared" si="17"/>
        <v>2.0712328767123287</v>
      </c>
      <c r="Z81" s="40"/>
      <c r="AA81" s="241">
        <f t="shared" si="18"/>
        <v>-121.55616438356165</v>
      </c>
      <c r="AB81" s="308">
        <v>1</v>
      </c>
      <c r="AC81">
        <v>1</v>
      </c>
      <c r="AD81" s="299">
        <v>91.7</v>
      </c>
      <c r="AE81" s="299">
        <v>14.5</v>
      </c>
      <c r="AF81" s="298">
        <f>AE81/(AD81/100)^2</f>
        <v>17.243655226789741</v>
      </c>
      <c r="AG81" s="299">
        <v>87</v>
      </c>
      <c r="AH81" s="299">
        <v>86</v>
      </c>
      <c r="AI81" s="299">
        <v>69.400000000000006</v>
      </c>
      <c r="AJ81" s="301">
        <v>0</v>
      </c>
      <c r="AK81" s="301">
        <v>1</v>
      </c>
      <c r="AL81" s="305">
        <v>0</v>
      </c>
      <c r="AM81" s="305">
        <v>0</v>
      </c>
      <c r="AN81" s="307">
        <v>0</v>
      </c>
    </row>
    <row r="82" spans="1:40" ht="16">
      <c r="A82" s="2" t="s">
        <v>367</v>
      </c>
      <c r="B82" s="2">
        <v>22107486</v>
      </c>
      <c r="C82" s="39" t="s">
        <v>368</v>
      </c>
      <c r="D82" s="2" t="s">
        <v>369</v>
      </c>
      <c r="E82" s="2">
        <v>1</v>
      </c>
      <c r="F82" s="23">
        <v>44304</v>
      </c>
      <c r="G82" s="23">
        <v>44368</v>
      </c>
      <c r="H82" s="23">
        <v>44368</v>
      </c>
      <c r="I82" s="2" t="s">
        <v>242</v>
      </c>
      <c r="J82" s="2">
        <v>1740</v>
      </c>
      <c r="K82" s="56" t="s">
        <v>366</v>
      </c>
      <c r="L82" s="23">
        <v>44545</v>
      </c>
      <c r="M82" s="238">
        <f t="shared" si="11"/>
        <v>0.48493150684931507</v>
      </c>
      <c r="N82" s="23">
        <v>44545</v>
      </c>
      <c r="O82" s="238">
        <f t="shared" si="12"/>
        <v>0.48493150684931507</v>
      </c>
      <c r="P82" s="23">
        <v>44540</v>
      </c>
      <c r="Q82" s="238">
        <f t="shared" si="13"/>
        <v>0.47123287671232877</v>
      </c>
      <c r="R82" s="23">
        <v>44545</v>
      </c>
      <c r="S82" s="238">
        <f t="shared" si="14"/>
        <v>0.48493150684931507</v>
      </c>
      <c r="T82" s="40"/>
      <c r="U82" s="241">
        <f t="shared" si="15"/>
        <v>-121.55616438356165</v>
      </c>
      <c r="V82" s="40"/>
      <c r="W82" s="241">
        <f t="shared" si="16"/>
        <v>-121.55616438356165</v>
      </c>
      <c r="X82" s="40">
        <v>45124</v>
      </c>
      <c r="Y82" s="241">
        <f t="shared" si="17"/>
        <v>2.0712328767123287</v>
      </c>
      <c r="Z82" s="40"/>
      <c r="AA82" s="241">
        <f t="shared" si="18"/>
        <v>-121.55616438356165</v>
      </c>
      <c r="AB82" s="308">
        <v>1</v>
      </c>
      <c r="AC82">
        <v>1</v>
      </c>
      <c r="AD82" s="299">
        <v>92.8</v>
      </c>
      <c r="AE82" s="299">
        <v>14.9</v>
      </c>
      <c r="AF82" s="298">
        <f>AE82/(AD82/100)^2</f>
        <v>17.301761296076105</v>
      </c>
      <c r="AG82" s="299">
        <v>92</v>
      </c>
      <c r="AH82" s="299">
        <v>91</v>
      </c>
      <c r="AI82" s="299">
        <v>70.7</v>
      </c>
      <c r="AJ82" s="301">
        <v>0</v>
      </c>
      <c r="AK82" s="301">
        <v>1</v>
      </c>
      <c r="AL82" s="305">
        <v>0</v>
      </c>
      <c r="AM82" s="305">
        <v>0</v>
      </c>
      <c r="AN82" s="307">
        <v>0</v>
      </c>
    </row>
    <row r="83" spans="1:40" ht="16">
      <c r="A83" s="2" t="s">
        <v>370</v>
      </c>
      <c r="B83" s="2">
        <v>22108150</v>
      </c>
      <c r="C83" s="39" t="s">
        <v>371</v>
      </c>
      <c r="D83" s="2" t="s">
        <v>372</v>
      </c>
      <c r="E83" s="2">
        <v>1</v>
      </c>
      <c r="F83" s="23">
        <v>44374</v>
      </c>
      <c r="G83" s="23">
        <v>44436</v>
      </c>
      <c r="H83" s="23">
        <v>44436</v>
      </c>
      <c r="I83" s="2" t="s">
        <v>323</v>
      </c>
      <c r="J83" s="2">
        <v>1020</v>
      </c>
      <c r="K83" s="56" t="s">
        <v>324</v>
      </c>
      <c r="L83" s="23">
        <v>44623</v>
      </c>
      <c r="M83" s="238">
        <f t="shared" si="11"/>
        <v>0.51232876712328768</v>
      </c>
      <c r="N83" s="23">
        <v>44623</v>
      </c>
      <c r="O83" s="238">
        <f t="shared" si="12"/>
        <v>0.51232876712328768</v>
      </c>
      <c r="P83" s="23">
        <v>44621</v>
      </c>
      <c r="Q83" s="238">
        <f t="shared" si="13"/>
        <v>0.50684931506849318</v>
      </c>
      <c r="R83" s="23">
        <v>44623</v>
      </c>
      <c r="S83" s="238">
        <f t="shared" si="14"/>
        <v>0.51232876712328768</v>
      </c>
      <c r="T83" s="60" t="s">
        <v>2588</v>
      </c>
      <c r="U83" s="60" t="e">
        <f t="shared" si="15"/>
        <v>#VALUE!</v>
      </c>
      <c r="V83" s="60" t="s">
        <v>2588</v>
      </c>
      <c r="W83" s="60" t="e">
        <f t="shared" si="16"/>
        <v>#VALUE!</v>
      </c>
      <c r="X83" s="60" t="s">
        <v>2588</v>
      </c>
      <c r="Y83" s="60" t="e">
        <f t="shared" si="17"/>
        <v>#VALUE!</v>
      </c>
      <c r="Z83" s="60" t="s">
        <v>2588</v>
      </c>
      <c r="AA83" s="60" t="e">
        <f t="shared" si="18"/>
        <v>#VALUE!</v>
      </c>
      <c r="AB83" s="308">
        <v>1</v>
      </c>
      <c r="AC83">
        <v>2</v>
      </c>
      <c r="AD83" s="302"/>
      <c r="AE83" s="302"/>
      <c r="AF83" s="303"/>
      <c r="AG83" s="302"/>
      <c r="AH83" s="302"/>
      <c r="AI83" s="302"/>
      <c r="AJ83" s="304"/>
      <c r="AK83" s="304"/>
      <c r="AL83" s="306"/>
      <c r="AM83" s="306"/>
      <c r="AN83" s="307">
        <v>1</v>
      </c>
    </row>
    <row r="84" spans="1:40" ht="16">
      <c r="A84" s="2" t="s">
        <v>373</v>
      </c>
      <c r="B84" s="2">
        <v>22107133</v>
      </c>
      <c r="C84" s="2" t="s">
        <v>374</v>
      </c>
      <c r="D84" s="2" t="s">
        <v>375</v>
      </c>
      <c r="E84" s="2">
        <v>1</v>
      </c>
      <c r="F84" s="23">
        <v>44268</v>
      </c>
      <c r="G84" s="23">
        <v>44360</v>
      </c>
      <c r="H84" s="23">
        <v>44360</v>
      </c>
      <c r="I84" s="2" t="s">
        <v>165</v>
      </c>
      <c r="J84" s="2">
        <v>960</v>
      </c>
      <c r="K84" s="27" t="s">
        <v>376</v>
      </c>
      <c r="L84" s="20" t="s">
        <v>2215</v>
      </c>
      <c r="M84" s="240" t="e">
        <f t="shared" si="11"/>
        <v>#VALUE!</v>
      </c>
      <c r="N84" s="20" t="s">
        <v>2215</v>
      </c>
      <c r="O84" s="240" t="e">
        <f t="shared" si="12"/>
        <v>#VALUE!</v>
      </c>
      <c r="P84" s="20" t="s">
        <v>2215</v>
      </c>
      <c r="Q84" s="240" t="e">
        <f t="shared" si="13"/>
        <v>#VALUE!</v>
      </c>
      <c r="R84" s="20" t="s">
        <v>2215</v>
      </c>
      <c r="S84" s="240" t="e">
        <f t="shared" si="14"/>
        <v>#VALUE!</v>
      </c>
      <c r="T84" s="25" t="s">
        <v>1955</v>
      </c>
      <c r="U84" s="248" t="e">
        <f t="shared" si="15"/>
        <v>#VALUE!</v>
      </c>
      <c r="V84" s="25" t="s">
        <v>1955</v>
      </c>
      <c r="W84" s="248" t="e">
        <f t="shared" si="16"/>
        <v>#VALUE!</v>
      </c>
      <c r="X84" s="25" t="s">
        <v>1955</v>
      </c>
      <c r="Y84" s="248" t="e">
        <f t="shared" si="17"/>
        <v>#VALUE!</v>
      </c>
      <c r="Z84" s="25" t="s">
        <v>1955</v>
      </c>
      <c r="AA84" s="248" t="e">
        <f t="shared" si="18"/>
        <v>#VALUE!</v>
      </c>
      <c r="AB84" s="308">
        <v>2</v>
      </c>
      <c r="AC84" s="308">
        <v>2</v>
      </c>
      <c r="AD84" s="302"/>
      <c r="AE84" s="302"/>
      <c r="AF84" s="303"/>
      <c r="AG84" s="302"/>
      <c r="AH84" s="302"/>
      <c r="AI84" s="302"/>
      <c r="AJ84" s="304"/>
      <c r="AK84" s="304"/>
      <c r="AL84" s="306"/>
      <c r="AM84" s="306"/>
      <c r="AN84" s="307">
        <v>1</v>
      </c>
    </row>
    <row r="85" spans="1:40" ht="16">
      <c r="A85" s="2" t="s">
        <v>377</v>
      </c>
      <c r="B85" s="2">
        <v>22108726</v>
      </c>
      <c r="C85" s="2" t="s">
        <v>378</v>
      </c>
      <c r="D85" s="2" t="s">
        <v>379</v>
      </c>
      <c r="E85" s="2">
        <v>0</v>
      </c>
      <c r="F85" s="23">
        <v>44437</v>
      </c>
      <c r="G85" s="23">
        <v>44434</v>
      </c>
      <c r="H85" s="23">
        <v>44437</v>
      </c>
      <c r="I85" s="2" t="s">
        <v>226</v>
      </c>
      <c r="J85" s="4">
        <v>3090</v>
      </c>
      <c r="K85" s="56" t="s">
        <v>380</v>
      </c>
      <c r="L85" s="23">
        <v>44608</v>
      </c>
      <c r="M85" s="238">
        <f t="shared" si="11"/>
        <v>0.46849315068493153</v>
      </c>
      <c r="N85" s="23">
        <v>44608</v>
      </c>
      <c r="O85" s="238">
        <f t="shared" si="12"/>
        <v>0.46849315068493153</v>
      </c>
      <c r="P85" s="23">
        <v>44639</v>
      </c>
      <c r="Q85" s="238">
        <f t="shared" si="13"/>
        <v>0.55342465753424652</v>
      </c>
      <c r="R85" s="23">
        <v>44608</v>
      </c>
      <c r="S85" s="238">
        <f t="shared" si="14"/>
        <v>0.46849315068493153</v>
      </c>
      <c r="T85" s="17"/>
      <c r="U85" s="241">
        <f t="shared" si="15"/>
        <v>-121.74520547945205</v>
      </c>
      <c r="V85" s="17" t="s">
        <v>1955</v>
      </c>
      <c r="W85" s="241" t="e">
        <f t="shared" si="16"/>
        <v>#VALUE!</v>
      </c>
      <c r="X85" s="40">
        <v>45339</v>
      </c>
      <c r="Y85" s="241">
        <f t="shared" si="17"/>
        <v>2.4712328767123286</v>
      </c>
      <c r="Z85" s="17"/>
      <c r="AA85" s="241">
        <f t="shared" si="18"/>
        <v>-121.74520547945205</v>
      </c>
      <c r="AB85" s="308">
        <v>0</v>
      </c>
      <c r="AC85">
        <v>0</v>
      </c>
      <c r="AD85" s="299">
        <v>91.4</v>
      </c>
      <c r="AE85" s="299">
        <v>12.9</v>
      </c>
      <c r="AF85" s="298">
        <f>AE85/(AD85/100)^2</f>
        <v>15.441778509832462</v>
      </c>
      <c r="AG85" s="299">
        <v>49</v>
      </c>
      <c r="AH85" s="299">
        <v>59</v>
      </c>
      <c r="AI85" s="299">
        <v>31.2</v>
      </c>
      <c r="AJ85" s="301">
        <v>0</v>
      </c>
      <c r="AK85" s="301">
        <v>1</v>
      </c>
      <c r="AL85" s="305">
        <v>0</v>
      </c>
      <c r="AM85" s="305">
        <v>0</v>
      </c>
      <c r="AN85" s="307">
        <v>0</v>
      </c>
    </row>
    <row r="86" spans="1:40" ht="16">
      <c r="A86" s="2" t="s">
        <v>381</v>
      </c>
      <c r="B86" s="2">
        <v>22104406</v>
      </c>
      <c r="C86" s="2" t="s">
        <v>382</v>
      </c>
      <c r="D86" s="2" t="s">
        <v>365</v>
      </c>
      <c r="E86" s="2">
        <v>0</v>
      </c>
      <c r="F86" s="23">
        <v>44008</v>
      </c>
      <c r="G86" s="23">
        <v>44099</v>
      </c>
      <c r="H86" s="23">
        <v>44099</v>
      </c>
      <c r="I86" s="2">
        <v>27</v>
      </c>
      <c r="J86" s="4">
        <v>950</v>
      </c>
      <c r="K86" s="56" t="s">
        <v>383</v>
      </c>
      <c r="L86" s="23">
        <v>44487</v>
      </c>
      <c r="M86" s="238">
        <f t="shared" si="11"/>
        <v>1.0630136986301371</v>
      </c>
      <c r="N86" s="23">
        <v>44483</v>
      </c>
      <c r="O86" s="238">
        <f t="shared" si="12"/>
        <v>1.0520547945205478</v>
      </c>
      <c r="P86" s="23">
        <v>44482</v>
      </c>
      <c r="Q86" s="238">
        <f t="shared" si="13"/>
        <v>1.0493150684931507</v>
      </c>
      <c r="R86" s="23">
        <v>44470</v>
      </c>
      <c r="S86" s="238">
        <f t="shared" si="14"/>
        <v>1.0164383561643835</v>
      </c>
      <c r="T86" s="95">
        <v>44909</v>
      </c>
      <c r="U86" s="246">
        <f t="shared" si="15"/>
        <v>2.2191780821917808</v>
      </c>
      <c r="V86" s="95">
        <v>44909</v>
      </c>
      <c r="W86" s="246">
        <f t="shared" si="16"/>
        <v>2.2191780821917808</v>
      </c>
      <c r="X86" s="95">
        <v>44908</v>
      </c>
      <c r="Y86" s="246">
        <f t="shared" si="17"/>
        <v>2.2164383561643834</v>
      </c>
      <c r="Z86" s="95">
        <v>44909</v>
      </c>
      <c r="AA86" s="246">
        <f t="shared" si="18"/>
        <v>2.2191780821917808</v>
      </c>
      <c r="AB86" s="308">
        <v>2</v>
      </c>
      <c r="AC86">
        <v>2</v>
      </c>
      <c r="AD86" s="299">
        <v>83</v>
      </c>
      <c r="AE86" s="299">
        <v>9.9</v>
      </c>
      <c r="AF86" s="298">
        <f>AE86/(AD86/100)^2</f>
        <v>14.37073595587168</v>
      </c>
      <c r="AG86" s="299">
        <v>1.4</v>
      </c>
      <c r="AH86" s="299">
        <v>16.7</v>
      </c>
      <c r="AI86" s="299">
        <v>5.3</v>
      </c>
      <c r="AJ86" s="301">
        <v>0</v>
      </c>
      <c r="AK86" s="301">
        <v>1</v>
      </c>
      <c r="AL86" s="305">
        <v>2</v>
      </c>
      <c r="AM86" s="305">
        <v>0</v>
      </c>
      <c r="AN86" s="307">
        <v>0</v>
      </c>
    </row>
    <row r="87" spans="1:40" ht="16">
      <c r="A87" s="2" t="s">
        <v>384</v>
      </c>
      <c r="B87" s="2">
        <v>22108755</v>
      </c>
      <c r="C87" s="2" t="s">
        <v>385</v>
      </c>
      <c r="D87" s="2" t="s">
        <v>386</v>
      </c>
      <c r="E87" s="2">
        <v>0</v>
      </c>
      <c r="F87" s="23">
        <v>44440</v>
      </c>
      <c r="G87" s="23">
        <v>44449</v>
      </c>
      <c r="H87" s="23">
        <v>44440</v>
      </c>
      <c r="I87" s="2" t="s">
        <v>155</v>
      </c>
      <c r="J87" s="4">
        <v>3500</v>
      </c>
      <c r="K87" s="56" t="s">
        <v>387</v>
      </c>
      <c r="L87" s="23">
        <v>44624</v>
      </c>
      <c r="M87" s="238">
        <f t="shared" si="11"/>
        <v>0.50410958904109593</v>
      </c>
      <c r="N87" s="23">
        <v>44635</v>
      </c>
      <c r="O87" s="238">
        <f t="shared" si="12"/>
        <v>0.53424657534246578</v>
      </c>
      <c r="P87" s="23">
        <v>44617</v>
      </c>
      <c r="Q87" s="238">
        <f t="shared" si="13"/>
        <v>0.48493150684931507</v>
      </c>
      <c r="R87" s="23">
        <v>44624</v>
      </c>
      <c r="S87" s="238">
        <f t="shared" si="14"/>
        <v>0.50410958904109593</v>
      </c>
      <c r="T87" s="25" t="s">
        <v>2648</v>
      </c>
      <c r="U87" s="248" t="e">
        <f t="shared" si="15"/>
        <v>#VALUE!</v>
      </c>
      <c r="V87" s="25" t="s">
        <v>2648</v>
      </c>
      <c r="W87" s="248" t="e">
        <f t="shared" si="16"/>
        <v>#VALUE!</v>
      </c>
      <c r="X87" s="25" t="s">
        <v>2648</v>
      </c>
      <c r="Y87" s="248" t="e">
        <f t="shared" si="17"/>
        <v>#VALUE!</v>
      </c>
      <c r="Z87" s="25" t="s">
        <v>2648</v>
      </c>
      <c r="AA87" s="248" t="e">
        <f t="shared" si="18"/>
        <v>#VALUE!</v>
      </c>
      <c r="AB87" s="308">
        <v>0</v>
      </c>
      <c r="AC87">
        <v>0</v>
      </c>
      <c r="AD87" s="302"/>
      <c r="AE87" s="302"/>
      <c r="AF87" s="303"/>
      <c r="AG87" s="302"/>
      <c r="AH87" s="302"/>
      <c r="AI87" s="302"/>
      <c r="AJ87" s="304"/>
      <c r="AK87" s="304"/>
      <c r="AL87" s="306"/>
      <c r="AM87" s="306"/>
      <c r="AN87" s="307">
        <v>0</v>
      </c>
    </row>
    <row r="88" spans="1:40" ht="16">
      <c r="A88" s="2" t="s">
        <v>388</v>
      </c>
      <c r="B88" s="2">
        <v>22108762</v>
      </c>
      <c r="C88" s="2" t="s">
        <v>389</v>
      </c>
      <c r="D88" s="2" t="s">
        <v>390</v>
      </c>
      <c r="E88" s="2">
        <v>1</v>
      </c>
      <c r="F88" s="23">
        <v>44441</v>
      </c>
      <c r="G88" s="23">
        <v>44451</v>
      </c>
      <c r="H88" s="23">
        <v>44441</v>
      </c>
      <c r="I88" s="2" t="s">
        <v>391</v>
      </c>
      <c r="J88" s="4">
        <v>3080</v>
      </c>
      <c r="K88" s="27" t="s">
        <v>392</v>
      </c>
      <c r="L88" s="23">
        <v>44624</v>
      </c>
      <c r="M88" s="238">
        <f t="shared" si="11"/>
        <v>0.50136986301369868</v>
      </c>
      <c r="N88" s="23">
        <v>44624</v>
      </c>
      <c r="O88" s="238">
        <f t="shared" si="12"/>
        <v>0.50136986301369868</v>
      </c>
      <c r="P88" s="23">
        <v>44624</v>
      </c>
      <c r="Q88" s="238">
        <f t="shared" si="13"/>
        <v>0.50136986301369868</v>
      </c>
      <c r="R88" s="23">
        <v>44624</v>
      </c>
      <c r="S88" s="238">
        <f t="shared" si="14"/>
        <v>0.50136986301369868</v>
      </c>
      <c r="T88" s="25" t="s">
        <v>2647</v>
      </c>
      <c r="U88" s="248" t="e">
        <f t="shared" si="15"/>
        <v>#VALUE!</v>
      </c>
      <c r="V88" s="25"/>
      <c r="W88" s="248">
        <f t="shared" si="16"/>
        <v>-121.75616438356164</v>
      </c>
      <c r="X88" s="25"/>
      <c r="Y88" s="248">
        <f t="shared" si="17"/>
        <v>-121.75616438356164</v>
      </c>
      <c r="Z88" s="25"/>
      <c r="AA88" s="248">
        <f t="shared" si="18"/>
        <v>-121.75616438356164</v>
      </c>
      <c r="AB88" s="308">
        <v>0</v>
      </c>
      <c r="AC88">
        <v>0</v>
      </c>
      <c r="AD88" s="302"/>
      <c r="AE88" s="302"/>
      <c r="AF88" s="303"/>
      <c r="AG88" s="302"/>
      <c r="AH88" s="302"/>
      <c r="AI88" s="302"/>
      <c r="AJ88" s="304"/>
      <c r="AK88" s="304"/>
      <c r="AL88" s="306"/>
      <c r="AM88" s="306"/>
      <c r="AN88" s="307">
        <v>0</v>
      </c>
    </row>
    <row r="89" spans="1:40" ht="16">
      <c r="A89" s="2" t="s">
        <v>393</v>
      </c>
      <c r="B89" s="2">
        <v>22105932</v>
      </c>
      <c r="C89" s="39" t="s">
        <v>394</v>
      </c>
      <c r="D89" s="2" t="s">
        <v>395</v>
      </c>
      <c r="E89" s="2">
        <v>1</v>
      </c>
      <c r="F89" s="23">
        <v>44155</v>
      </c>
      <c r="G89" s="23">
        <v>44256</v>
      </c>
      <c r="H89" s="23">
        <v>44256</v>
      </c>
      <c r="I89" s="2" t="s">
        <v>217</v>
      </c>
      <c r="J89" s="4">
        <v>860</v>
      </c>
      <c r="K89" s="56" t="s">
        <v>396</v>
      </c>
      <c r="L89" s="17" t="s">
        <v>18</v>
      </c>
      <c r="M89" s="241" t="e">
        <f t="shared" si="11"/>
        <v>#VALUE!</v>
      </c>
      <c r="N89" s="40">
        <v>44474</v>
      </c>
      <c r="O89" s="241">
        <f t="shared" si="12"/>
        <v>0.59726027397260273</v>
      </c>
      <c r="P89" s="40">
        <v>44473</v>
      </c>
      <c r="Q89" s="241">
        <f t="shared" si="13"/>
        <v>0.59452054794520548</v>
      </c>
      <c r="R89" s="17" t="s">
        <v>1714</v>
      </c>
      <c r="S89" s="241" t="e">
        <f t="shared" si="14"/>
        <v>#VALUE!</v>
      </c>
      <c r="T89" s="94" t="s">
        <v>2423</v>
      </c>
      <c r="U89" s="250" t="e">
        <f t="shared" si="15"/>
        <v>#VALUE!</v>
      </c>
      <c r="V89" s="94" t="s">
        <v>2423</v>
      </c>
      <c r="W89" s="250" t="e">
        <f t="shared" si="16"/>
        <v>#VALUE!</v>
      </c>
      <c r="X89" s="94" t="s">
        <v>2423</v>
      </c>
      <c r="Y89" s="250" t="e">
        <f t="shared" si="17"/>
        <v>#VALUE!</v>
      </c>
      <c r="Z89" s="94" t="s">
        <v>2423</v>
      </c>
      <c r="AA89" s="250" t="e">
        <f t="shared" si="18"/>
        <v>#VALUE!</v>
      </c>
      <c r="AB89" s="308">
        <v>2</v>
      </c>
      <c r="AC89">
        <v>2</v>
      </c>
      <c r="AD89" s="302"/>
      <c r="AE89" s="302"/>
      <c r="AF89" s="303"/>
      <c r="AG89" s="302"/>
      <c r="AH89" s="302"/>
      <c r="AI89" s="302"/>
      <c r="AJ89" s="304"/>
      <c r="AK89" s="304"/>
      <c r="AL89" s="306"/>
      <c r="AM89" s="306"/>
      <c r="AN89" s="307">
        <v>1</v>
      </c>
    </row>
    <row r="90" spans="1:40" ht="16">
      <c r="A90" s="2" t="s">
        <v>397</v>
      </c>
      <c r="B90" s="2">
        <v>22105933</v>
      </c>
      <c r="C90" s="39" t="s">
        <v>398</v>
      </c>
      <c r="D90" s="2" t="s">
        <v>174</v>
      </c>
      <c r="E90" s="2">
        <v>0</v>
      </c>
      <c r="F90" s="23">
        <v>44155</v>
      </c>
      <c r="G90" s="23">
        <v>44256</v>
      </c>
      <c r="H90" s="23">
        <v>44256</v>
      </c>
      <c r="I90" s="2" t="s">
        <v>217</v>
      </c>
      <c r="J90" s="4">
        <v>765</v>
      </c>
      <c r="K90" s="56" t="s">
        <v>396</v>
      </c>
      <c r="L90" s="17" t="s">
        <v>18</v>
      </c>
      <c r="M90" s="241" t="e">
        <f t="shared" si="11"/>
        <v>#VALUE!</v>
      </c>
      <c r="N90" s="40">
        <v>44474</v>
      </c>
      <c r="O90" s="241">
        <f t="shared" si="12"/>
        <v>0.59726027397260273</v>
      </c>
      <c r="P90" s="40">
        <v>44473</v>
      </c>
      <c r="Q90" s="241">
        <f t="shared" si="13"/>
        <v>0.59452054794520548</v>
      </c>
      <c r="R90" s="17" t="s">
        <v>1714</v>
      </c>
      <c r="S90" s="241" t="e">
        <f t="shared" si="14"/>
        <v>#VALUE!</v>
      </c>
      <c r="T90" s="94" t="s">
        <v>2423</v>
      </c>
      <c r="U90" s="250" t="e">
        <f t="shared" si="15"/>
        <v>#VALUE!</v>
      </c>
      <c r="V90" s="94" t="s">
        <v>2423</v>
      </c>
      <c r="W90" s="250" t="e">
        <f t="shared" si="16"/>
        <v>#VALUE!</v>
      </c>
      <c r="X90" s="94" t="s">
        <v>2423</v>
      </c>
      <c r="Y90" s="250" t="e">
        <f t="shared" si="17"/>
        <v>#VALUE!</v>
      </c>
      <c r="Z90" s="94" t="s">
        <v>2423</v>
      </c>
      <c r="AA90" s="250" t="e">
        <f t="shared" si="18"/>
        <v>#VALUE!</v>
      </c>
      <c r="AB90" s="308">
        <v>2</v>
      </c>
      <c r="AC90">
        <v>2</v>
      </c>
      <c r="AD90" s="302"/>
      <c r="AE90" s="302"/>
      <c r="AF90" s="303"/>
      <c r="AG90" s="302"/>
      <c r="AH90" s="302"/>
      <c r="AI90" s="302"/>
      <c r="AJ90" s="304"/>
      <c r="AK90" s="304"/>
      <c r="AL90" s="306"/>
      <c r="AM90" s="306"/>
      <c r="AN90" s="307">
        <v>0</v>
      </c>
    </row>
    <row r="91" spans="1:40" ht="16">
      <c r="A91" s="2" t="s">
        <v>399</v>
      </c>
      <c r="B91" s="2">
        <v>22107573</v>
      </c>
      <c r="C91" s="2" t="s">
        <v>400</v>
      </c>
      <c r="D91" s="2" t="s">
        <v>401</v>
      </c>
      <c r="E91" s="2">
        <v>0</v>
      </c>
      <c r="F91" s="23">
        <v>44313</v>
      </c>
      <c r="G91" s="23">
        <v>44378</v>
      </c>
      <c r="H91" s="23">
        <v>44378</v>
      </c>
      <c r="I91" s="2" t="s">
        <v>134</v>
      </c>
      <c r="J91" s="4">
        <v>1300</v>
      </c>
      <c r="K91" s="56" t="s">
        <v>402</v>
      </c>
      <c r="L91" s="23">
        <v>44566</v>
      </c>
      <c r="M91" s="238">
        <f t="shared" si="11"/>
        <v>0.51506849315068493</v>
      </c>
      <c r="N91" s="23">
        <v>44566</v>
      </c>
      <c r="O91" s="238">
        <f t="shared" si="12"/>
        <v>0.51506849315068493</v>
      </c>
      <c r="P91" s="23">
        <v>44565</v>
      </c>
      <c r="Q91" s="238">
        <f t="shared" si="13"/>
        <v>0.51232876712328768</v>
      </c>
      <c r="R91" s="23">
        <v>44566</v>
      </c>
      <c r="S91" s="238">
        <f t="shared" si="14"/>
        <v>0.51506849315068493</v>
      </c>
      <c r="T91" s="95">
        <v>45161</v>
      </c>
      <c r="U91" s="246">
        <f t="shared" si="15"/>
        <v>2.1452054794520548</v>
      </c>
      <c r="V91" s="95">
        <v>45161</v>
      </c>
      <c r="W91" s="246">
        <f t="shared" si="16"/>
        <v>2.1452054794520548</v>
      </c>
      <c r="X91" s="95">
        <v>45154</v>
      </c>
      <c r="Y91" s="246">
        <f t="shared" si="17"/>
        <v>2.1260273972602741</v>
      </c>
      <c r="Z91" s="95">
        <v>45161</v>
      </c>
      <c r="AA91" s="246">
        <f t="shared" si="18"/>
        <v>2.1452054794520548</v>
      </c>
      <c r="AB91" s="308">
        <v>1</v>
      </c>
      <c r="AC91">
        <v>1</v>
      </c>
      <c r="AD91" s="299">
        <v>87.6</v>
      </c>
      <c r="AE91" s="299">
        <v>11.6</v>
      </c>
      <c r="AF91" s="298">
        <f>AE91/(AD91/100)^2</f>
        <v>15.116448781301477</v>
      </c>
      <c r="AG91" s="299">
        <v>28.6</v>
      </c>
      <c r="AH91" s="299">
        <v>62.7</v>
      </c>
      <c r="AI91" s="299">
        <v>17.399999999999999</v>
      </c>
      <c r="AJ91" s="301">
        <v>0</v>
      </c>
      <c r="AK91" s="301">
        <v>1</v>
      </c>
      <c r="AL91" s="305">
        <v>2</v>
      </c>
      <c r="AM91" s="305">
        <v>0</v>
      </c>
      <c r="AN91" s="307">
        <v>0</v>
      </c>
    </row>
    <row r="92" spans="1:40" ht="16">
      <c r="A92" s="2" t="s">
        <v>403</v>
      </c>
      <c r="B92" s="2">
        <v>22105890</v>
      </c>
      <c r="C92" s="2" t="s">
        <v>404</v>
      </c>
      <c r="D92" s="2" t="s">
        <v>365</v>
      </c>
      <c r="E92" s="2">
        <v>0</v>
      </c>
      <c r="F92" s="23">
        <v>44152</v>
      </c>
      <c r="G92" s="23">
        <v>44256</v>
      </c>
      <c r="H92" s="23">
        <v>44256</v>
      </c>
      <c r="I92" s="2" t="s">
        <v>405</v>
      </c>
      <c r="J92" s="4">
        <v>540</v>
      </c>
      <c r="K92" s="56" t="s">
        <v>406</v>
      </c>
      <c r="L92" s="23">
        <v>44474</v>
      </c>
      <c r="M92" s="238">
        <f t="shared" si="11"/>
        <v>0.59726027397260273</v>
      </c>
      <c r="N92" s="23">
        <v>44477</v>
      </c>
      <c r="O92" s="238">
        <f t="shared" si="12"/>
        <v>0.60547945205479448</v>
      </c>
      <c r="P92" s="23">
        <v>44476</v>
      </c>
      <c r="Q92" s="238">
        <f t="shared" si="13"/>
        <v>0.60273972602739723</v>
      </c>
      <c r="R92" s="23">
        <v>44474</v>
      </c>
      <c r="S92" s="238">
        <f t="shared" si="14"/>
        <v>0.59726027397260273</v>
      </c>
      <c r="T92" s="95">
        <v>44960</v>
      </c>
      <c r="U92" s="246">
        <f t="shared" si="15"/>
        <v>1.9287671232876713</v>
      </c>
      <c r="V92" s="95">
        <v>44994</v>
      </c>
      <c r="W92" s="246">
        <f t="shared" si="16"/>
        <v>2.021917808219178</v>
      </c>
      <c r="X92" s="95">
        <v>44957</v>
      </c>
      <c r="Y92" s="246">
        <f t="shared" si="17"/>
        <v>1.9205479452054794</v>
      </c>
      <c r="Z92" s="95">
        <v>44960</v>
      </c>
      <c r="AA92" s="246">
        <f t="shared" si="18"/>
        <v>1.9287671232876713</v>
      </c>
      <c r="AB92" s="308">
        <v>2</v>
      </c>
      <c r="AC92">
        <v>2</v>
      </c>
      <c r="AD92" s="299">
        <v>79.2</v>
      </c>
      <c r="AE92" s="299">
        <v>9.6999999999999993</v>
      </c>
      <c r="AF92" s="298">
        <f>AE92/(AD92/100)^2</f>
        <v>15.463983267013568</v>
      </c>
      <c r="AG92" s="299">
        <v>2</v>
      </c>
      <c r="AH92" s="299">
        <v>5</v>
      </c>
      <c r="AI92" s="299">
        <v>23.7</v>
      </c>
      <c r="AJ92" s="301">
        <v>1</v>
      </c>
      <c r="AK92" s="301">
        <v>1</v>
      </c>
      <c r="AL92" s="305">
        <v>0</v>
      </c>
      <c r="AM92" s="305">
        <v>2</v>
      </c>
      <c r="AN92" s="307">
        <v>1</v>
      </c>
    </row>
    <row r="93" spans="1:40" ht="16">
      <c r="A93" s="2" t="s">
        <v>407</v>
      </c>
      <c r="B93" s="2">
        <v>22108642</v>
      </c>
      <c r="C93" s="2" t="s">
        <v>408</v>
      </c>
      <c r="D93" s="2" t="s">
        <v>409</v>
      </c>
      <c r="E93" s="2">
        <v>0</v>
      </c>
      <c r="F93" s="23">
        <v>44426</v>
      </c>
      <c r="G93" s="23">
        <v>44488</v>
      </c>
      <c r="H93" s="23">
        <v>44488</v>
      </c>
      <c r="I93" s="2" t="s">
        <v>323</v>
      </c>
      <c r="J93" s="4">
        <v>1520</v>
      </c>
      <c r="K93" s="56" t="s">
        <v>410</v>
      </c>
      <c r="L93" s="22" t="s">
        <v>1718</v>
      </c>
      <c r="M93" s="244" t="e">
        <f t="shared" si="11"/>
        <v>#VALUE!</v>
      </c>
      <c r="N93" s="40">
        <v>44706</v>
      </c>
      <c r="O93" s="241">
        <f t="shared" si="12"/>
        <v>0.59726027397260273</v>
      </c>
      <c r="P93" s="40">
        <v>44705</v>
      </c>
      <c r="Q93" s="241">
        <f t="shared" si="13"/>
        <v>0.59452054794520548</v>
      </c>
      <c r="R93" s="40">
        <v>44706</v>
      </c>
      <c r="S93" s="241">
        <f t="shared" si="14"/>
        <v>0.59726027397260273</v>
      </c>
      <c r="T93" s="17"/>
      <c r="U93" s="241">
        <f t="shared" si="15"/>
        <v>-121.88493150684931</v>
      </c>
      <c r="V93" s="40">
        <v>45272</v>
      </c>
      <c r="W93" s="241">
        <f t="shared" si="16"/>
        <v>2.1479452054794521</v>
      </c>
      <c r="X93" s="40">
        <v>45322</v>
      </c>
      <c r="Y93" s="241">
        <f t="shared" si="17"/>
        <v>2.2849315068493152</v>
      </c>
      <c r="Z93" s="40">
        <v>45272</v>
      </c>
      <c r="AA93" s="241">
        <f t="shared" si="18"/>
        <v>2.1479452054794521</v>
      </c>
      <c r="AB93" s="308">
        <v>1</v>
      </c>
      <c r="AC93">
        <v>1</v>
      </c>
      <c r="AD93" s="299">
        <v>88</v>
      </c>
      <c r="AE93" s="299">
        <v>12.9</v>
      </c>
      <c r="AF93" s="298">
        <f>AE93/(AD93/100)^2</f>
        <v>16.658057851239672</v>
      </c>
      <c r="AG93" s="299">
        <v>65.7</v>
      </c>
      <c r="AH93" s="299">
        <v>65.8</v>
      </c>
      <c r="AI93" s="299">
        <v>60.2</v>
      </c>
      <c r="AJ93" s="301">
        <v>0</v>
      </c>
      <c r="AK93" s="301">
        <v>1</v>
      </c>
      <c r="AL93" s="305">
        <v>0</v>
      </c>
      <c r="AM93" s="305">
        <v>2</v>
      </c>
      <c r="AN93" s="307">
        <v>0</v>
      </c>
    </row>
    <row r="94" spans="1:40" ht="16">
      <c r="A94" s="2" t="s">
        <v>411</v>
      </c>
      <c r="B94" s="2">
        <v>22102895</v>
      </c>
      <c r="C94" s="39" t="s">
        <v>412</v>
      </c>
      <c r="D94" s="2" t="s">
        <v>413</v>
      </c>
      <c r="E94" s="2">
        <v>0</v>
      </c>
      <c r="F94" s="23">
        <v>43853</v>
      </c>
      <c r="G94" s="23">
        <v>43916</v>
      </c>
      <c r="H94" s="23">
        <v>43916</v>
      </c>
      <c r="I94" s="2">
        <v>31</v>
      </c>
      <c r="J94" s="4">
        <v>1445</v>
      </c>
      <c r="K94" s="27" t="s">
        <v>414</v>
      </c>
      <c r="L94" s="16" t="s">
        <v>1995</v>
      </c>
      <c r="M94" s="239" t="e">
        <f t="shared" si="11"/>
        <v>#VALUE!</v>
      </c>
      <c r="N94" s="16" t="s">
        <v>1995</v>
      </c>
      <c r="O94" s="239" t="e">
        <f t="shared" si="12"/>
        <v>#VALUE!</v>
      </c>
      <c r="P94" s="16" t="s">
        <v>1995</v>
      </c>
      <c r="Q94" s="239" t="e">
        <f t="shared" si="13"/>
        <v>#VALUE!</v>
      </c>
      <c r="R94" s="16" t="s">
        <v>1995</v>
      </c>
      <c r="S94" s="239" t="e">
        <f t="shared" si="14"/>
        <v>#VALUE!</v>
      </c>
      <c r="T94" s="17" t="s">
        <v>1657</v>
      </c>
      <c r="U94" s="241" t="e">
        <f t="shared" si="15"/>
        <v>#VALUE!</v>
      </c>
      <c r="V94" s="22" t="s">
        <v>1961</v>
      </c>
      <c r="W94" s="244" t="e">
        <f t="shared" si="16"/>
        <v>#VALUE!</v>
      </c>
      <c r="X94" s="40">
        <v>44690</v>
      </c>
      <c r="Y94" s="241">
        <f t="shared" si="17"/>
        <v>2.1205479452054794</v>
      </c>
      <c r="Z94" s="40">
        <v>44694</v>
      </c>
      <c r="AA94" s="241">
        <f t="shared" si="18"/>
        <v>2.1315068493150684</v>
      </c>
      <c r="AB94" s="308">
        <v>1</v>
      </c>
      <c r="AC94" s="308">
        <v>2</v>
      </c>
      <c r="AD94" s="299">
        <v>80</v>
      </c>
      <c r="AE94" s="299">
        <v>9.3000000000000007</v>
      </c>
      <c r="AF94" s="310">
        <f>AE94/(AD94/100)^2</f>
        <v>14.531249999999998</v>
      </c>
      <c r="AG94" s="299">
        <v>0</v>
      </c>
      <c r="AH94" s="299">
        <v>2</v>
      </c>
      <c r="AI94" s="317">
        <v>8.1</v>
      </c>
      <c r="AJ94" s="301">
        <v>1</v>
      </c>
      <c r="AK94" s="301">
        <v>1</v>
      </c>
      <c r="AL94" s="305">
        <v>0</v>
      </c>
      <c r="AM94" s="305">
        <v>0</v>
      </c>
      <c r="AN94" s="307">
        <v>1</v>
      </c>
    </row>
    <row r="95" spans="1:40" ht="16">
      <c r="A95" s="2" t="s">
        <v>415</v>
      </c>
      <c r="B95" s="2">
        <v>22102896</v>
      </c>
      <c r="C95" s="39" t="s">
        <v>416</v>
      </c>
      <c r="D95" s="2" t="s">
        <v>417</v>
      </c>
      <c r="E95" s="2">
        <v>0</v>
      </c>
      <c r="F95" s="23">
        <v>43853</v>
      </c>
      <c r="G95" s="23">
        <v>43916</v>
      </c>
      <c r="H95" s="23">
        <v>43916</v>
      </c>
      <c r="I95" s="2">
        <v>31</v>
      </c>
      <c r="J95" s="4">
        <v>1405</v>
      </c>
      <c r="K95" s="27" t="s">
        <v>414</v>
      </c>
      <c r="L95" s="16" t="s">
        <v>1995</v>
      </c>
      <c r="M95" s="239" t="e">
        <f t="shared" si="11"/>
        <v>#VALUE!</v>
      </c>
      <c r="N95" s="16" t="s">
        <v>1995</v>
      </c>
      <c r="O95" s="239" t="e">
        <f t="shared" si="12"/>
        <v>#VALUE!</v>
      </c>
      <c r="P95" s="16" t="s">
        <v>1995</v>
      </c>
      <c r="Q95" s="239" t="e">
        <f t="shared" si="13"/>
        <v>#VALUE!</v>
      </c>
      <c r="R95" s="16" t="s">
        <v>1995</v>
      </c>
      <c r="S95" s="239" t="e">
        <f t="shared" si="14"/>
        <v>#VALUE!</v>
      </c>
      <c r="T95" s="17" t="s">
        <v>1657</v>
      </c>
      <c r="U95" s="241" t="e">
        <f t="shared" si="15"/>
        <v>#VALUE!</v>
      </c>
      <c r="V95" s="22" t="s">
        <v>1961</v>
      </c>
      <c r="W95" s="244" t="e">
        <f t="shared" si="16"/>
        <v>#VALUE!</v>
      </c>
      <c r="X95" s="40">
        <v>44688</v>
      </c>
      <c r="Y95" s="241">
        <f t="shared" si="17"/>
        <v>2.1150684931506851</v>
      </c>
      <c r="Z95" s="40">
        <v>44694</v>
      </c>
      <c r="AA95" s="241">
        <f t="shared" si="18"/>
        <v>2.1315068493150684</v>
      </c>
      <c r="AB95" s="308">
        <v>1</v>
      </c>
      <c r="AC95" s="308">
        <v>2</v>
      </c>
      <c r="AD95" s="299">
        <v>80.7</v>
      </c>
      <c r="AE95" s="299">
        <v>9</v>
      </c>
      <c r="AF95" s="310">
        <f>AE95/(AD95/100)^2</f>
        <v>13.819598955238318</v>
      </c>
      <c r="AG95" s="299">
        <v>0</v>
      </c>
      <c r="AH95" s="299">
        <v>4</v>
      </c>
      <c r="AI95" s="317">
        <v>1.7</v>
      </c>
      <c r="AJ95" s="301">
        <v>1</v>
      </c>
      <c r="AK95" s="301">
        <v>1</v>
      </c>
      <c r="AL95" s="305">
        <v>0</v>
      </c>
      <c r="AM95" s="305">
        <v>0</v>
      </c>
      <c r="AN95" s="307">
        <v>0</v>
      </c>
    </row>
    <row r="96" spans="1:40" ht="16">
      <c r="A96" s="2" t="s">
        <v>418</v>
      </c>
      <c r="B96" s="2">
        <v>22104599</v>
      </c>
      <c r="C96" s="2" t="s">
        <v>419</v>
      </c>
      <c r="D96" s="2" t="s">
        <v>420</v>
      </c>
      <c r="E96" s="2">
        <v>0</v>
      </c>
      <c r="F96" s="23">
        <v>44026</v>
      </c>
      <c r="G96" s="23">
        <v>44094</v>
      </c>
      <c r="H96" s="23">
        <v>44094</v>
      </c>
      <c r="I96" s="2" t="s">
        <v>299</v>
      </c>
      <c r="J96" s="4">
        <v>910</v>
      </c>
      <c r="K96" s="27" t="s">
        <v>421</v>
      </c>
      <c r="L96" s="23">
        <v>44476</v>
      </c>
      <c r="M96" s="238">
        <f t="shared" si="11"/>
        <v>1.0465753424657533</v>
      </c>
      <c r="N96" s="23">
        <v>44483</v>
      </c>
      <c r="O96" s="238">
        <f t="shared" si="12"/>
        <v>1.0657534246575342</v>
      </c>
      <c r="P96" s="23">
        <v>44480</v>
      </c>
      <c r="Q96" s="238">
        <f t="shared" si="13"/>
        <v>1.0575342465753426</v>
      </c>
      <c r="R96" s="23">
        <v>44476</v>
      </c>
      <c r="S96" s="238">
        <f t="shared" si="14"/>
        <v>1.0465753424657533</v>
      </c>
      <c r="T96" s="32" t="s">
        <v>1955</v>
      </c>
      <c r="U96" s="248" t="e">
        <f t="shared" si="15"/>
        <v>#VALUE!</v>
      </c>
      <c r="V96" s="32" t="s">
        <v>1955</v>
      </c>
      <c r="W96" s="248" t="e">
        <f t="shared" si="16"/>
        <v>#VALUE!</v>
      </c>
      <c r="X96" s="32" t="s">
        <v>1955</v>
      </c>
      <c r="Y96" s="248" t="e">
        <f t="shared" si="17"/>
        <v>#VALUE!</v>
      </c>
      <c r="Z96" s="32" t="s">
        <v>1955</v>
      </c>
      <c r="AA96" s="248" t="e">
        <f t="shared" si="18"/>
        <v>#VALUE!</v>
      </c>
      <c r="AB96" s="308">
        <v>1</v>
      </c>
      <c r="AC96">
        <v>1</v>
      </c>
      <c r="AD96" s="302"/>
      <c r="AE96" s="302"/>
      <c r="AF96" s="303"/>
      <c r="AG96" s="302"/>
      <c r="AH96" s="302"/>
      <c r="AI96" s="302"/>
      <c r="AJ96" s="304"/>
      <c r="AK96" s="304"/>
      <c r="AL96" s="306"/>
      <c r="AM96" s="306"/>
      <c r="AN96" s="307">
        <v>1</v>
      </c>
    </row>
    <row r="97" spans="1:40" ht="16">
      <c r="A97" s="2" t="s">
        <v>422</v>
      </c>
      <c r="B97" s="2">
        <v>5085718</v>
      </c>
      <c r="C97" s="2" t="s">
        <v>423</v>
      </c>
      <c r="D97" s="2" t="s">
        <v>424</v>
      </c>
      <c r="E97" s="2">
        <v>0</v>
      </c>
      <c r="F97" s="23">
        <v>44191</v>
      </c>
      <c r="G97" s="23">
        <v>44190</v>
      </c>
      <c r="H97" s="23">
        <v>44191</v>
      </c>
      <c r="I97" s="2" t="s">
        <v>39</v>
      </c>
      <c r="J97" s="4">
        <v>2570</v>
      </c>
      <c r="K97" s="56" t="s">
        <v>425</v>
      </c>
      <c r="L97" s="23">
        <v>44477</v>
      </c>
      <c r="M97" s="238">
        <f t="shared" si="11"/>
        <v>0.78356164383561644</v>
      </c>
      <c r="N97" s="23">
        <v>44524</v>
      </c>
      <c r="O97" s="238">
        <f t="shared" si="12"/>
        <v>0.9123287671232877</v>
      </c>
      <c r="P97" s="23">
        <v>44498</v>
      </c>
      <c r="Q97" s="238">
        <f t="shared" si="13"/>
        <v>0.84109589041095889</v>
      </c>
      <c r="R97" s="23">
        <v>44477</v>
      </c>
      <c r="S97" s="238">
        <f t="shared" si="14"/>
        <v>0.78356164383561644</v>
      </c>
      <c r="T97" s="40">
        <v>44915</v>
      </c>
      <c r="U97" s="241">
        <f t="shared" si="15"/>
        <v>1.9835616438356165</v>
      </c>
      <c r="V97" s="40" t="s">
        <v>2222</v>
      </c>
      <c r="W97" s="241" t="e">
        <f t="shared" si="16"/>
        <v>#VALUE!</v>
      </c>
      <c r="X97" s="40" t="s">
        <v>2222</v>
      </c>
      <c r="Y97" s="241" t="e">
        <f t="shared" si="17"/>
        <v>#VALUE!</v>
      </c>
      <c r="Z97" s="40">
        <v>44915</v>
      </c>
      <c r="AA97" s="241">
        <f t="shared" si="18"/>
        <v>1.9835616438356165</v>
      </c>
      <c r="AB97" s="308">
        <v>0</v>
      </c>
      <c r="AC97">
        <v>0</v>
      </c>
      <c r="AD97" s="299">
        <v>81</v>
      </c>
      <c r="AE97" s="299">
        <v>10.9</v>
      </c>
      <c r="AF97" s="298">
        <f t="shared" ref="AF97:AF103" si="19">AE97/(AD97/100)^2</f>
        <v>16.613321140070109</v>
      </c>
      <c r="AG97" s="299">
        <v>17</v>
      </c>
      <c r="AH97" s="299">
        <v>9</v>
      </c>
      <c r="AI97" s="299">
        <v>55.7</v>
      </c>
      <c r="AJ97" s="301">
        <v>0</v>
      </c>
      <c r="AK97" s="301">
        <v>1</v>
      </c>
      <c r="AL97" s="305">
        <v>0</v>
      </c>
      <c r="AM97" s="305">
        <v>0</v>
      </c>
      <c r="AN97" s="307">
        <v>0</v>
      </c>
    </row>
    <row r="98" spans="1:40" ht="16">
      <c r="A98" s="2" t="s">
        <v>426</v>
      </c>
      <c r="B98" s="2">
        <v>22107919</v>
      </c>
      <c r="C98" s="2" t="s">
        <v>427</v>
      </c>
      <c r="D98" s="2" t="s">
        <v>335</v>
      </c>
      <c r="E98" s="2">
        <v>1</v>
      </c>
      <c r="F98" s="23">
        <v>44350</v>
      </c>
      <c r="G98" s="23">
        <v>44411</v>
      </c>
      <c r="H98" s="23">
        <v>44411</v>
      </c>
      <c r="I98" s="2" t="s">
        <v>66</v>
      </c>
      <c r="J98" s="4">
        <v>1880</v>
      </c>
      <c r="K98" s="56" t="s">
        <v>428</v>
      </c>
      <c r="L98" s="23">
        <v>44600</v>
      </c>
      <c r="M98" s="238">
        <f t="shared" si="11"/>
        <v>0.51780821917808217</v>
      </c>
      <c r="N98" s="23">
        <v>44600</v>
      </c>
      <c r="O98" s="238">
        <f t="shared" si="12"/>
        <v>0.51780821917808217</v>
      </c>
      <c r="P98" s="23">
        <v>44599</v>
      </c>
      <c r="Q98" s="238">
        <f t="shared" si="13"/>
        <v>0.51506849315068493</v>
      </c>
      <c r="R98" s="23">
        <v>44600</v>
      </c>
      <c r="S98" s="238">
        <f t="shared" si="14"/>
        <v>0.51780821917808217</v>
      </c>
      <c r="T98" s="95">
        <v>45138</v>
      </c>
      <c r="U98" s="246">
        <f t="shared" si="15"/>
        <v>1.9917808219178081</v>
      </c>
      <c r="V98" s="95">
        <v>45196</v>
      </c>
      <c r="W98" s="246">
        <f t="shared" si="16"/>
        <v>2.1506849315068495</v>
      </c>
      <c r="X98" s="95">
        <v>45137</v>
      </c>
      <c r="Y98" s="246">
        <f t="shared" si="17"/>
        <v>1.989041095890411</v>
      </c>
      <c r="Z98" s="95">
        <v>45138</v>
      </c>
      <c r="AA98" s="246">
        <f t="shared" si="18"/>
        <v>1.9917808219178081</v>
      </c>
      <c r="AB98" s="308">
        <v>1</v>
      </c>
      <c r="AC98">
        <v>1</v>
      </c>
      <c r="AD98" s="299">
        <v>87.3</v>
      </c>
      <c r="AE98" s="299">
        <v>12.9</v>
      </c>
      <c r="AF98" s="298">
        <f t="shared" si="19"/>
        <v>16.926268387635165</v>
      </c>
      <c r="AG98" s="299">
        <v>57</v>
      </c>
      <c r="AH98" s="299">
        <v>52</v>
      </c>
      <c r="AI98" s="299">
        <v>60.6</v>
      </c>
      <c r="AJ98" s="301">
        <v>1</v>
      </c>
      <c r="AK98" s="301">
        <v>1</v>
      </c>
      <c r="AL98" s="305">
        <v>2</v>
      </c>
      <c r="AM98" s="305">
        <v>2</v>
      </c>
      <c r="AN98" s="307">
        <v>0</v>
      </c>
    </row>
    <row r="99" spans="1:40" ht="16">
      <c r="A99" s="2" t="s">
        <v>429</v>
      </c>
      <c r="B99" s="2">
        <v>22108733</v>
      </c>
      <c r="C99" s="2" t="s">
        <v>430</v>
      </c>
      <c r="D99" s="2" t="s">
        <v>431</v>
      </c>
      <c r="E99" s="2">
        <v>1</v>
      </c>
      <c r="F99" s="23">
        <v>44438</v>
      </c>
      <c r="G99" s="23">
        <v>44494</v>
      </c>
      <c r="H99" s="23">
        <v>44438</v>
      </c>
      <c r="I99" s="13">
        <v>32</v>
      </c>
      <c r="J99" s="4">
        <v>1500</v>
      </c>
      <c r="K99" s="56" t="s">
        <v>432</v>
      </c>
      <c r="L99" s="23">
        <v>44670</v>
      </c>
      <c r="M99" s="238">
        <f t="shared" si="11"/>
        <v>0.63561643835616444</v>
      </c>
      <c r="N99" s="23">
        <v>44687</v>
      </c>
      <c r="O99" s="238">
        <f t="shared" si="12"/>
        <v>0.68219178082191778</v>
      </c>
      <c r="P99" s="23">
        <v>44683</v>
      </c>
      <c r="Q99" s="238">
        <f t="shared" si="13"/>
        <v>0.67123287671232879</v>
      </c>
      <c r="R99" s="23">
        <v>44670</v>
      </c>
      <c r="S99" s="238">
        <f t="shared" si="14"/>
        <v>0.63561643835616444</v>
      </c>
      <c r="T99" s="40">
        <v>45224</v>
      </c>
      <c r="U99" s="241">
        <f t="shared" si="15"/>
        <v>2.1534246575342464</v>
      </c>
      <c r="V99" s="40">
        <v>45224</v>
      </c>
      <c r="W99" s="241">
        <f t="shared" si="16"/>
        <v>2.1534246575342464</v>
      </c>
      <c r="X99" s="40">
        <v>45222</v>
      </c>
      <c r="Y99" s="241">
        <f t="shared" si="17"/>
        <v>2.1479452054794521</v>
      </c>
      <c r="Z99" s="17" t="s">
        <v>1955</v>
      </c>
      <c r="AA99" s="241" t="e">
        <f t="shared" si="18"/>
        <v>#VALUE!</v>
      </c>
      <c r="AB99" s="308">
        <v>1</v>
      </c>
      <c r="AC99">
        <v>1</v>
      </c>
      <c r="AD99" s="299">
        <v>86</v>
      </c>
      <c r="AE99" s="299">
        <v>12.8</v>
      </c>
      <c r="AF99" s="298">
        <f t="shared" si="19"/>
        <v>17.306652244456465</v>
      </c>
      <c r="AG99" s="299">
        <v>52.7</v>
      </c>
      <c r="AH99" s="299">
        <v>42.6</v>
      </c>
      <c r="AI99" s="299">
        <v>70.099999999999994</v>
      </c>
      <c r="AJ99" s="301">
        <v>0</v>
      </c>
      <c r="AK99" s="301">
        <v>1</v>
      </c>
      <c r="AL99" s="305">
        <v>0</v>
      </c>
      <c r="AM99" s="305">
        <v>0</v>
      </c>
      <c r="AN99" s="307">
        <v>1</v>
      </c>
    </row>
    <row r="100" spans="1:40" ht="16">
      <c r="A100" s="2" t="s">
        <v>433</v>
      </c>
      <c r="B100" s="2">
        <v>22139029</v>
      </c>
      <c r="C100" s="2" t="s">
        <v>434</v>
      </c>
      <c r="D100" s="2" t="s">
        <v>280</v>
      </c>
      <c r="E100" s="2">
        <v>1</v>
      </c>
      <c r="F100" s="23">
        <v>43835</v>
      </c>
      <c r="G100" s="23">
        <v>43892</v>
      </c>
      <c r="H100" s="23">
        <v>43892</v>
      </c>
      <c r="I100" s="2" t="s">
        <v>435</v>
      </c>
      <c r="J100" s="4">
        <v>890</v>
      </c>
      <c r="K100" s="27" t="s">
        <v>436</v>
      </c>
      <c r="L100" s="16" t="s">
        <v>1995</v>
      </c>
      <c r="M100" s="239" t="e">
        <f t="shared" si="11"/>
        <v>#VALUE!</v>
      </c>
      <c r="N100" s="16" t="s">
        <v>1995</v>
      </c>
      <c r="O100" s="239" t="e">
        <f t="shared" si="12"/>
        <v>#VALUE!</v>
      </c>
      <c r="P100" s="16" t="s">
        <v>1995</v>
      </c>
      <c r="Q100" s="239" t="e">
        <f t="shared" si="13"/>
        <v>#VALUE!</v>
      </c>
      <c r="R100" s="16" t="s">
        <v>1995</v>
      </c>
      <c r="S100" s="239" t="e">
        <f t="shared" si="14"/>
        <v>#VALUE!</v>
      </c>
      <c r="T100" s="95">
        <v>44648</v>
      </c>
      <c r="U100" s="246">
        <f t="shared" si="15"/>
        <v>2.0712328767123287</v>
      </c>
      <c r="V100" s="95">
        <v>44648</v>
      </c>
      <c r="W100" s="246">
        <f t="shared" si="16"/>
        <v>2.0712328767123287</v>
      </c>
      <c r="X100" s="95">
        <v>44645</v>
      </c>
      <c r="Y100" s="246">
        <f t="shared" si="17"/>
        <v>2.0630136986301371</v>
      </c>
      <c r="Z100" s="95">
        <v>44648</v>
      </c>
      <c r="AA100" s="246">
        <f t="shared" si="18"/>
        <v>2.0712328767123287</v>
      </c>
      <c r="AB100" s="308">
        <v>1</v>
      </c>
      <c r="AC100">
        <v>2</v>
      </c>
      <c r="AD100" s="299">
        <v>77</v>
      </c>
      <c r="AE100" s="299">
        <v>9.5</v>
      </c>
      <c r="AF100" s="298">
        <f t="shared" si="19"/>
        <v>16.022938100860181</v>
      </c>
      <c r="AG100" s="299">
        <v>0.2</v>
      </c>
      <c r="AH100" s="299">
        <v>0.2</v>
      </c>
      <c r="AI100" s="299">
        <v>34.299999999999997</v>
      </c>
      <c r="AJ100" s="301">
        <v>1</v>
      </c>
      <c r="AK100" s="301">
        <v>1</v>
      </c>
      <c r="AL100" s="305">
        <v>2</v>
      </c>
      <c r="AM100" s="305">
        <v>0</v>
      </c>
      <c r="AN100" s="307">
        <v>1</v>
      </c>
    </row>
    <row r="101" spans="1:40" ht="16">
      <c r="A101" s="2" t="s">
        <v>437</v>
      </c>
      <c r="B101" s="2">
        <v>22107875</v>
      </c>
      <c r="C101" s="2" t="s">
        <v>438</v>
      </c>
      <c r="D101" s="2" t="s">
        <v>439</v>
      </c>
      <c r="E101" s="2">
        <v>0</v>
      </c>
      <c r="F101" s="23">
        <v>44345</v>
      </c>
      <c r="G101" s="23">
        <v>44354</v>
      </c>
      <c r="H101" s="23">
        <v>44345</v>
      </c>
      <c r="I101" s="2" t="s">
        <v>155</v>
      </c>
      <c r="J101" s="4">
        <v>3540</v>
      </c>
      <c r="K101" s="56" t="s">
        <v>440</v>
      </c>
      <c r="L101" s="23">
        <v>44558</v>
      </c>
      <c r="M101" s="238">
        <f t="shared" si="11"/>
        <v>0.58356164383561648</v>
      </c>
      <c r="N101" s="23">
        <v>44558</v>
      </c>
      <c r="O101" s="238">
        <f t="shared" si="12"/>
        <v>0.58356164383561648</v>
      </c>
      <c r="P101" s="23">
        <v>44555</v>
      </c>
      <c r="Q101" s="238">
        <f t="shared" si="13"/>
        <v>0.57534246575342463</v>
      </c>
      <c r="R101" s="23">
        <v>44558</v>
      </c>
      <c r="S101" s="238">
        <f t="shared" si="14"/>
        <v>0.58356164383561648</v>
      </c>
      <c r="T101" s="95">
        <v>45051</v>
      </c>
      <c r="U101" s="246">
        <f t="shared" si="15"/>
        <v>1.9342465753424658</v>
      </c>
      <c r="V101" s="95">
        <v>45050</v>
      </c>
      <c r="W101" s="246">
        <f t="shared" si="16"/>
        <v>1.9315068493150684</v>
      </c>
      <c r="X101" s="95">
        <v>45050</v>
      </c>
      <c r="Y101" s="246">
        <f t="shared" si="17"/>
        <v>1.9315068493150684</v>
      </c>
      <c r="Z101" s="95">
        <v>45051</v>
      </c>
      <c r="AA101" s="246">
        <f t="shared" si="18"/>
        <v>1.9342465753424658</v>
      </c>
      <c r="AB101" s="308">
        <v>0</v>
      </c>
      <c r="AC101">
        <v>0</v>
      </c>
      <c r="AD101" s="299">
        <v>82.4</v>
      </c>
      <c r="AE101" s="299">
        <v>10.4</v>
      </c>
      <c r="AF101" s="298">
        <f t="shared" si="19"/>
        <v>15.317183523423505</v>
      </c>
      <c r="AG101" s="299">
        <v>9</v>
      </c>
      <c r="AH101" s="299">
        <v>22</v>
      </c>
      <c r="AI101" s="299">
        <v>20.3</v>
      </c>
      <c r="AJ101" s="301">
        <v>0</v>
      </c>
      <c r="AK101" s="301">
        <v>1</v>
      </c>
      <c r="AL101" s="305">
        <v>0</v>
      </c>
      <c r="AM101" s="305">
        <v>0</v>
      </c>
      <c r="AN101" s="307">
        <v>0</v>
      </c>
    </row>
    <row r="102" spans="1:40" ht="16">
      <c r="A102" s="2" t="s">
        <v>441</v>
      </c>
      <c r="B102" s="2">
        <v>22105502</v>
      </c>
      <c r="C102" s="2" t="s">
        <v>442</v>
      </c>
      <c r="D102" s="2" t="s">
        <v>268</v>
      </c>
      <c r="E102" s="2">
        <v>0</v>
      </c>
      <c r="F102" s="23">
        <v>44113</v>
      </c>
      <c r="G102" s="23">
        <v>44199</v>
      </c>
      <c r="H102" s="23">
        <v>44199</v>
      </c>
      <c r="I102" s="2" t="s">
        <v>443</v>
      </c>
      <c r="J102" s="4">
        <v>1314</v>
      </c>
      <c r="K102" s="56" t="s">
        <v>444</v>
      </c>
      <c r="L102" s="23">
        <v>44482</v>
      </c>
      <c r="M102" s="238">
        <f t="shared" si="11"/>
        <v>0.77534246575342469</v>
      </c>
      <c r="N102" s="23">
        <v>44482</v>
      </c>
      <c r="O102" s="238">
        <f t="shared" si="12"/>
        <v>0.77534246575342469</v>
      </c>
      <c r="P102" s="23">
        <v>44482</v>
      </c>
      <c r="Q102" s="238">
        <f t="shared" si="13"/>
        <v>0.77534246575342469</v>
      </c>
      <c r="R102" s="23">
        <v>44482</v>
      </c>
      <c r="S102" s="238">
        <f t="shared" si="14"/>
        <v>0.77534246575342469</v>
      </c>
      <c r="T102" s="40" t="s">
        <v>1720</v>
      </c>
      <c r="U102" s="241" t="e">
        <f t="shared" si="15"/>
        <v>#VALUE!</v>
      </c>
      <c r="V102" s="40" t="s">
        <v>1720</v>
      </c>
      <c r="W102" s="241" t="e">
        <f t="shared" si="16"/>
        <v>#VALUE!</v>
      </c>
      <c r="X102" s="40">
        <v>44955</v>
      </c>
      <c r="Y102" s="241">
        <f t="shared" si="17"/>
        <v>2.0712328767123287</v>
      </c>
      <c r="Z102" s="40" t="s">
        <v>2401</v>
      </c>
      <c r="AA102" s="241" t="e">
        <f t="shared" si="18"/>
        <v>#VALUE!</v>
      </c>
      <c r="AB102" s="308">
        <v>2</v>
      </c>
      <c r="AC102">
        <v>1</v>
      </c>
      <c r="AD102" s="299">
        <v>86.3</v>
      </c>
      <c r="AE102" s="299">
        <v>14.4</v>
      </c>
      <c r="AF102" s="298">
        <f t="shared" si="19"/>
        <v>19.334854162834382</v>
      </c>
      <c r="AG102" s="299">
        <v>87</v>
      </c>
      <c r="AH102" s="299">
        <v>23</v>
      </c>
      <c r="AI102" s="299">
        <v>96.5</v>
      </c>
      <c r="AJ102" s="301">
        <v>1</v>
      </c>
      <c r="AK102" s="301">
        <v>1</v>
      </c>
      <c r="AL102" s="305">
        <v>0</v>
      </c>
      <c r="AM102" s="305">
        <v>0</v>
      </c>
      <c r="AN102" s="307">
        <v>1</v>
      </c>
    </row>
    <row r="103" spans="1:40" ht="16">
      <c r="A103" s="2" t="s">
        <v>445</v>
      </c>
      <c r="B103" s="2">
        <v>22103078</v>
      </c>
      <c r="C103" s="2" t="s">
        <v>446</v>
      </c>
      <c r="D103" s="2" t="s">
        <v>447</v>
      </c>
      <c r="E103" s="2">
        <v>1</v>
      </c>
      <c r="F103" s="23">
        <v>43807</v>
      </c>
      <c r="G103" s="23">
        <v>43905</v>
      </c>
      <c r="H103" s="23">
        <v>43905</v>
      </c>
      <c r="I103" s="2">
        <v>26</v>
      </c>
      <c r="J103" s="4">
        <v>545</v>
      </c>
      <c r="K103" s="56" t="s">
        <v>448</v>
      </c>
      <c r="L103" s="16" t="s">
        <v>1995</v>
      </c>
      <c r="M103" s="239" t="e">
        <f t="shared" si="11"/>
        <v>#VALUE!</v>
      </c>
      <c r="N103" s="16" t="s">
        <v>1995</v>
      </c>
      <c r="O103" s="239" t="e">
        <f t="shared" si="12"/>
        <v>#VALUE!</v>
      </c>
      <c r="P103" s="16" t="s">
        <v>1995</v>
      </c>
      <c r="Q103" s="239" t="e">
        <f t="shared" si="13"/>
        <v>#VALUE!</v>
      </c>
      <c r="R103" s="16" t="s">
        <v>1995</v>
      </c>
      <c r="S103" s="239" t="e">
        <f t="shared" si="14"/>
        <v>#VALUE!</v>
      </c>
      <c r="T103" s="95">
        <v>44643</v>
      </c>
      <c r="U103" s="246">
        <f t="shared" si="15"/>
        <v>2.021917808219178</v>
      </c>
      <c r="V103" s="95">
        <v>44643</v>
      </c>
      <c r="W103" s="246">
        <f t="shared" si="16"/>
        <v>2.021917808219178</v>
      </c>
      <c r="X103" s="95">
        <v>44639</v>
      </c>
      <c r="Y103" s="246">
        <f t="shared" si="17"/>
        <v>2.010958904109589</v>
      </c>
      <c r="Z103" s="95">
        <v>44643</v>
      </c>
      <c r="AA103" s="246">
        <f t="shared" si="18"/>
        <v>2.021917808219178</v>
      </c>
      <c r="AB103" s="308">
        <v>2</v>
      </c>
      <c r="AC103">
        <v>2</v>
      </c>
      <c r="AD103" s="299">
        <v>80.099999999999994</v>
      </c>
      <c r="AE103" s="299">
        <v>8.8000000000000007</v>
      </c>
      <c r="AF103" s="298">
        <f t="shared" si="19"/>
        <v>13.715689345870723</v>
      </c>
      <c r="AG103" s="299">
        <v>0</v>
      </c>
      <c r="AH103" s="299">
        <v>3</v>
      </c>
      <c r="AI103" s="299">
        <v>0.2</v>
      </c>
      <c r="AJ103" s="301">
        <v>1</v>
      </c>
      <c r="AK103" s="301">
        <v>1</v>
      </c>
      <c r="AL103" s="305">
        <v>0</v>
      </c>
      <c r="AM103" s="305">
        <v>2</v>
      </c>
      <c r="AN103" s="307">
        <v>1</v>
      </c>
    </row>
    <row r="104" spans="1:40" ht="16">
      <c r="A104" s="2" t="s">
        <v>449</v>
      </c>
      <c r="B104" s="2">
        <v>22105498</v>
      </c>
      <c r="C104" s="2" t="s">
        <v>450</v>
      </c>
      <c r="D104" s="2" t="s">
        <v>451</v>
      </c>
      <c r="E104" s="2">
        <v>0</v>
      </c>
      <c r="F104" s="23">
        <v>44113</v>
      </c>
      <c r="G104" s="23">
        <v>44118</v>
      </c>
      <c r="H104" s="23">
        <v>44113</v>
      </c>
      <c r="I104" s="2" t="s">
        <v>452</v>
      </c>
      <c r="J104" s="4">
        <v>2850</v>
      </c>
      <c r="K104" s="27" t="s">
        <v>453</v>
      </c>
      <c r="L104" s="23">
        <v>44484</v>
      </c>
      <c r="M104" s="238">
        <f t="shared" si="11"/>
        <v>1.0164383561643835</v>
      </c>
      <c r="N104" s="23">
        <v>44490</v>
      </c>
      <c r="O104" s="238">
        <f t="shared" si="12"/>
        <v>1.0328767123287672</v>
      </c>
      <c r="P104" s="23">
        <v>44487</v>
      </c>
      <c r="Q104" s="238">
        <f t="shared" si="13"/>
        <v>1.0246575342465754</v>
      </c>
      <c r="R104" s="23">
        <v>44484</v>
      </c>
      <c r="S104" s="238">
        <f t="shared" si="14"/>
        <v>1.0164383561643835</v>
      </c>
      <c r="T104" s="32" t="s">
        <v>1955</v>
      </c>
      <c r="U104" s="248" t="e">
        <f t="shared" si="15"/>
        <v>#VALUE!</v>
      </c>
      <c r="V104" s="32" t="s">
        <v>1955</v>
      </c>
      <c r="W104" s="248" t="e">
        <f t="shared" si="16"/>
        <v>#VALUE!</v>
      </c>
      <c r="X104" s="32" t="s">
        <v>1955</v>
      </c>
      <c r="Y104" s="248" t="e">
        <f t="shared" si="17"/>
        <v>#VALUE!</v>
      </c>
      <c r="Z104" s="32" t="s">
        <v>1955</v>
      </c>
      <c r="AA104" s="248" t="e">
        <f t="shared" si="18"/>
        <v>#VALUE!</v>
      </c>
      <c r="AB104" s="308">
        <v>0</v>
      </c>
      <c r="AC104">
        <v>0</v>
      </c>
      <c r="AD104" s="302"/>
      <c r="AE104" s="302"/>
      <c r="AF104" s="303"/>
      <c r="AG104" s="302"/>
      <c r="AH104" s="302"/>
      <c r="AI104" s="302"/>
      <c r="AJ104" s="304"/>
      <c r="AK104" s="304"/>
      <c r="AL104" s="306"/>
      <c r="AM104" s="306"/>
      <c r="AN104" s="307">
        <v>0</v>
      </c>
    </row>
    <row r="105" spans="1:40" ht="16">
      <c r="A105" s="2" t="s">
        <v>454</v>
      </c>
      <c r="B105" s="2">
        <v>22107550</v>
      </c>
      <c r="C105" s="2" t="s">
        <v>455</v>
      </c>
      <c r="D105" s="2" t="s">
        <v>456</v>
      </c>
      <c r="E105" s="2">
        <v>1</v>
      </c>
      <c r="F105" s="23">
        <v>44310</v>
      </c>
      <c r="G105" s="23">
        <v>44420</v>
      </c>
      <c r="H105" s="23">
        <v>44420</v>
      </c>
      <c r="I105" s="2" t="s">
        <v>314</v>
      </c>
      <c r="J105" s="4">
        <v>814</v>
      </c>
      <c r="K105" s="56" t="s">
        <v>457</v>
      </c>
      <c r="L105" s="22" t="s">
        <v>1718</v>
      </c>
      <c r="M105" s="244" t="e">
        <f t="shared" si="11"/>
        <v>#VALUE!</v>
      </c>
      <c r="N105" s="22" t="s">
        <v>1720</v>
      </c>
      <c r="O105" s="244" t="e">
        <f t="shared" si="12"/>
        <v>#VALUE!</v>
      </c>
      <c r="P105" s="40">
        <v>44609</v>
      </c>
      <c r="Q105" s="241">
        <f t="shared" si="13"/>
        <v>0.51780821917808217</v>
      </c>
      <c r="R105" s="40">
        <v>44610</v>
      </c>
      <c r="S105" s="241">
        <f t="shared" si="14"/>
        <v>0.52054794520547942</v>
      </c>
      <c r="T105" s="25" t="s">
        <v>2620</v>
      </c>
      <c r="U105" s="248" t="e">
        <f t="shared" si="15"/>
        <v>#VALUE!</v>
      </c>
      <c r="V105" s="25" t="s">
        <v>2621</v>
      </c>
      <c r="W105" s="248" t="e">
        <f t="shared" si="16"/>
        <v>#VALUE!</v>
      </c>
      <c r="X105" s="25" t="s">
        <v>2621</v>
      </c>
      <c r="Y105" s="248" t="e">
        <f t="shared" si="17"/>
        <v>#VALUE!</v>
      </c>
      <c r="Z105" s="25" t="s">
        <v>2620</v>
      </c>
      <c r="AA105" s="248" t="e">
        <f t="shared" si="18"/>
        <v>#VALUE!</v>
      </c>
      <c r="AB105" s="308">
        <v>2</v>
      </c>
      <c r="AC105" s="308">
        <v>2</v>
      </c>
      <c r="AD105" s="302"/>
      <c r="AE105" s="302"/>
      <c r="AF105" s="303"/>
      <c r="AG105" s="302"/>
      <c r="AH105" s="302"/>
      <c r="AI105" s="302"/>
      <c r="AJ105" s="304"/>
      <c r="AK105" s="304"/>
      <c r="AL105" s="306"/>
      <c r="AM105" s="306"/>
      <c r="AN105" s="307">
        <v>1</v>
      </c>
    </row>
    <row r="106" spans="1:40" ht="16">
      <c r="A106" s="2" t="s">
        <v>458</v>
      </c>
      <c r="B106" s="2">
        <v>22107191</v>
      </c>
      <c r="C106" s="39" t="s">
        <v>459</v>
      </c>
      <c r="D106" s="2" t="s">
        <v>460</v>
      </c>
      <c r="E106" s="2">
        <v>0</v>
      </c>
      <c r="F106" s="23">
        <v>44273</v>
      </c>
      <c r="G106" s="23">
        <v>44361</v>
      </c>
      <c r="H106" s="23">
        <v>44361</v>
      </c>
      <c r="I106" s="2" t="s">
        <v>461</v>
      </c>
      <c r="J106" s="4">
        <v>580</v>
      </c>
      <c r="K106" s="56" t="s">
        <v>462</v>
      </c>
      <c r="L106" s="23">
        <v>44540</v>
      </c>
      <c r="M106" s="238">
        <f t="shared" si="11"/>
        <v>0.49041095890410957</v>
      </c>
      <c r="N106" s="23">
        <v>44575</v>
      </c>
      <c r="O106" s="238">
        <f t="shared" si="12"/>
        <v>0.58630136986301373</v>
      </c>
      <c r="P106" s="23">
        <v>44537</v>
      </c>
      <c r="Q106" s="238">
        <f t="shared" si="13"/>
        <v>0.48219178082191783</v>
      </c>
      <c r="R106" s="23">
        <v>44540</v>
      </c>
      <c r="S106" s="238">
        <f t="shared" si="14"/>
        <v>0.49041095890410957</v>
      </c>
      <c r="T106" s="263" t="s">
        <v>1955</v>
      </c>
      <c r="U106" s="241" t="e">
        <f t="shared" si="15"/>
        <v>#VALUE!</v>
      </c>
      <c r="V106" s="40">
        <v>45086</v>
      </c>
      <c r="W106" s="241">
        <f t="shared" si="16"/>
        <v>1.9863013698630136</v>
      </c>
      <c r="X106" s="40">
        <v>45085</v>
      </c>
      <c r="Y106" s="241">
        <f t="shared" si="17"/>
        <v>1.9835616438356165</v>
      </c>
      <c r="Z106" s="40">
        <v>45086</v>
      </c>
      <c r="AA106" s="241">
        <f t="shared" si="18"/>
        <v>1.9863013698630136</v>
      </c>
      <c r="AB106" s="308">
        <v>2</v>
      </c>
      <c r="AC106">
        <v>2</v>
      </c>
      <c r="AD106" s="299">
        <v>80</v>
      </c>
      <c r="AE106" s="299">
        <v>10.6</v>
      </c>
      <c r="AF106" s="298">
        <f>AE106/(AD106/100)^2</f>
        <v>16.562499999999996</v>
      </c>
      <c r="AG106" s="299">
        <v>11</v>
      </c>
      <c r="AH106" s="299">
        <v>5</v>
      </c>
      <c r="AI106" s="299">
        <v>54.4</v>
      </c>
      <c r="AJ106" s="301">
        <v>0</v>
      </c>
      <c r="AK106" s="301">
        <v>1</v>
      </c>
      <c r="AL106" s="305">
        <v>0</v>
      </c>
      <c r="AM106" s="305">
        <v>0</v>
      </c>
      <c r="AN106" s="307">
        <v>1</v>
      </c>
    </row>
    <row r="107" spans="1:40" ht="16">
      <c r="A107" s="2" t="s">
        <v>463</v>
      </c>
      <c r="B107" s="2">
        <v>22107192</v>
      </c>
      <c r="C107" s="39" t="s">
        <v>464</v>
      </c>
      <c r="D107" s="2" t="s">
        <v>465</v>
      </c>
      <c r="E107" s="2">
        <v>0</v>
      </c>
      <c r="F107" s="23">
        <v>44273</v>
      </c>
      <c r="G107" s="23">
        <v>44361</v>
      </c>
      <c r="H107" s="23">
        <v>44361</v>
      </c>
      <c r="I107" s="2" t="s">
        <v>461</v>
      </c>
      <c r="J107" s="4">
        <v>766</v>
      </c>
      <c r="K107" s="56" t="s">
        <v>462</v>
      </c>
      <c r="L107" s="23">
        <v>44540</v>
      </c>
      <c r="M107" s="238">
        <f t="shared" si="11"/>
        <v>0.49041095890410957</v>
      </c>
      <c r="N107" s="23">
        <v>44540</v>
      </c>
      <c r="O107" s="238">
        <f t="shared" si="12"/>
        <v>0.49041095890410957</v>
      </c>
      <c r="P107" s="23">
        <v>44537</v>
      </c>
      <c r="Q107" s="238">
        <f t="shared" si="13"/>
        <v>0.48219178082191783</v>
      </c>
      <c r="R107" s="23">
        <v>44540</v>
      </c>
      <c r="S107" s="238">
        <f t="shared" si="14"/>
        <v>0.49041095890410957</v>
      </c>
      <c r="T107" s="263" t="s">
        <v>1955</v>
      </c>
      <c r="U107" s="241" t="e">
        <f t="shared" si="15"/>
        <v>#VALUE!</v>
      </c>
      <c r="V107" s="40">
        <v>45107</v>
      </c>
      <c r="W107" s="241">
        <f t="shared" si="16"/>
        <v>2.043835616438356</v>
      </c>
      <c r="X107" s="40">
        <v>45082</v>
      </c>
      <c r="Y107" s="241">
        <f t="shared" si="17"/>
        <v>1.9753424657534246</v>
      </c>
      <c r="Z107" s="40">
        <v>45086</v>
      </c>
      <c r="AA107" s="241">
        <f t="shared" si="18"/>
        <v>1.9863013698630136</v>
      </c>
      <c r="AB107" s="308">
        <v>2</v>
      </c>
      <c r="AC107">
        <v>2</v>
      </c>
      <c r="AD107" s="299">
        <v>80</v>
      </c>
      <c r="AE107" s="299">
        <v>10.6</v>
      </c>
      <c r="AF107" s="298">
        <f>AE107/(AD107/100)^2</f>
        <v>16.562499999999996</v>
      </c>
      <c r="AG107" s="299">
        <v>11</v>
      </c>
      <c r="AH107" s="299">
        <v>5</v>
      </c>
      <c r="AI107" s="299">
        <v>54.4</v>
      </c>
      <c r="AJ107" s="301">
        <v>0</v>
      </c>
      <c r="AK107" s="301">
        <v>1</v>
      </c>
      <c r="AL107" s="305">
        <v>2</v>
      </c>
      <c r="AM107" s="305">
        <v>0</v>
      </c>
      <c r="AN107" s="307">
        <v>1</v>
      </c>
    </row>
    <row r="108" spans="1:40" ht="16">
      <c r="A108" s="2" t="s">
        <v>466</v>
      </c>
      <c r="B108" s="2">
        <v>22108569</v>
      </c>
      <c r="C108" s="2" t="s">
        <v>467</v>
      </c>
      <c r="D108" s="2" t="s">
        <v>468</v>
      </c>
      <c r="E108" s="2">
        <v>0</v>
      </c>
      <c r="F108" s="23">
        <v>44418</v>
      </c>
      <c r="G108" s="44">
        <v>44418</v>
      </c>
      <c r="H108" s="23">
        <v>44418</v>
      </c>
      <c r="I108" s="2">
        <v>40</v>
      </c>
      <c r="J108" s="4">
        <v>3110</v>
      </c>
      <c r="K108" s="27" t="s">
        <v>469</v>
      </c>
      <c r="L108" s="20" t="s">
        <v>2215</v>
      </c>
      <c r="M108" s="240" t="e">
        <f t="shared" si="11"/>
        <v>#VALUE!</v>
      </c>
      <c r="N108" s="20" t="s">
        <v>2215</v>
      </c>
      <c r="O108" s="240" t="e">
        <f t="shared" si="12"/>
        <v>#VALUE!</v>
      </c>
      <c r="P108" s="20" t="s">
        <v>2215</v>
      </c>
      <c r="Q108" s="240" t="e">
        <f t="shared" si="13"/>
        <v>#VALUE!</v>
      </c>
      <c r="R108" s="20" t="s">
        <v>2215</v>
      </c>
      <c r="S108" s="240" t="e">
        <f t="shared" si="14"/>
        <v>#VALUE!</v>
      </c>
      <c r="T108" s="25" t="s">
        <v>1955</v>
      </c>
      <c r="U108" s="248" t="e">
        <f t="shared" si="15"/>
        <v>#VALUE!</v>
      </c>
      <c r="V108" s="25" t="s">
        <v>1955</v>
      </c>
      <c r="W108" s="248" t="e">
        <f t="shared" si="16"/>
        <v>#VALUE!</v>
      </c>
      <c r="X108" s="25" t="s">
        <v>1955</v>
      </c>
      <c r="Y108" s="248" t="e">
        <f t="shared" si="17"/>
        <v>#VALUE!</v>
      </c>
      <c r="Z108" s="25" t="s">
        <v>1955</v>
      </c>
      <c r="AA108" s="248" t="e">
        <f t="shared" si="18"/>
        <v>#VALUE!</v>
      </c>
      <c r="AB108" s="308">
        <v>0</v>
      </c>
      <c r="AC108" s="309">
        <v>0</v>
      </c>
      <c r="AD108" s="302"/>
      <c r="AE108" s="302"/>
      <c r="AF108" s="303"/>
      <c r="AG108" s="302"/>
      <c r="AH108" s="302"/>
      <c r="AI108" s="302"/>
      <c r="AJ108" s="304"/>
      <c r="AK108" s="304"/>
      <c r="AL108" s="306"/>
      <c r="AM108" s="306"/>
      <c r="AN108" s="307">
        <v>0</v>
      </c>
    </row>
    <row r="109" spans="1:40" ht="16">
      <c r="A109" s="2" t="s">
        <v>470</v>
      </c>
      <c r="B109" s="2">
        <v>22103283</v>
      </c>
      <c r="C109" s="2" t="s">
        <v>471</v>
      </c>
      <c r="D109" s="2" t="s">
        <v>472</v>
      </c>
      <c r="E109" s="2">
        <v>1</v>
      </c>
      <c r="F109" s="23">
        <v>43888</v>
      </c>
      <c r="G109" s="23">
        <v>43949</v>
      </c>
      <c r="H109" s="23">
        <v>43949</v>
      </c>
      <c r="I109" s="2" t="s">
        <v>66</v>
      </c>
      <c r="J109" s="4">
        <v>1275</v>
      </c>
      <c r="K109" s="56" t="s">
        <v>473</v>
      </c>
      <c r="L109" s="16" t="s">
        <v>1995</v>
      </c>
      <c r="M109" s="239" t="e">
        <f t="shared" si="11"/>
        <v>#VALUE!</v>
      </c>
      <c r="N109" s="16" t="s">
        <v>1995</v>
      </c>
      <c r="O109" s="239" t="e">
        <f t="shared" si="12"/>
        <v>#VALUE!</v>
      </c>
      <c r="P109" s="16" t="s">
        <v>1995</v>
      </c>
      <c r="Q109" s="239" t="e">
        <f t="shared" si="13"/>
        <v>#VALUE!</v>
      </c>
      <c r="R109" s="16" t="s">
        <v>1995</v>
      </c>
      <c r="S109" s="239" t="e">
        <f t="shared" si="14"/>
        <v>#VALUE!</v>
      </c>
      <c r="T109" s="95">
        <v>44694</v>
      </c>
      <c r="U109" s="246">
        <f t="shared" si="15"/>
        <v>2.0410958904109591</v>
      </c>
      <c r="V109" s="95">
        <v>44697</v>
      </c>
      <c r="W109" s="246">
        <f t="shared" si="16"/>
        <v>2.0493150684931507</v>
      </c>
      <c r="X109" s="95">
        <v>44695</v>
      </c>
      <c r="Y109" s="246">
        <f t="shared" si="17"/>
        <v>2.043835616438356</v>
      </c>
      <c r="Z109" s="95">
        <v>44697</v>
      </c>
      <c r="AA109" s="246">
        <f t="shared" si="18"/>
        <v>2.0493150684931507</v>
      </c>
      <c r="AB109" s="308">
        <v>1</v>
      </c>
      <c r="AC109">
        <v>2</v>
      </c>
      <c r="AD109" s="299">
        <v>86</v>
      </c>
      <c r="AE109" s="299">
        <v>10.9</v>
      </c>
      <c r="AF109" s="298">
        <f>AE109/(AD109/100)^2</f>
        <v>14.73769605191996</v>
      </c>
      <c r="AG109" s="299">
        <v>7</v>
      </c>
      <c r="AH109" s="299">
        <v>39.4</v>
      </c>
      <c r="AI109" s="299">
        <v>5.3</v>
      </c>
      <c r="AJ109" s="301">
        <v>0</v>
      </c>
      <c r="AK109" s="301">
        <v>1</v>
      </c>
      <c r="AL109" s="305">
        <v>0</v>
      </c>
      <c r="AM109" s="305">
        <v>0</v>
      </c>
      <c r="AN109" s="307">
        <v>0</v>
      </c>
    </row>
    <row r="110" spans="1:40" ht="16">
      <c r="A110" s="2" t="s">
        <v>474</v>
      </c>
      <c r="B110" s="2">
        <v>22107215</v>
      </c>
      <c r="C110" s="2" t="s">
        <v>475</v>
      </c>
      <c r="D110" s="2" t="s">
        <v>476</v>
      </c>
      <c r="E110" s="2">
        <v>1</v>
      </c>
      <c r="F110" s="23">
        <v>44275</v>
      </c>
      <c r="G110" s="23">
        <v>44387</v>
      </c>
      <c r="H110" s="23">
        <v>44387</v>
      </c>
      <c r="I110" s="2">
        <v>24</v>
      </c>
      <c r="J110" s="4">
        <v>712</v>
      </c>
      <c r="K110" s="56" t="s">
        <v>477</v>
      </c>
      <c r="L110" s="23">
        <v>44568</v>
      </c>
      <c r="M110" s="238">
        <f t="shared" si="11"/>
        <v>0.49589041095890413</v>
      </c>
      <c r="N110" s="23">
        <v>44568</v>
      </c>
      <c r="O110" s="238">
        <f t="shared" si="12"/>
        <v>0.49589041095890413</v>
      </c>
      <c r="P110" s="23">
        <v>44566</v>
      </c>
      <c r="Q110" s="238">
        <f t="shared" si="13"/>
        <v>0.49041095890410957</v>
      </c>
      <c r="R110" s="23">
        <v>44568</v>
      </c>
      <c r="S110" s="238">
        <f t="shared" si="14"/>
        <v>0.49589041095890413</v>
      </c>
      <c r="T110" s="95">
        <v>45170</v>
      </c>
      <c r="U110" s="246">
        <f t="shared" si="15"/>
        <v>2.1452054794520548</v>
      </c>
      <c r="V110" s="95">
        <v>45170</v>
      </c>
      <c r="W110" s="246">
        <f t="shared" si="16"/>
        <v>2.1452054794520548</v>
      </c>
      <c r="X110" s="95">
        <v>45169</v>
      </c>
      <c r="Y110" s="246">
        <f t="shared" si="17"/>
        <v>2.1424657534246574</v>
      </c>
      <c r="Z110" s="95">
        <v>45170</v>
      </c>
      <c r="AA110" s="246">
        <f t="shared" si="18"/>
        <v>2.1452054794520548</v>
      </c>
      <c r="AB110" s="308">
        <v>2</v>
      </c>
      <c r="AC110">
        <v>2</v>
      </c>
      <c r="AD110" s="299">
        <v>84.5</v>
      </c>
      <c r="AE110" s="299">
        <v>10.4</v>
      </c>
      <c r="AF110" s="298">
        <f>AE110/(AD110/100)^2</f>
        <v>14.565316340464271</v>
      </c>
      <c r="AG110" s="299">
        <v>2</v>
      </c>
      <c r="AH110" s="299">
        <v>17.7</v>
      </c>
      <c r="AI110" s="299">
        <v>3.9</v>
      </c>
      <c r="AJ110" s="301">
        <v>0</v>
      </c>
      <c r="AK110" s="301">
        <v>1</v>
      </c>
      <c r="AL110" s="305">
        <v>2</v>
      </c>
      <c r="AM110" s="305">
        <v>0</v>
      </c>
      <c r="AN110" s="307">
        <v>1</v>
      </c>
    </row>
    <row r="111" spans="1:40" ht="16">
      <c r="A111" s="2" t="s">
        <v>478</v>
      </c>
      <c r="B111" s="2">
        <v>22106269</v>
      </c>
      <c r="C111" s="2" t="s">
        <v>479</v>
      </c>
      <c r="D111" s="2" t="s">
        <v>480</v>
      </c>
      <c r="E111" s="2">
        <v>1</v>
      </c>
      <c r="F111" s="23">
        <v>44188</v>
      </c>
      <c r="G111" s="23">
        <v>44298</v>
      </c>
      <c r="H111" s="23">
        <v>44298</v>
      </c>
      <c r="I111" s="2" t="s">
        <v>314</v>
      </c>
      <c r="J111" s="4">
        <v>470</v>
      </c>
      <c r="K111" s="27" t="s">
        <v>481</v>
      </c>
      <c r="L111" s="17" t="s">
        <v>18</v>
      </c>
      <c r="M111" s="241" t="e">
        <f t="shared" si="11"/>
        <v>#VALUE!</v>
      </c>
      <c r="N111" s="40">
        <v>44488</v>
      </c>
      <c r="O111" s="241">
        <f t="shared" si="12"/>
        <v>0.52054794520547942</v>
      </c>
      <c r="P111" s="40">
        <v>44487</v>
      </c>
      <c r="Q111" s="241">
        <f t="shared" si="13"/>
        <v>0.51780821917808217</v>
      </c>
      <c r="R111" s="40">
        <v>44487</v>
      </c>
      <c r="S111" s="241">
        <f t="shared" si="14"/>
        <v>0.51780821917808217</v>
      </c>
      <c r="T111" s="90" t="s">
        <v>2476</v>
      </c>
      <c r="U111" s="253" t="e">
        <f t="shared" si="15"/>
        <v>#VALUE!</v>
      </c>
      <c r="V111" s="90" t="s">
        <v>2475</v>
      </c>
      <c r="W111" s="253" t="e">
        <f t="shared" si="16"/>
        <v>#VALUE!</v>
      </c>
      <c r="X111" s="90" t="s">
        <v>2475</v>
      </c>
      <c r="Y111" s="253" t="e">
        <f t="shared" si="17"/>
        <v>#VALUE!</v>
      </c>
      <c r="Z111" s="90" t="s">
        <v>2475</v>
      </c>
      <c r="AA111" s="253" t="e">
        <f t="shared" si="18"/>
        <v>#VALUE!</v>
      </c>
      <c r="AB111" s="308">
        <v>2</v>
      </c>
      <c r="AC111">
        <v>2</v>
      </c>
      <c r="AD111" s="302"/>
      <c r="AE111" s="302"/>
      <c r="AF111" s="303"/>
      <c r="AG111" s="302"/>
      <c r="AH111" s="302"/>
      <c r="AI111" s="302"/>
      <c r="AJ111" s="304"/>
      <c r="AK111" s="304"/>
      <c r="AL111" s="306"/>
      <c r="AM111" s="306"/>
      <c r="AN111" s="307">
        <v>1</v>
      </c>
    </row>
    <row r="112" spans="1:40" ht="16">
      <c r="A112" s="2" t="s">
        <v>482</v>
      </c>
      <c r="B112" s="2">
        <v>21928733</v>
      </c>
      <c r="C112" s="2" t="s">
        <v>483</v>
      </c>
      <c r="D112" s="2" t="s">
        <v>484</v>
      </c>
      <c r="E112" s="2">
        <v>0</v>
      </c>
      <c r="F112" s="23">
        <v>43493</v>
      </c>
      <c r="G112" s="23">
        <v>43598</v>
      </c>
      <c r="H112" s="23">
        <v>43598</v>
      </c>
      <c r="I112" s="2">
        <v>25</v>
      </c>
      <c r="J112" s="4">
        <v>882</v>
      </c>
      <c r="K112" s="56" t="s">
        <v>485</v>
      </c>
      <c r="L112" s="16" t="s">
        <v>1995</v>
      </c>
      <c r="M112" s="239" t="e">
        <f t="shared" si="11"/>
        <v>#VALUE!</v>
      </c>
      <c r="N112" s="16" t="s">
        <v>1995</v>
      </c>
      <c r="O112" s="239" t="e">
        <f t="shared" si="12"/>
        <v>#VALUE!</v>
      </c>
      <c r="P112" s="16" t="s">
        <v>1995</v>
      </c>
      <c r="Q112" s="239" t="e">
        <f t="shared" si="13"/>
        <v>#VALUE!</v>
      </c>
      <c r="R112" s="16" t="s">
        <v>1995</v>
      </c>
      <c r="S112" s="239" t="e">
        <f t="shared" si="14"/>
        <v>#VALUE!</v>
      </c>
      <c r="T112" s="95">
        <v>44491</v>
      </c>
      <c r="U112" s="246">
        <f t="shared" si="15"/>
        <v>2.4465753424657533</v>
      </c>
      <c r="V112" s="95">
        <v>44495</v>
      </c>
      <c r="W112" s="246">
        <f t="shared" si="16"/>
        <v>2.4575342465753423</v>
      </c>
      <c r="X112" s="95">
        <v>44493</v>
      </c>
      <c r="Y112" s="246">
        <f t="shared" si="17"/>
        <v>2.452054794520548</v>
      </c>
      <c r="Z112" s="95">
        <v>44491</v>
      </c>
      <c r="AA112" s="246">
        <f t="shared" si="18"/>
        <v>2.4465753424657533</v>
      </c>
      <c r="AB112" s="308">
        <v>2</v>
      </c>
      <c r="AC112">
        <v>2</v>
      </c>
      <c r="AD112" s="299">
        <v>93</v>
      </c>
      <c r="AE112" s="299">
        <v>12</v>
      </c>
      <c r="AF112" s="298">
        <f>AE112/(AD112/100)^2</f>
        <v>13.874436351023238</v>
      </c>
      <c r="AG112" s="299">
        <v>26.1</v>
      </c>
      <c r="AH112" s="299">
        <v>83.2</v>
      </c>
      <c r="AI112" s="299">
        <v>2.2000000000000002</v>
      </c>
      <c r="AJ112" s="301">
        <v>1</v>
      </c>
      <c r="AK112" s="301">
        <v>1</v>
      </c>
      <c r="AL112" s="305">
        <v>2</v>
      </c>
      <c r="AM112" s="305">
        <v>0</v>
      </c>
      <c r="AN112" s="307">
        <v>1</v>
      </c>
    </row>
    <row r="113" spans="1:40" ht="16">
      <c r="A113" s="2" t="s">
        <v>486</v>
      </c>
      <c r="B113" s="2">
        <v>22104710</v>
      </c>
      <c r="C113" s="2" t="s">
        <v>487</v>
      </c>
      <c r="D113" s="2" t="s">
        <v>488</v>
      </c>
      <c r="E113" s="2">
        <v>0</v>
      </c>
      <c r="F113" s="23">
        <v>44036</v>
      </c>
      <c r="G113" s="44">
        <v>44036</v>
      </c>
      <c r="H113" s="23">
        <v>44036</v>
      </c>
      <c r="I113" s="2">
        <v>38</v>
      </c>
      <c r="J113" s="4">
        <v>2840</v>
      </c>
      <c r="K113" s="27" t="s">
        <v>489</v>
      </c>
      <c r="L113" s="20" t="s">
        <v>2215</v>
      </c>
      <c r="M113" s="240" t="e">
        <f t="shared" si="11"/>
        <v>#VALUE!</v>
      </c>
      <c r="N113" s="20" t="s">
        <v>2215</v>
      </c>
      <c r="O113" s="240" t="e">
        <f t="shared" si="12"/>
        <v>#VALUE!</v>
      </c>
      <c r="P113" s="20" t="s">
        <v>2215</v>
      </c>
      <c r="Q113" s="240" t="e">
        <f t="shared" si="13"/>
        <v>#VALUE!</v>
      </c>
      <c r="R113" s="20" t="s">
        <v>2215</v>
      </c>
      <c r="S113" s="240" t="e">
        <f t="shared" si="14"/>
        <v>#VALUE!</v>
      </c>
      <c r="T113" s="25" t="s">
        <v>1955</v>
      </c>
      <c r="U113" s="248" t="e">
        <f t="shared" si="15"/>
        <v>#VALUE!</v>
      </c>
      <c r="V113" s="25" t="s">
        <v>1955</v>
      </c>
      <c r="W113" s="248" t="e">
        <f t="shared" si="16"/>
        <v>#VALUE!</v>
      </c>
      <c r="X113" s="25" t="s">
        <v>1955</v>
      </c>
      <c r="Y113" s="248" t="e">
        <f t="shared" si="17"/>
        <v>#VALUE!</v>
      </c>
      <c r="Z113" s="25" t="s">
        <v>1955</v>
      </c>
      <c r="AA113" s="248" t="e">
        <f t="shared" si="18"/>
        <v>#VALUE!</v>
      </c>
      <c r="AB113" s="308">
        <v>0</v>
      </c>
      <c r="AC113" s="309">
        <v>0</v>
      </c>
      <c r="AD113" s="302"/>
      <c r="AE113" s="302"/>
      <c r="AF113" s="303"/>
      <c r="AG113" s="302"/>
      <c r="AH113" s="302"/>
      <c r="AI113" s="302"/>
      <c r="AJ113" s="304"/>
      <c r="AK113" s="304"/>
      <c r="AL113" s="306"/>
      <c r="AM113" s="306"/>
      <c r="AN113" s="307">
        <v>0</v>
      </c>
    </row>
    <row r="114" spans="1:40" ht="16">
      <c r="A114" s="2" t="s">
        <v>490</v>
      </c>
      <c r="B114" s="2">
        <v>22105636</v>
      </c>
      <c r="C114" s="2" t="s">
        <v>491</v>
      </c>
      <c r="D114" s="2" t="s">
        <v>492</v>
      </c>
      <c r="E114" s="2">
        <v>1</v>
      </c>
      <c r="F114" s="23">
        <v>44127</v>
      </c>
      <c r="G114" s="23">
        <v>44218</v>
      </c>
      <c r="H114" s="23">
        <v>44218</v>
      </c>
      <c r="I114" s="2">
        <v>27</v>
      </c>
      <c r="J114" s="4">
        <v>955</v>
      </c>
      <c r="K114" s="56" t="s">
        <v>493</v>
      </c>
      <c r="L114" s="23">
        <v>44495</v>
      </c>
      <c r="M114" s="238">
        <f t="shared" si="11"/>
        <v>0.75890410958904109</v>
      </c>
      <c r="N114" s="23">
        <v>44526</v>
      </c>
      <c r="O114" s="238">
        <f t="shared" si="12"/>
        <v>0.84383561643835614</v>
      </c>
      <c r="P114" s="23">
        <v>44522</v>
      </c>
      <c r="Q114" s="238">
        <f t="shared" si="13"/>
        <v>0.83287671232876714</v>
      </c>
      <c r="R114" s="23">
        <v>44495</v>
      </c>
      <c r="S114" s="238">
        <f t="shared" si="14"/>
        <v>0.75890410958904109</v>
      </c>
      <c r="T114" s="40" t="s">
        <v>1720</v>
      </c>
      <c r="U114" s="241" t="e">
        <f t="shared" si="15"/>
        <v>#VALUE!</v>
      </c>
      <c r="V114" s="40">
        <v>44957</v>
      </c>
      <c r="W114" s="241">
        <f t="shared" si="16"/>
        <v>2.0246575342465754</v>
      </c>
      <c r="X114" s="40">
        <v>44956</v>
      </c>
      <c r="Y114" s="241">
        <f t="shared" si="17"/>
        <v>2.021917808219178</v>
      </c>
      <c r="Z114" s="40" t="s">
        <v>1720</v>
      </c>
      <c r="AA114" s="241" t="e">
        <f t="shared" si="18"/>
        <v>#VALUE!</v>
      </c>
      <c r="AB114" s="308">
        <v>2</v>
      </c>
      <c r="AC114">
        <v>2</v>
      </c>
      <c r="AD114" s="299">
        <v>82.9</v>
      </c>
      <c r="AE114" s="299">
        <v>10.3</v>
      </c>
      <c r="AF114" s="298">
        <f>AE114/(AD114/100)^2</f>
        <v>14.987464368394782</v>
      </c>
      <c r="AG114" s="299">
        <v>2.2999999999999998</v>
      </c>
      <c r="AH114" s="299">
        <v>13.6</v>
      </c>
      <c r="AI114" s="299">
        <v>8.6</v>
      </c>
      <c r="AJ114" s="301">
        <v>1</v>
      </c>
      <c r="AK114" s="301">
        <v>1</v>
      </c>
      <c r="AL114" s="305">
        <v>0</v>
      </c>
      <c r="AM114" s="305">
        <v>0</v>
      </c>
      <c r="AN114" s="307">
        <v>1</v>
      </c>
    </row>
    <row r="115" spans="1:40" ht="16">
      <c r="A115" s="2" t="s">
        <v>494</v>
      </c>
      <c r="B115" s="2">
        <v>22104579</v>
      </c>
      <c r="C115" s="2" t="s">
        <v>495</v>
      </c>
      <c r="D115" s="2" t="s">
        <v>496</v>
      </c>
      <c r="E115" s="2">
        <v>1</v>
      </c>
      <c r="F115" s="23">
        <v>44025</v>
      </c>
      <c r="G115" s="23">
        <v>44097</v>
      </c>
      <c r="H115" s="23">
        <v>44097</v>
      </c>
      <c r="I115" s="2" t="s">
        <v>497</v>
      </c>
      <c r="J115" s="4">
        <v>1310</v>
      </c>
      <c r="K115" s="56" t="s">
        <v>498</v>
      </c>
      <c r="L115" s="16" t="s">
        <v>1995</v>
      </c>
      <c r="M115" s="239" t="e">
        <f t="shared" si="11"/>
        <v>#VALUE!</v>
      </c>
      <c r="N115" s="16" t="s">
        <v>1995</v>
      </c>
      <c r="O115" s="239" t="e">
        <f t="shared" si="12"/>
        <v>#VALUE!</v>
      </c>
      <c r="P115" s="16" t="s">
        <v>1995</v>
      </c>
      <c r="Q115" s="239" t="e">
        <f t="shared" si="13"/>
        <v>#VALUE!</v>
      </c>
      <c r="R115" s="16" t="s">
        <v>1995</v>
      </c>
      <c r="S115" s="239" t="e">
        <f t="shared" si="14"/>
        <v>#VALUE!</v>
      </c>
      <c r="T115" s="96">
        <v>44873</v>
      </c>
      <c r="U115" s="249">
        <f t="shared" si="15"/>
        <v>2.1260273972602741</v>
      </c>
      <c r="V115" s="96">
        <v>44890</v>
      </c>
      <c r="W115" s="249">
        <f t="shared" si="16"/>
        <v>2.1726027397260275</v>
      </c>
      <c r="X115" s="96">
        <v>44872</v>
      </c>
      <c r="Y115" s="249">
        <f t="shared" si="17"/>
        <v>2.1232876712328768</v>
      </c>
      <c r="Z115" s="95">
        <v>44873</v>
      </c>
      <c r="AA115" s="246">
        <f t="shared" si="18"/>
        <v>2.1260273972602741</v>
      </c>
      <c r="AB115" s="308">
        <v>1</v>
      </c>
      <c r="AC115">
        <v>1</v>
      </c>
      <c r="AD115" s="299">
        <v>81.5</v>
      </c>
      <c r="AE115" s="299">
        <v>10.1</v>
      </c>
      <c r="AF115" s="298">
        <f>AE115/(AD115/100)^2</f>
        <v>15.205690842711432</v>
      </c>
      <c r="AG115" s="299">
        <v>1.1000000000000001</v>
      </c>
      <c r="AH115" s="299">
        <v>4.2</v>
      </c>
      <c r="AI115" s="299">
        <v>13.4</v>
      </c>
      <c r="AJ115" s="301">
        <v>0</v>
      </c>
      <c r="AK115" s="301">
        <v>1</v>
      </c>
      <c r="AL115" s="305">
        <v>0</v>
      </c>
      <c r="AM115" s="305">
        <v>0</v>
      </c>
      <c r="AN115" s="307">
        <v>0</v>
      </c>
    </row>
    <row r="116" spans="1:40" ht="16">
      <c r="A116" s="2" t="s">
        <v>499</v>
      </c>
      <c r="B116" s="2">
        <v>22108091</v>
      </c>
      <c r="C116" s="2" t="s">
        <v>500</v>
      </c>
      <c r="D116" s="2" t="s">
        <v>501</v>
      </c>
      <c r="E116" s="2">
        <v>0</v>
      </c>
      <c r="F116" s="23">
        <v>44367</v>
      </c>
      <c r="G116" s="23">
        <v>44374</v>
      </c>
      <c r="H116" s="23">
        <v>44367</v>
      </c>
      <c r="I116" s="2">
        <v>39</v>
      </c>
      <c r="J116" s="4">
        <v>3230</v>
      </c>
      <c r="K116" s="56" t="s">
        <v>502</v>
      </c>
      <c r="L116" s="23">
        <v>44558</v>
      </c>
      <c r="M116" s="238">
        <f t="shared" si="11"/>
        <v>0.52328767123287667</v>
      </c>
      <c r="N116" s="23">
        <v>44586</v>
      </c>
      <c r="O116" s="238">
        <f t="shared" si="12"/>
        <v>0.6</v>
      </c>
      <c r="P116" s="23">
        <v>44584</v>
      </c>
      <c r="Q116" s="238">
        <f t="shared" si="13"/>
        <v>0.59452054794520548</v>
      </c>
      <c r="R116" s="23">
        <v>44558</v>
      </c>
      <c r="S116" s="238">
        <f t="shared" si="14"/>
        <v>0.52328767123287667</v>
      </c>
      <c r="T116" s="95">
        <v>45210</v>
      </c>
      <c r="U116" s="246">
        <f t="shared" si="15"/>
        <v>2.3095890410958906</v>
      </c>
      <c r="V116" s="95">
        <v>45202</v>
      </c>
      <c r="W116" s="246">
        <f t="shared" si="16"/>
        <v>2.2876712328767121</v>
      </c>
      <c r="X116" s="95">
        <v>45200</v>
      </c>
      <c r="Y116" s="246">
        <f t="shared" si="17"/>
        <v>2.2821917808219179</v>
      </c>
      <c r="Z116" s="95">
        <v>45210</v>
      </c>
      <c r="AA116" s="246">
        <f t="shared" si="18"/>
        <v>2.3095890410958906</v>
      </c>
      <c r="AB116" s="308">
        <v>0</v>
      </c>
      <c r="AC116">
        <v>0</v>
      </c>
      <c r="AD116" s="311">
        <v>87.9</v>
      </c>
      <c r="AE116" s="299">
        <v>11.5</v>
      </c>
      <c r="AF116" s="318">
        <v>14.9</v>
      </c>
      <c r="AG116" s="299">
        <v>20</v>
      </c>
      <c r="AH116" s="317">
        <v>39</v>
      </c>
      <c r="AI116" s="317">
        <v>14.3</v>
      </c>
      <c r="AJ116" s="301">
        <v>1</v>
      </c>
      <c r="AK116" s="301">
        <v>1</v>
      </c>
      <c r="AL116" s="305">
        <v>0</v>
      </c>
      <c r="AM116" s="305">
        <v>0</v>
      </c>
      <c r="AN116" s="307">
        <v>0</v>
      </c>
    </row>
    <row r="117" spans="1:40" ht="16">
      <c r="A117" s="2" t="s">
        <v>503</v>
      </c>
      <c r="B117" s="2">
        <v>22108353</v>
      </c>
      <c r="C117" s="2" t="s">
        <v>504</v>
      </c>
      <c r="D117" s="2" t="s">
        <v>505</v>
      </c>
      <c r="E117" s="2">
        <v>1</v>
      </c>
      <c r="F117" s="23">
        <v>44395</v>
      </c>
      <c r="G117" s="23">
        <v>44466</v>
      </c>
      <c r="H117" s="23">
        <v>44466</v>
      </c>
      <c r="I117" s="2" t="s">
        <v>289</v>
      </c>
      <c r="J117" s="4">
        <v>900</v>
      </c>
      <c r="K117" s="27" t="s">
        <v>506</v>
      </c>
      <c r="L117" s="23">
        <v>44659</v>
      </c>
      <c r="M117" s="238">
        <f t="shared" si="11"/>
        <v>0.52876712328767128</v>
      </c>
      <c r="N117" s="23">
        <v>44659</v>
      </c>
      <c r="O117" s="238">
        <f t="shared" si="12"/>
        <v>0.52876712328767128</v>
      </c>
      <c r="P117" s="23">
        <v>44654</v>
      </c>
      <c r="Q117" s="238">
        <f t="shared" si="13"/>
        <v>0.51506849315068493</v>
      </c>
      <c r="R117" s="23">
        <v>44659</v>
      </c>
      <c r="S117" s="238">
        <f t="shared" si="14"/>
        <v>0.52876712328767128</v>
      </c>
      <c r="T117" s="25" t="s">
        <v>2645</v>
      </c>
      <c r="U117" s="248" t="e">
        <f t="shared" si="15"/>
        <v>#VALUE!</v>
      </c>
      <c r="V117" s="25" t="s">
        <v>2645</v>
      </c>
      <c r="W117" s="248" t="e">
        <f t="shared" si="16"/>
        <v>#VALUE!</v>
      </c>
      <c r="X117" s="25" t="s">
        <v>2645</v>
      </c>
      <c r="Y117" s="248" t="e">
        <f t="shared" si="17"/>
        <v>#VALUE!</v>
      </c>
      <c r="Z117" s="25" t="s">
        <v>2645</v>
      </c>
      <c r="AA117" s="248" t="e">
        <f t="shared" si="18"/>
        <v>#VALUE!</v>
      </c>
      <c r="AB117" s="308">
        <v>1</v>
      </c>
      <c r="AC117">
        <v>2</v>
      </c>
      <c r="AD117" s="302"/>
      <c r="AE117" s="302"/>
      <c r="AF117" s="303"/>
      <c r="AG117" s="302"/>
      <c r="AH117" s="302"/>
      <c r="AI117" s="302"/>
      <c r="AJ117" s="304"/>
      <c r="AK117" s="304"/>
      <c r="AL117" s="306"/>
      <c r="AM117" s="306"/>
      <c r="AN117" s="307">
        <v>1</v>
      </c>
    </row>
    <row r="118" spans="1:40" ht="16">
      <c r="A118" s="2" t="s">
        <v>507</v>
      </c>
      <c r="B118" s="2">
        <v>22102665</v>
      </c>
      <c r="C118" s="2" t="s">
        <v>508</v>
      </c>
      <c r="D118" s="2" t="s">
        <v>123</v>
      </c>
      <c r="E118" s="2">
        <v>0</v>
      </c>
      <c r="F118" s="23">
        <v>43834</v>
      </c>
      <c r="G118" s="23">
        <v>43896</v>
      </c>
      <c r="H118" s="23">
        <v>43896</v>
      </c>
      <c r="I118" s="2" t="s">
        <v>100</v>
      </c>
      <c r="J118" s="4">
        <v>1175</v>
      </c>
      <c r="K118" s="56" t="s">
        <v>509</v>
      </c>
      <c r="L118" s="16" t="s">
        <v>1995</v>
      </c>
      <c r="M118" s="239" t="e">
        <f t="shared" si="11"/>
        <v>#VALUE!</v>
      </c>
      <c r="N118" s="16" t="s">
        <v>1995</v>
      </c>
      <c r="O118" s="239" t="e">
        <f t="shared" si="12"/>
        <v>#VALUE!</v>
      </c>
      <c r="P118" s="16" t="s">
        <v>1995</v>
      </c>
      <c r="Q118" s="239" t="e">
        <f t="shared" si="13"/>
        <v>#VALUE!</v>
      </c>
      <c r="R118" s="16" t="s">
        <v>1995</v>
      </c>
      <c r="S118" s="239" t="e">
        <f t="shared" si="14"/>
        <v>#VALUE!</v>
      </c>
      <c r="T118" s="95">
        <v>44678</v>
      </c>
      <c r="U118" s="246">
        <f t="shared" si="15"/>
        <v>2.1424657534246574</v>
      </c>
      <c r="V118" s="95">
        <v>44708</v>
      </c>
      <c r="W118" s="246">
        <f t="shared" si="16"/>
        <v>2.2246575342465755</v>
      </c>
      <c r="X118" s="95">
        <v>44649</v>
      </c>
      <c r="Y118" s="246">
        <f t="shared" si="17"/>
        <v>2.0630136986301371</v>
      </c>
      <c r="Z118" s="95">
        <v>44651</v>
      </c>
      <c r="AA118" s="246">
        <f t="shared" si="18"/>
        <v>2.0684931506849313</v>
      </c>
      <c r="AB118" s="308">
        <v>1</v>
      </c>
      <c r="AC118">
        <v>1</v>
      </c>
      <c r="AD118" s="299">
        <v>85</v>
      </c>
      <c r="AE118" s="299">
        <v>10.4</v>
      </c>
      <c r="AF118" s="298">
        <f>AE118/(AD118/100)^2</f>
        <v>14.394463667820071</v>
      </c>
      <c r="AG118" s="299">
        <v>5.9</v>
      </c>
      <c r="AH118" s="299">
        <v>42.1</v>
      </c>
      <c r="AI118" s="299">
        <v>5.2</v>
      </c>
      <c r="AJ118" s="301">
        <v>1</v>
      </c>
      <c r="AK118" s="301">
        <v>1</v>
      </c>
      <c r="AL118" s="305">
        <v>2</v>
      </c>
      <c r="AM118" s="305">
        <v>0</v>
      </c>
      <c r="AN118" s="307">
        <v>1</v>
      </c>
    </row>
    <row r="119" spans="1:40" ht="16">
      <c r="A119" s="2" t="s">
        <v>510</v>
      </c>
      <c r="B119" s="2">
        <v>22108869</v>
      </c>
      <c r="C119" s="2" t="s">
        <v>511</v>
      </c>
      <c r="D119" s="2" t="s">
        <v>512</v>
      </c>
      <c r="E119" s="2">
        <v>0</v>
      </c>
      <c r="F119" s="23">
        <v>44454</v>
      </c>
      <c r="G119" s="23">
        <v>44513</v>
      </c>
      <c r="H119" s="23">
        <v>44513</v>
      </c>
      <c r="I119" s="2" t="s">
        <v>435</v>
      </c>
      <c r="J119" s="4">
        <v>1660</v>
      </c>
      <c r="K119" s="56" t="s">
        <v>513</v>
      </c>
      <c r="L119" s="23">
        <v>44692</v>
      </c>
      <c r="M119" s="238">
        <f t="shared" si="11"/>
        <v>0.49041095890410957</v>
      </c>
      <c r="N119" s="23">
        <v>44692</v>
      </c>
      <c r="O119" s="238">
        <f t="shared" si="12"/>
        <v>0.49041095890410957</v>
      </c>
      <c r="P119" s="23">
        <v>44689</v>
      </c>
      <c r="Q119" s="238">
        <f t="shared" si="13"/>
        <v>0.48219178082191783</v>
      </c>
      <c r="R119" s="23">
        <v>44692</v>
      </c>
      <c r="S119" s="238">
        <f t="shared" si="14"/>
        <v>0.49041095890410957</v>
      </c>
      <c r="T119" s="95">
        <v>45289</v>
      </c>
      <c r="U119" s="246">
        <f t="shared" si="15"/>
        <v>2.1260273972602741</v>
      </c>
      <c r="V119" s="95">
        <v>45310</v>
      </c>
      <c r="W119" s="246">
        <f t="shared" si="16"/>
        <v>2.1835616438356165</v>
      </c>
      <c r="X119" s="95">
        <v>45289</v>
      </c>
      <c r="Y119" s="246">
        <f t="shared" si="17"/>
        <v>2.1260273972602741</v>
      </c>
      <c r="Z119" s="95">
        <v>45289</v>
      </c>
      <c r="AA119" s="246">
        <f t="shared" si="18"/>
        <v>2.1260273972602741</v>
      </c>
      <c r="AB119" s="308">
        <v>1</v>
      </c>
      <c r="AC119">
        <v>1</v>
      </c>
      <c r="AD119" s="299">
        <v>83</v>
      </c>
      <c r="AE119" s="299">
        <v>12.2</v>
      </c>
      <c r="AF119" s="298">
        <f>AE119/(AD119/100)^2</f>
        <v>17.709391784003483</v>
      </c>
      <c r="AG119" s="299">
        <v>47.5</v>
      </c>
      <c r="AH119" s="299">
        <v>18.100000000000001</v>
      </c>
      <c r="AI119" s="299">
        <v>82.3</v>
      </c>
      <c r="AJ119" s="301">
        <v>0</v>
      </c>
      <c r="AK119" s="301">
        <v>3</v>
      </c>
      <c r="AL119" s="305">
        <v>0</v>
      </c>
      <c r="AM119" s="305">
        <v>0</v>
      </c>
      <c r="AN119" s="307">
        <v>0</v>
      </c>
    </row>
    <row r="120" spans="1:40" ht="16">
      <c r="A120" s="2" t="s">
        <v>514</v>
      </c>
      <c r="B120" s="2">
        <v>22107197</v>
      </c>
      <c r="C120" s="2" t="s">
        <v>515</v>
      </c>
      <c r="D120" s="2" t="s">
        <v>99</v>
      </c>
      <c r="E120" s="2">
        <v>1</v>
      </c>
      <c r="F120" s="23">
        <v>44274</v>
      </c>
      <c r="G120" s="23">
        <v>44350</v>
      </c>
      <c r="H120" s="23">
        <v>44350</v>
      </c>
      <c r="I120" s="2" t="s">
        <v>260</v>
      </c>
      <c r="J120" s="4">
        <v>1480</v>
      </c>
      <c r="K120" s="56" t="s">
        <v>516</v>
      </c>
      <c r="L120" s="23">
        <v>44554</v>
      </c>
      <c r="M120" s="238">
        <f t="shared" si="11"/>
        <v>0.55890410958904113</v>
      </c>
      <c r="N120" s="23">
        <v>44526</v>
      </c>
      <c r="O120" s="238">
        <f t="shared" si="12"/>
        <v>0.48219178082191783</v>
      </c>
      <c r="P120" s="23">
        <v>44522</v>
      </c>
      <c r="Q120" s="238">
        <f t="shared" si="13"/>
        <v>0.47123287671232877</v>
      </c>
      <c r="R120" s="23">
        <v>44526</v>
      </c>
      <c r="S120" s="238">
        <f t="shared" si="14"/>
        <v>0.48219178082191783</v>
      </c>
      <c r="T120" s="32" t="s">
        <v>2503</v>
      </c>
      <c r="U120" s="248" t="e">
        <f t="shared" si="15"/>
        <v>#VALUE!</v>
      </c>
      <c r="V120" s="32" t="s">
        <v>2503</v>
      </c>
      <c r="W120" s="248" t="e">
        <f t="shared" si="16"/>
        <v>#VALUE!</v>
      </c>
      <c r="X120" s="32" t="s">
        <v>2503</v>
      </c>
      <c r="Y120" s="248" t="e">
        <f t="shared" si="17"/>
        <v>#VALUE!</v>
      </c>
      <c r="Z120" s="32" t="s">
        <v>2503</v>
      </c>
      <c r="AA120" s="248" t="e">
        <f t="shared" si="18"/>
        <v>#VALUE!</v>
      </c>
      <c r="AB120" s="308">
        <v>1</v>
      </c>
      <c r="AC120">
        <v>1</v>
      </c>
      <c r="AD120" s="302"/>
      <c r="AE120" s="302"/>
      <c r="AF120" s="303"/>
      <c r="AG120" s="302"/>
      <c r="AH120" s="302"/>
      <c r="AI120" s="302"/>
      <c r="AJ120" s="304"/>
      <c r="AK120" s="304"/>
      <c r="AL120" s="306"/>
      <c r="AM120" s="306"/>
      <c r="AN120" s="307">
        <v>1</v>
      </c>
    </row>
    <row r="121" spans="1:40" ht="16">
      <c r="A121" s="2" t="s">
        <v>517</v>
      </c>
      <c r="B121" s="2">
        <v>5085978</v>
      </c>
      <c r="C121" s="2" t="s">
        <v>518</v>
      </c>
      <c r="D121" s="2" t="s">
        <v>519</v>
      </c>
      <c r="E121" s="2">
        <v>0</v>
      </c>
      <c r="F121" s="23">
        <v>44250</v>
      </c>
      <c r="G121" s="23">
        <v>44366</v>
      </c>
      <c r="H121" s="23">
        <v>44366</v>
      </c>
      <c r="I121" s="2" t="s">
        <v>520</v>
      </c>
      <c r="J121" s="4">
        <v>650</v>
      </c>
      <c r="K121" s="27" t="s">
        <v>521</v>
      </c>
      <c r="L121" s="23">
        <v>44554</v>
      </c>
      <c r="M121" s="238">
        <f t="shared" si="11"/>
        <v>0.51506849315068493</v>
      </c>
      <c r="N121" s="23">
        <v>44554</v>
      </c>
      <c r="O121" s="238">
        <f t="shared" si="12"/>
        <v>0.51506849315068493</v>
      </c>
      <c r="P121" s="23">
        <v>44551</v>
      </c>
      <c r="Q121" s="238">
        <f t="shared" si="13"/>
        <v>0.50684931506849318</v>
      </c>
      <c r="R121" s="23">
        <v>44554</v>
      </c>
      <c r="S121" s="238">
        <f t="shared" si="14"/>
        <v>0.51506849315068493</v>
      </c>
      <c r="T121" s="95">
        <v>45118</v>
      </c>
      <c r="U121" s="246">
        <f t="shared" si="15"/>
        <v>2.0602739726027397</v>
      </c>
      <c r="V121" s="95">
        <v>45128</v>
      </c>
      <c r="W121" s="246">
        <f t="shared" si="16"/>
        <v>2.0876712328767124</v>
      </c>
      <c r="X121" s="95">
        <v>45122</v>
      </c>
      <c r="Y121" s="246">
        <f t="shared" si="17"/>
        <v>2.0712328767123287</v>
      </c>
      <c r="Z121" s="95">
        <v>45118</v>
      </c>
      <c r="AA121" s="246">
        <f t="shared" si="18"/>
        <v>2.0602739726027397</v>
      </c>
      <c r="AB121" s="308">
        <v>2</v>
      </c>
      <c r="AC121">
        <v>2</v>
      </c>
      <c r="AD121" s="299">
        <v>83</v>
      </c>
      <c r="AE121" s="299">
        <v>10.7</v>
      </c>
      <c r="AF121" s="298">
        <f>AE121/(AD121/100)^2</f>
        <v>15.53200754826535</v>
      </c>
      <c r="AG121" s="299">
        <v>9.6999999999999993</v>
      </c>
      <c r="AH121" s="299">
        <v>20.399999999999999</v>
      </c>
      <c r="AI121" s="299">
        <v>26.6</v>
      </c>
      <c r="AJ121" s="301">
        <v>0</v>
      </c>
      <c r="AK121" s="301">
        <v>1</v>
      </c>
      <c r="AL121" s="305">
        <v>2</v>
      </c>
      <c r="AM121" s="305">
        <v>2</v>
      </c>
      <c r="AN121" s="307">
        <v>1</v>
      </c>
    </row>
    <row r="122" spans="1:40" ht="16">
      <c r="A122" s="2" t="s">
        <v>522</v>
      </c>
      <c r="B122" s="2">
        <v>22107708</v>
      </c>
      <c r="C122" s="2" t="s">
        <v>523</v>
      </c>
      <c r="D122" s="2" t="s">
        <v>524</v>
      </c>
      <c r="E122" s="2">
        <v>1</v>
      </c>
      <c r="F122" s="23">
        <v>44328</v>
      </c>
      <c r="G122" s="23">
        <v>44401</v>
      </c>
      <c r="H122" s="23">
        <v>44401</v>
      </c>
      <c r="I122" s="2" t="s">
        <v>525</v>
      </c>
      <c r="J122" s="4">
        <v>1140</v>
      </c>
      <c r="K122" s="27" t="s">
        <v>526</v>
      </c>
      <c r="L122" s="40">
        <v>44575</v>
      </c>
      <c r="M122" s="241">
        <f t="shared" si="11"/>
        <v>0.47671232876712327</v>
      </c>
      <c r="N122" s="40">
        <v>44575</v>
      </c>
      <c r="O122" s="241">
        <f t="shared" si="12"/>
        <v>0.47671232876712327</v>
      </c>
      <c r="P122" s="40">
        <v>44572</v>
      </c>
      <c r="Q122" s="241">
        <f t="shared" si="13"/>
        <v>0.46849315068493153</v>
      </c>
      <c r="R122" s="17" t="s">
        <v>1714</v>
      </c>
      <c r="S122" s="241" t="e">
        <f t="shared" si="14"/>
        <v>#VALUE!</v>
      </c>
      <c r="T122" s="32" t="s">
        <v>2647</v>
      </c>
      <c r="U122" s="248" t="e">
        <f t="shared" si="15"/>
        <v>#VALUE!</v>
      </c>
      <c r="V122" s="32"/>
      <c r="W122" s="248">
        <f t="shared" si="16"/>
        <v>-121.64657534246575</v>
      </c>
      <c r="X122" s="32"/>
      <c r="Y122" s="248">
        <f t="shared" si="17"/>
        <v>-121.64657534246575</v>
      </c>
      <c r="Z122" s="32"/>
      <c r="AA122" s="248">
        <f t="shared" si="18"/>
        <v>-121.64657534246575</v>
      </c>
      <c r="AB122" s="308">
        <v>1</v>
      </c>
      <c r="AC122">
        <v>2</v>
      </c>
      <c r="AD122" s="302"/>
      <c r="AE122" s="302"/>
      <c r="AF122" s="303"/>
      <c r="AG122" s="302"/>
      <c r="AH122" s="302"/>
      <c r="AI122" s="302"/>
      <c r="AJ122" s="304"/>
      <c r="AK122" s="304"/>
      <c r="AL122" s="306"/>
      <c r="AM122" s="306"/>
      <c r="AN122" s="307">
        <v>0</v>
      </c>
    </row>
    <row r="123" spans="1:40" ht="16">
      <c r="A123" s="2" t="s">
        <v>527</v>
      </c>
      <c r="B123" s="2">
        <v>22107105</v>
      </c>
      <c r="C123" s="39" t="s">
        <v>528</v>
      </c>
      <c r="D123" s="2" t="s">
        <v>529</v>
      </c>
      <c r="E123" s="2">
        <v>1</v>
      </c>
      <c r="F123" s="23">
        <v>44265</v>
      </c>
      <c r="G123" s="23">
        <v>44370</v>
      </c>
      <c r="H123" s="23">
        <v>44370</v>
      </c>
      <c r="I123" s="2">
        <v>25</v>
      </c>
      <c r="J123" s="4">
        <v>594</v>
      </c>
      <c r="K123" s="56" t="s">
        <v>530</v>
      </c>
      <c r="L123" s="23">
        <v>44550</v>
      </c>
      <c r="M123" s="238">
        <f t="shared" si="11"/>
        <v>0.49315068493150682</v>
      </c>
      <c r="N123" s="23">
        <v>44550</v>
      </c>
      <c r="O123" s="238">
        <f t="shared" si="12"/>
        <v>0.49315068493150682</v>
      </c>
      <c r="P123" s="23">
        <v>44548</v>
      </c>
      <c r="Q123" s="238">
        <f t="shared" si="13"/>
        <v>0.48767123287671232</v>
      </c>
      <c r="R123" s="23">
        <v>44550</v>
      </c>
      <c r="S123" s="238">
        <f t="shared" si="14"/>
        <v>0.49315068493150682</v>
      </c>
      <c r="T123" s="95">
        <v>45106</v>
      </c>
      <c r="U123" s="246">
        <f t="shared" si="15"/>
        <v>2.0164383561643837</v>
      </c>
      <c r="V123" s="95">
        <v>45106</v>
      </c>
      <c r="W123" s="246">
        <f t="shared" si="16"/>
        <v>2.0164383561643837</v>
      </c>
      <c r="X123" s="95">
        <v>45105</v>
      </c>
      <c r="Y123" s="246">
        <f t="shared" si="17"/>
        <v>2.0136986301369864</v>
      </c>
      <c r="Z123" s="95">
        <v>45106</v>
      </c>
      <c r="AA123" s="246">
        <f t="shared" si="18"/>
        <v>2.0164383561643837</v>
      </c>
      <c r="AB123" s="308">
        <v>2</v>
      </c>
      <c r="AC123">
        <v>2</v>
      </c>
      <c r="AD123" s="299">
        <v>81.8</v>
      </c>
      <c r="AE123" s="299">
        <v>10.4</v>
      </c>
      <c r="AF123" s="298">
        <f>AE123/(AD123/100)^2</f>
        <v>15.54270957251571</v>
      </c>
      <c r="AG123" s="299">
        <v>2.8</v>
      </c>
      <c r="AH123" s="299">
        <v>7.9</v>
      </c>
      <c r="AI123" s="299">
        <v>20</v>
      </c>
      <c r="AJ123" s="301">
        <v>1</v>
      </c>
      <c r="AK123" s="301">
        <v>1</v>
      </c>
      <c r="AL123" s="305">
        <v>2</v>
      </c>
      <c r="AM123" s="305">
        <v>2</v>
      </c>
      <c r="AN123" s="307">
        <v>1</v>
      </c>
    </row>
    <row r="124" spans="1:40" ht="16">
      <c r="A124" s="2" t="s">
        <v>531</v>
      </c>
      <c r="B124" s="2">
        <v>22107106</v>
      </c>
      <c r="C124" s="39" t="s">
        <v>532</v>
      </c>
      <c r="D124" s="2" t="s">
        <v>48</v>
      </c>
      <c r="E124" s="2">
        <v>1</v>
      </c>
      <c r="F124" s="23">
        <v>44265</v>
      </c>
      <c r="G124" s="23">
        <v>44370</v>
      </c>
      <c r="H124" s="23">
        <v>44370</v>
      </c>
      <c r="I124" s="2">
        <v>25</v>
      </c>
      <c r="J124" s="4">
        <v>560</v>
      </c>
      <c r="K124" s="56" t="s">
        <v>530</v>
      </c>
      <c r="L124" s="23">
        <v>44550</v>
      </c>
      <c r="M124" s="238">
        <f t="shared" si="11"/>
        <v>0.49315068493150682</v>
      </c>
      <c r="N124" s="23">
        <v>44550</v>
      </c>
      <c r="O124" s="238">
        <f t="shared" si="12"/>
        <v>0.49315068493150682</v>
      </c>
      <c r="P124" s="23">
        <v>44547</v>
      </c>
      <c r="Q124" s="238">
        <f t="shared" si="13"/>
        <v>0.48493150684931507</v>
      </c>
      <c r="R124" s="23">
        <v>44550</v>
      </c>
      <c r="S124" s="238">
        <f t="shared" si="14"/>
        <v>0.49315068493150682</v>
      </c>
      <c r="T124" s="95">
        <v>45106</v>
      </c>
      <c r="U124" s="246">
        <f t="shared" si="15"/>
        <v>2.0164383561643837</v>
      </c>
      <c r="V124" s="95">
        <v>45106</v>
      </c>
      <c r="W124" s="246">
        <f t="shared" si="16"/>
        <v>2.0164383561643837</v>
      </c>
      <c r="X124" s="95">
        <v>45105</v>
      </c>
      <c r="Y124" s="246">
        <f t="shared" si="17"/>
        <v>2.0136986301369864</v>
      </c>
      <c r="Z124" s="95">
        <v>45106</v>
      </c>
      <c r="AA124" s="246">
        <f t="shared" si="18"/>
        <v>2.0164383561643837</v>
      </c>
      <c r="AB124" s="308">
        <v>2</v>
      </c>
      <c r="AC124">
        <v>2</v>
      </c>
      <c r="AD124" s="299">
        <v>81.7</v>
      </c>
      <c r="AE124" s="299">
        <v>9.3000000000000007</v>
      </c>
      <c r="AF124" s="298">
        <f>AE124/(AD124/100)^2</f>
        <v>13.932813874086314</v>
      </c>
      <c r="AG124" s="299">
        <v>0.1</v>
      </c>
      <c r="AH124" s="299">
        <v>7.4</v>
      </c>
      <c r="AI124" s="299">
        <v>0.5</v>
      </c>
      <c r="AJ124" s="301">
        <v>1</v>
      </c>
      <c r="AK124" s="301">
        <v>1</v>
      </c>
      <c r="AL124" s="305">
        <v>2</v>
      </c>
      <c r="AM124" s="305">
        <v>2</v>
      </c>
      <c r="AN124" s="307">
        <v>1</v>
      </c>
    </row>
    <row r="125" spans="1:40" ht="16">
      <c r="A125" s="2" t="s">
        <v>533</v>
      </c>
      <c r="B125" s="2">
        <v>22100078</v>
      </c>
      <c r="C125" s="2" t="s">
        <v>534</v>
      </c>
      <c r="D125" s="2" t="s">
        <v>535</v>
      </c>
      <c r="E125" s="2">
        <v>0</v>
      </c>
      <c r="F125" s="23">
        <v>43613</v>
      </c>
      <c r="G125" s="23">
        <v>43619</v>
      </c>
      <c r="H125" s="23">
        <v>43613</v>
      </c>
      <c r="I125" s="2" t="s">
        <v>110</v>
      </c>
      <c r="J125" s="4">
        <v>3240</v>
      </c>
      <c r="K125" s="27" t="s">
        <v>536</v>
      </c>
      <c r="L125" s="16" t="s">
        <v>1995</v>
      </c>
      <c r="M125" s="239" t="e">
        <f t="shared" si="11"/>
        <v>#VALUE!</v>
      </c>
      <c r="N125" s="16" t="s">
        <v>1995</v>
      </c>
      <c r="O125" s="239" t="e">
        <f t="shared" si="12"/>
        <v>#VALUE!</v>
      </c>
      <c r="P125" s="16" t="s">
        <v>1995</v>
      </c>
      <c r="Q125" s="239" t="e">
        <f t="shared" si="13"/>
        <v>#VALUE!</v>
      </c>
      <c r="R125" s="16" t="s">
        <v>1995</v>
      </c>
      <c r="S125" s="239" t="e">
        <f t="shared" si="14"/>
        <v>#VALUE!</v>
      </c>
      <c r="T125" s="40">
        <v>44502</v>
      </c>
      <c r="U125" s="241">
        <f t="shared" si="15"/>
        <v>2.4356164383561643</v>
      </c>
      <c r="V125" s="22" t="s">
        <v>1961</v>
      </c>
      <c r="W125" s="244" t="e">
        <f t="shared" si="16"/>
        <v>#VALUE!</v>
      </c>
      <c r="X125" s="22" t="s">
        <v>1961</v>
      </c>
      <c r="Y125" s="244" t="e">
        <f t="shared" si="17"/>
        <v>#VALUE!</v>
      </c>
      <c r="Z125" s="40">
        <v>44502</v>
      </c>
      <c r="AA125" s="241">
        <f t="shared" si="18"/>
        <v>2.4356164383561643</v>
      </c>
      <c r="AB125" s="308">
        <v>0</v>
      </c>
      <c r="AC125" s="309">
        <v>0</v>
      </c>
      <c r="AD125" s="299">
        <v>91.4</v>
      </c>
      <c r="AE125" s="299">
        <v>15.4</v>
      </c>
      <c r="AF125" s="310">
        <f>AE125/(AD125/100)^2</f>
        <v>18.43437124429612</v>
      </c>
      <c r="AG125" s="299">
        <v>94</v>
      </c>
      <c r="AH125" s="299">
        <v>65</v>
      </c>
      <c r="AI125" s="317">
        <v>93.5</v>
      </c>
      <c r="AJ125" s="301">
        <v>0</v>
      </c>
      <c r="AK125" s="301">
        <v>1</v>
      </c>
      <c r="AL125" s="305">
        <v>0</v>
      </c>
      <c r="AM125" s="305">
        <v>2</v>
      </c>
      <c r="AN125" s="307">
        <v>0</v>
      </c>
    </row>
    <row r="126" spans="1:40" ht="16">
      <c r="A126" s="2" t="s">
        <v>537</v>
      </c>
      <c r="B126" s="2">
        <v>22108137</v>
      </c>
      <c r="C126" s="2" t="s">
        <v>538</v>
      </c>
      <c r="D126" s="2" t="s">
        <v>539</v>
      </c>
      <c r="E126" s="2">
        <v>0</v>
      </c>
      <c r="F126" s="23">
        <v>44372</v>
      </c>
      <c r="G126" s="23">
        <v>44377</v>
      </c>
      <c r="H126" s="23">
        <v>44372</v>
      </c>
      <c r="I126" s="2" t="s">
        <v>452</v>
      </c>
      <c r="J126" s="4">
        <v>2900</v>
      </c>
      <c r="K126" s="27" t="s">
        <v>540</v>
      </c>
      <c r="L126" s="23">
        <v>44566</v>
      </c>
      <c r="M126" s="238">
        <f t="shared" si="11"/>
        <v>0.53150684931506853</v>
      </c>
      <c r="N126" s="23">
        <v>44566</v>
      </c>
      <c r="O126" s="238">
        <f t="shared" si="12"/>
        <v>0.53150684931506853</v>
      </c>
      <c r="P126" s="23">
        <v>44563</v>
      </c>
      <c r="Q126" s="238">
        <f t="shared" si="13"/>
        <v>0.52328767123287667</v>
      </c>
      <c r="R126" s="23">
        <v>44566</v>
      </c>
      <c r="S126" s="238">
        <f t="shared" si="14"/>
        <v>0.53150684931506853</v>
      </c>
      <c r="T126" s="32" t="s">
        <v>2231</v>
      </c>
      <c r="U126" s="248" t="e">
        <f t="shared" si="15"/>
        <v>#VALUE!</v>
      </c>
      <c r="V126" s="32" t="s">
        <v>2394</v>
      </c>
      <c r="W126" s="248" t="e">
        <f t="shared" si="16"/>
        <v>#VALUE!</v>
      </c>
      <c r="X126" s="32" t="s">
        <v>2394</v>
      </c>
      <c r="Y126" s="248" t="e">
        <f t="shared" si="17"/>
        <v>#VALUE!</v>
      </c>
      <c r="Z126" s="32" t="s">
        <v>2394</v>
      </c>
      <c r="AA126" s="248" t="e">
        <f t="shared" si="18"/>
        <v>#VALUE!</v>
      </c>
      <c r="AB126" s="308">
        <v>0</v>
      </c>
      <c r="AC126">
        <v>0</v>
      </c>
      <c r="AD126" s="302"/>
      <c r="AE126" s="302"/>
      <c r="AF126" s="303"/>
      <c r="AG126" s="302"/>
      <c r="AH126" s="302"/>
      <c r="AI126" s="302"/>
      <c r="AJ126" s="304"/>
      <c r="AK126" s="304"/>
      <c r="AL126" s="306"/>
      <c r="AM126" s="306"/>
      <c r="AN126" s="307">
        <v>0</v>
      </c>
    </row>
    <row r="127" spans="1:40" ht="16">
      <c r="A127" s="2" t="s">
        <v>541</v>
      </c>
      <c r="B127" s="2">
        <v>22108221</v>
      </c>
      <c r="C127" s="53" t="s">
        <v>2528</v>
      </c>
      <c r="D127" s="2" t="s">
        <v>268</v>
      </c>
      <c r="E127" s="2">
        <v>0</v>
      </c>
      <c r="F127" s="23">
        <v>44383</v>
      </c>
      <c r="G127" s="23">
        <v>44387</v>
      </c>
      <c r="H127" s="23">
        <v>44383</v>
      </c>
      <c r="I127" s="2" t="s">
        <v>19</v>
      </c>
      <c r="J127" s="4">
        <v>2550</v>
      </c>
      <c r="K127" s="56" t="s">
        <v>543</v>
      </c>
      <c r="L127" s="23">
        <v>44575</v>
      </c>
      <c r="M127" s="238">
        <f t="shared" si="11"/>
        <v>0.52602739726027392</v>
      </c>
      <c r="N127" s="23">
        <v>44575</v>
      </c>
      <c r="O127" s="238">
        <f t="shared" si="12"/>
        <v>0.52602739726027392</v>
      </c>
      <c r="P127" s="23">
        <v>44575</v>
      </c>
      <c r="Q127" s="238">
        <f t="shared" si="13"/>
        <v>0.52602739726027392</v>
      </c>
      <c r="R127" s="23">
        <v>44575</v>
      </c>
      <c r="S127" s="238">
        <f t="shared" si="14"/>
        <v>0.52602739726027392</v>
      </c>
      <c r="T127" s="40" t="s">
        <v>2464</v>
      </c>
      <c r="U127" s="241" t="e">
        <f t="shared" si="15"/>
        <v>#VALUE!</v>
      </c>
      <c r="V127" s="40">
        <v>45231</v>
      </c>
      <c r="W127" s="241">
        <f t="shared" si="16"/>
        <v>2.3232876712328765</v>
      </c>
      <c r="X127" s="40">
        <v>45231</v>
      </c>
      <c r="Y127" s="241">
        <f t="shared" si="17"/>
        <v>2.3232876712328765</v>
      </c>
      <c r="Z127" s="40">
        <v>45232</v>
      </c>
      <c r="AA127" s="241">
        <f t="shared" si="18"/>
        <v>2.3260273972602739</v>
      </c>
      <c r="AB127" s="308">
        <v>0</v>
      </c>
      <c r="AC127">
        <v>0</v>
      </c>
      <c r="AD127" s="299">
        <v>89.6</v>
      </c>
      <c r="AE127" s="299">
        <v>11.6</v>
      </c>
      <c r="AF127" s="298">
        <f>AE127/(AD127/100)^2</f>
        <v>14.449139030612248</v>
      </c>
      <c r="AG127" s="299">
        <v>20.8</v>
      </c>
      <c r="AH127" s="299">
        <v>64.099999999999994</v>
      </c>
      <c r="AI127" s="299">
        <v>7.2</v>
      </c>
      <c r="AJ127" s="301">
        <v>0</v>
      </c>
      <c r="AK127" s="301">
        <v>1</v>
      </c>
      <c r="AL127" s="305">
        <v>2</v>
      </c>
      <c r="AM127" s="305">
        <v>0</v>
      </c>
      <c r="AN127" s="307">
        <v>0</v>
      </c>
    </row>
    <row r="128" spans="1:40" ht="16">
      <c r="A128" s="2" t="s">
        <v>544</v>
      </c>
      <c r="B128" s="2">
        <v>22100560</v>
      </c>
      <c r="C128" s="2" t="s">
        <v>545</v>
      </c>
      <c r="D128" s="2" t="s">
        <v>546</v>
      </c>
      <c r="E128" s="2">
        <v>1</v>
      </c>
      <c r="F128" s="23">
        <v>43657</v>
      </c>
      <c r="G128" s="23">
        <v>43728</v>
      </c>
      <c r="H128" s="23">
        <v>43728</v>
      </c>
      <c r="I128" s="2" t="s">
        <v>289</v>
      </c>
      <c r="J128" s="4">
        <v>1325</v>
      </c>
      <c r="K128" s="56" t="s">
        <v>547</v>
      </c>
      <c r="L128" s="16" t="s">
        <v>1995</v>
      </c>
      <c r="M128" s="239" t="e">
        <f t="shared" si="11"/>
        <v>#VALUE!</v>
      </c>
      <c r="N128" s="16" t="s">
        <v>1995</v>
      </c>
      <c r="O128" s="239" t="e">
        <f t="shared" si="12"/>
        <v>#VALUE!</v>
      </c>
      <c r="P128" s="16" t="s">
        <v>1995</v>
      </c>
      <c r="Q128" s="239" t="e">
        <f t="shared" si="13"/>
        <v>#VALUE!</v>
      </c>
      <c r="R128" s="16" t="s">
        <v>1995</v>
      </c>
      <c r="S128" s="239" t="e">
        <f t="shared" si="14"/>
        <v>#VALUE!</v>
      </c>
      <c r="T128" s="95">
        <v>44505</v>
      </c>
      <c r="U128" s="246">
        <f t="shared" si="15"/>
        <v>2.128767123287671</v>
      </c>
      <c r="V128" s="95">
        <v>44508</v>
      </c>
      <c r="W128" s="246">
        <f t="shared" si="16"/>
        <v>2.1369863013698631</v>
      </c>
      <c r="X128" s="95">
        <v>44505</v>
      </c>
      <c r="Y128" s="246">
        <f t="shared" si="17"/>
        <v>2.128767123287671</v>
      </c>
      <c r="Z128" s="95">
        <v>44505</v>
      </c>
      <c r="AA128" s="246">
        <f t="shared" si="18"/>
        <v>2.128767123287671</v>
      </c>
      <c r="AB128" s="308">
        <v>1</v>
      </c>
      <c r="AC128">
        <v>1</v>
      </c>
      <c r="AD128" s="299">
        <v>86</v>
      </c>
      <c r="AE128" s="299">
        <v>11.5</v>
      </c>
      <c r="AF128" s="298">
        <f>AE128/(AD128/100)^2</f>
        <v>15.548945375878855</v>
      </c>
      <c r="AG128" s="299">
        <v>14.3</v>
      </c>
      <c r="AH128" s="299">
        <v>31.6</v>
      </c>
      <c r="AI128" s="299">
        <v>21.6</v>
      </c>
      <c r="AJ128" s="301">
        <v>1</v>
      </c>
      <c r="AK128" s="301">
        <v>3</v>
      </c>
      <c r="AL128" s="305">
        <v>2</v>
      </c>
      <c r="AM128" s="305">
        <v>2</v>
      </c>
      <c r="AN128" s="307">
        <v>0</v>
      </c>
    </row>
    <row r="129" spans="1:40" ht="16">
      <c r="A129" s="2" t="s">
        <v>548</v>
      </c>
      <c r="B129" s="2">
        <v>22108557</v>
      </c>
      <c r="C129" s="2" t="s">
        <v>549</v>
      </c>
      <c r="D129" s="2" t="s">
        <v>118</v>
      </c>
      <c r="E129" s="2">
        <v>0</v>
      </c>
      <c r="F129" s="23">
        <v>44416</v>
      </c>
      <c r="G129" s="23">
        <v>44478</v>
      </c>
      <c r="H129" s="23">
        <v>44478</v>
      </c>
      <c r="I129" s="2" t="s">
        <v>497</v>
      </c>
      <c r="J129" s="4">
        <v>1300</v>
      </c>
      <c r="K129" s="56" t="s">
        <v>550</v>
      </c>
      <c r="L129" s="23">
        <v>44663</v>
      </c>
      <c r="M129" s="238">
        <f t="shared" si="11"/>
        <v>0.50684931506849318</v>
      </c>
      <c r="N129" s="23">
        <v>44663</v>
      </c>
      <c r="O129" s="238">
        <f t="shared" si="12"/>
        <v>0.50684931506849318</v>
      </c>
      <c r="P129" s="23">
        <v>44659</v>
      </c>
      <c r="Q129" s="238">
        <f t="shared" si="13"/>
        <v>0.49589041095890413</v>
      </c>
      <c r="R129" s="23">
        <v>44663</v>
      </c>
      <c r="S129" s="238">
        <f t="shared" si="14"/>
        <v>0.50684931506849318</v>
      </c>
      <c r="T129" s="95">
        <v>45211</v>
      </c>
      <c r="U129" s="246">
        <f t="shared" si="15"/>
        <v>2.0082191780821916</v>
      </c>
      <c r="V129" s="95">
        <v>45211</v>
      </c>
      <c r="W129" s="246">
        <f t="shared" si="16"/>
        <v>2.0082191780821916</v>
      </c>
      <c r="X129" s="95">
        <v>45210</v>
      </c>
      <c r="Y129" s="246">
        <f t="shared" si="17"/>
        <v>2.0054794520547947</v>
      </c>
      <c r="Z129" s="95">
        <v>45211</v>
      </c>
      <c r="AA129" s="246">
        <f t="shared" si="18"/>
        <v>2.0082191780821916</v>
      </c>
      <c r="AB129" s="308">
        <v>1</v>
      </c>
      <c r="AC129">
        <v>1</v>
      </c>
      <c r="AD129" s="299">
        <v>86.4</v>
      </c>
      <c r="AE129" s="299">
        <v>10.6</v>
      </c>
      <c r="AF129" s="298">
        <f>AE129/(AD129/100)^2</f>
        <v>14.199674211248281</v>
      </c>
      <c r="AG129" s="299">
        <v>9.6999999999999993</v>
      </c>
      <c r="AH129" s="299">
        <v>63.1</v>
      </c>
      <c r="AI129" s="299">
        <v>3.4</v>
      </c>
      <c r="AJ129" s="301">
        <v>0</v>
      </c>
      <c r="AK129" s="301">
        <v>1</v>
      </c>
      <c r="AL129" s="305">
        <v>0</v>
      </c>
      <c r="AM129" s="305">
        <v>0</v>
      </c>
      <c r="AN129" s="307">
        <v>1</v>
      </c>
    </row>
    <row r="130" spans="1:40" ht="16">
      <c r="A130" s="2" t="s">
        <v>551</v>
      </c>
      <c r="B130" s="2">
        <v>22103485</v>
      </c>
      <c r="C130" s="2" t="s">
        <v>552</v>
      </c>
      <c r="D130" s="2" t="s">
        <v>150</v>
      </c>
      <c r="E130" s="2">
        <v>1</v>
      </c>
      <c r="F130" s="23">
        <v>43909</v>
      </c>
      <c r="G130" s="23">
        <v>44009</v>
      </c>
      <c r="H130" s="23">
        <v>44009</v>
      </c>
      <c r="I130" s="2" t="s">
        <v>553</v>
      </c>
      <c r="J130" s="4">
        <v>626</v>
      </c>
      <c r="K130" s="27" t="s">
        <v>554</v>
      </c>
      <c r="L130" s="20" t="s">
        <v>2215</v>
      </c>
      <c r="M130" s="240" t="e">
        <f t="shared" ref="M130:M193" si="20">(L130-H130)/365</f>
        <v>#VALUE!</v>
      </c>
      <c r="N130" s="20" t="s">
        <v>2215</v>
      </c>
      <c r="O130" s="240" t="e">
        <f t="shared" ref="O130:O193" si="21">(N130-H130)/365</f>
        <v>#VALUE!</v>
      </c>
      <c r="P130" s="20" t="s">
        <v>2215</v>
      </c>
      <c r="Q130" s="240" t="e">
        <f t="shared" ref="Q130:Q193" si="22">(P130-H130)/365</f>
        <v>#VALUE!</v>
      </c>
      <c r="R130" s="20" t="s">
        <v>2215</v>
      </c>
      <c r="S130" s="240" t="e">
        <f t="shared" ref="S130:S193" si="23">(R130-H130)/365</f>
        <v>#VALUE!</v>
      </c>
      <c r="T130" s="25" t="s">
        <v>1955</v>
      </c>
      <c r="U130" s="248" t="e">
        <f t="shared" ref="U130:U193" si="24">(T130-H130)/365</f>
        <v>#VALUE!</v>
      </c>
      <c r="V130" s="25" t="s">
        <v>1955</v>
      </c>
      <c r="W130" s="248" t="e">
        <f t="shared" ref="W130:W193" si="25">(V130-H130)/365</f>
        <v>#VALUE!</v>
      </c>
      <c r="X130" s="25" t="s">
        <v>1955</v>
      </c>
      <c r="Y130" s="248" t="e">
        <f t="shared" ref="Y130:Y193" si="26">(X130-H130)/365</f>
        <v>#VALUE!</v>
      </c>
      <c r="Z130" s="25" t="s">
        <v>1955</v>
      </c>
      <c r="AA130" s="248" t="e">
        <f t="shared" ref="AA130:AA193" si="27">(Z130-H130)/365</f>
        <v>#VALUE!</v>
      </c>
      <c r="AB130" s="308">
        <v>2</v>
      </c>
      <c r="AC130" s="308">
        <v>2</v>
      </c>
      <c r="AD130" s="302"/>
      <c r="AE130" s="302"/>
      <c r="AF130" s="303"/>
      <c r="AG130" s="302"/>
      <c r="AH130" s="302"/>
      <c r="AI130" s="302"/>
      <c r="AJ130" s="304"/>
      <c r="AK130" s="304"/>
      <c r="AL130" s="306"/>
      <c r="AM130" s="306"/>
      <c r="AN130" s="307">
        <v>1</v>
      </c>
    </row>
    <row r="131" spans="1:40" ht="16">
      <c r="A131" s="2" t="s">
        <v>555</v>
      </c>
      <c r="B131" s="2">
        <v>22282241</v>
      </c>
      <c r="C131" s="2" t="s">
        <v>556</v>
      </c>
      <c r="D131" s="2" t="s">
        <v>492</v>
      </c>
      <c r="E131" s="2">
        <v>0</v>
      </c>
      <c r="F131" s="23">
        <v>44173</v>
      </c>
      <c r="G131" s="23">
        <v>44255</v>
      </c>
      <c r="H131" s="23">
        <v>44255</v>
      </c>
      <c r="I131" s="2">
        <v>28</v>
      </c>
      <c r="J131" s="4">
        <v>996</v>
      </c>
      <c r="K131" s="56" t="s">
        <v>557</v>
      </c>
      <c r="L131" s="40">
        <v>44559</v>
      </c>
      <c r="M131" s="241">
        <f t="shared" si="20"/>
        <v>0.83287671232876714</v>
      </c>
      <c r="N131" s="40">
        <v>44559</v>
      </c>
      <c r="O131" s="241">
        <f t="shared" si="21"/>
        <v>0.83287671232876714</v>
      </c>
      <c r="P131" s="40">
        <v>44566</v>
      </c>
      <c r="Q131" s="241">
        <f t="shared" si="22"/>
        <v>0.852054794520548</v>
      </c>
      <c r="R131" s="40" t="s">
        <v>1714</v>
      </c>
      <c r="S131" s="241" t="e">
        <f t="shared" si="23"/>
        <v>#VALUE!</v>
      </c>
      <c r="T131" s="32" t="s">
        <v>2496</v>
      </c>
      <c r="U131" s="248" t="e">
        <f t="shared" si="24"/>
        <v>#VALUE!</v>
      </c>
      <c r="V131" s="32" t="s">
        <v>2437</v>
      </c>
      <c r="W131" s="248" t="e">
        <f t="shared" si="25"/>
        <v>#VALUE!</v>
      </c>
      <c r="X131" s="32" t="s">
        <v>2437</v>
      </c>
      <c r="Y131" s="248" t="e">
        <f t="shared" si="26"/>
        <v>#VALUE!</v>
      </c>
      <c r="Z131" s="32" t="s">
        <v>2437</v>
      </c>
      <c r="AA131" s="248" t="e">
        <f t="shared" si="27"/>
        <v>#VALUE!</v>
      </c>
      <c r="AB131" s="308">
        <v>2</v>
      </c>
      <c r="AC131">
        <v>2</v>
      </c>
      <c r="AD131" s="302"/>
      <c r="AE131" s="302"/>
      <c r="AF131" s="303"/>
      <c r="AG131" s="302"/>
      <c r="AH131" s="302"/>
      <c r="AI131" s="302"/>
      <c r="AJ131" s="304"/>
      <c r="AK131" s="304"/>
      <c r="AL131" s="306"/>
      <c r="AM131" s="306"/>
      <c r="AN131" s="307" t="s">
        <v>2738</v>
      </c>
    </row>
    <row r="132" spans="1:40" ht="16">
      <c r="A132" s="2" t="s">
        <v>558</v>
      </c>
      <c r="B132" s="2">
        <v>22108320</v>
      </c>
      <c r="C132" s="2" t="s">
        <v>559</v>
      </c>
      <c r="D132" s="2" t="s">
        <v>484</v>
      </c>
      <c r="E132" s="2">
        <v>0</v>
      </c>
      <c r="F132" s="23">
        <v>44392</v>
      </c>
      <c r="G132" s="23">
        <v>44395</v>
      </c>
      <c r="H132" s="23">
        <v>44392</v>
      </c>
      <c r="I132" s="2" t="s">
        <v>560</v>
      </c>
      <c r="J132" s="4">
        <v>2850</v>
      </c>
      <c r="K132" s="56" t="s">
        <v>561</v>
      </c>
      <c r="L132" s="23">
        <v>44579</v>
      </c>
      <c r="M132" s="238">
        <f t="shared" si="20"/>
        <v>0.51232876712328768</v>
      </c>
      <c r="N132" s="23">
        <v>44579</v>
      </c>
      <c r="O132" s="238">
        <f t="shared" si="21"/>
        <v>0.51232876712328768</v>
      </c>
      <c r="P132" s="23">
        <v>44577</v>
      </c>
      <c r="Q132" s="238">
        <f t="shared" si="22"/>
        <v>0.50684931506849318</v>
      </c>
      <c r="R132" s="23">
        <v>44579</v>
      </c>
      <c r="S132" s="238">
        <f t="shared" si="23"/>
        <v>0.51232876712328768</v>
      </c>
      <c r="T132" s="40" t="s">
        <v>1955</v>
      </c>
      <c r="U132" s="241" t="e">
        <f t="shared" si="24"/>
        <v>#VALUE!</v>
      </c>
      <c r="V132" s="40">
        <v>45236</v>
      </c>
      <c r="W132" s="241">
        <f t="shared" si="25"/>
        <v>2.3123287671232875</v>
      </c>
      <c r="X132" s="40">
        <v>45231</v>
      </c>
      <c r="Y132" s="241">
        <f t="shared" si="26"/>
        <v>2.2986301369863016</v>
      </c>
      <c r="Z132" s="40" t="s">
        <v>1955</v>
      </c>
      <c r="AA132" s="241" t="e">
        <f t="shared" si="27"/>
        <v>#VALUE!</v>
      </c>
      <c r="AB132" s="308">
        <v>0</v>
      </c>
      <c r="AC132">
        <v>0</v>
      </c>
      <c r="AD132" s="299">
        <v>83</v>
      </c>
      <c r="AE132" s="299">
        <v>11.4</v>
      </c>
      <c r="AF132" s="298">
        <f>AE132/(AD132/100)^2</f>
        <v>16.548120191609815</v>
      </c>
      <c r="AG132" s="299">
        <v>16.600000000000001</v>
      </c>
      <c r="AH132" s="299">
        <v>7.9</v>
      </c>
      <c r="AI132" s="299">
        <v>60.8</v>
      </c>
      <c r="AJ132" s="301">
        <v>1</v>
      </c>
      <c r="AK132" s="301">
        <v>1</v>
      </c>
      <c r="AL132" s="305">
        <v>2</v>
      </c>
      <c r="AM132" s="305">
        <v>0</v>
      </c>
      <c r="AN132" s="307">
        <v>0</v>
      </c>
    </row>
    <row r="133" spans="1:40" ht="16">
      <c r="A133" s="2" t="s">
        <v>562</v>
      </c>
      <c r="B133" s="2">
        <v>22108974</v>
      </c>
      <c r="C133" s="2" t="s">
        <v>563</v>
      </c>
      <c r="D133" s="2" t="s">
        <v>564</v>
      </c>
      <c r="E133" s="2">
        <v>0</v>
      </c>
      <c r="F133" s="23">
        <v>44467</v>
      </c>
      <c r="G133" s="23">
        <v>44526</v>
      </c>
      <c r="H133" s="23">
        <v>44526</v>
      </c>
      <c r="I133" s="2" t="s">
        <v>85</v>
      </c>
      <c r="J133" s="4">
        <v>1374</v>
      </c>
      <c r="K133" s="56" t="s">
        <v>565</v>
      </c>
      <c r="L133" s="23">
        <v>44704</v>
      </c>
      <c r="M133" s="238">
        <f t="shared" si="20"/>
        <v>0.48767123287671232</v>
      </c>
      <c r="N133" s="23">
        <v>44730</v>
      </c>
      <c r="O133" s="238">
        <f t="shared" si="21"/>
        <v>0.55890410958904113</v>
      </c>
      <c r="P133" s="23">
        <v>44729</v>
      </c>
      <c r="Q133" s="238">
        <f t="shared" si="22"/>
        <v>0.55616438356164388</v>
      </c>
      <c r="R133" s="23">
        <v>44704</v>
      </c>
      <c r="S133" s="238">
        <f t="shared" si="23"/>
        <v>0.48767123287671232</v>
      </c>
      <c r="T133" s="40">
        <v>45257</v>
      </c>
      <c r="U133" s="241">
        <f t="shared" si="24"/>
        <v>2.0027397260273974</v>
      </c>
      <c r="V133" s="40">
        <v>45274</v>
      </c>
      <c r="W133" s="241">
        <f t="shared" si="25"/>
        <v>2.0493150684931507</v>
      </c>
      <c r="X133" s="40">
        <v>45266</v>
      </c>
      <c r="Y133" s="241">
        <f t="shared" si="26"/>
        <v>2.0273972602739727</v>
      </c>
      <c r="Z133" s="17" t="s">
        <v>2464</v>
      </c>
      <c r="AA133" s="241" t="e">
        <f t="shared" si="27"/>
        <v>#VALUE!</v>
      </c>
      <c r="AB133" s="308">
        <v>1</v>
      </c>
      <c r="AC133">
        <v>1</v>
      </c>
      <c r="AD133" s="299">
        <v>80.5</v>
      </c>
      <c r="AE133" s="299">
        <v>10.199999999999999</v>
      </c>
      <c r="AF133" s="298">
        <f>AE133/(AD133/100)^2</f>
        <v>15.740133482504531</v>
      </c>
      <c r="AG133" s="299">
        <v>4.5999999999999996</v>
      </c>
      <c r="AH133" s="299">
        <v>8.9</v>
      </c>
      <c r="AI133" s="299">
        <v>31</v>
      </c>
      <c r="AJ133" s="301">
        <v>0</v>
      </c>
      <c r="AK133" s="301">
        <v>1</v>
      </c>
      <c r="AL133" s="305">
        <v>2</v>
      </c>
      <c r="AM133" s="305">
        <v>2</v>
      </c>
      <c r="AN133" s="307">
        <v>1</v>
      </c>
    </row>
    <row r="134" spans="1:40" ht="16">
      <c r="A134" s="2" t="s">
        <v>566</v>
      </c>
      <c r="B134" s="2">
        <v>22107651</v>
      </c>
      <c r="C134" s="2" t="s">
        <v>567</v>
      </c>
      <c r="D134" s="2" t="s">
        <v>568</v>
      </c>
      <c r="E134" s="2">
        <v>1</v>
      </c>
      <c r="F134" s="23">
        <v>44322</v>
      </c>
      <c r="G134" s="23">
        <v>44331</v>
      </c>
      <c r="H134" s="23">
        <v>44322</v>
      </c>
      <c r="I134" s="2" t="s">
        <v>155</v>
      </c>
      <c r="J134" s="4">
        <v>3150</v>
      </c>
      <c r="K134" s="56" t="s">
        <v>569</v>
      </c>
      <c r="L134" s="23">
        <v>44540</v>
      </c>
      <c r="M134" s="238">
        <f t="shared" si="20"/>
        <v>0.59726027397260273</v>
      </c>
      <c r="N134" s="23">
        <v>44540</v>
      </c>
      <c r="O134" s="238">
        <f t="shared" si="21"/>
        <v>0.59726027397260273</v>
      </c>
      <c r="P134" s="23">
        <v>44540</v>
      </c>
      <c r="Q134" s="238">
        <f t="shared" si="22"/>
        <v>0.59726027397260273</v>
      </c>
      <c r="R134" s="23">
        <v>44540</v>
      </c>
      <c r="S134" s="238">
        <f t="shared" si="23"/>
        <v>0.59726027397260273</v>
      </c>
      <c r="T134" s="95">
        <v>45175</v>
      </c>
      <c r="U134" s="246">
        <f t="shared" si="24"/>
        <v>2.3369863013698629</v>
      </c>
      <c r="V134" s="95">
        <v>45153</v>
      </c>
      <c r="W134" s="246">
        <f t="shared" si="25"/>
        <v>2.2767123287671232</v>
      </c>
      <c r="X134" s="95">
        <v>45154</v>
      </c>
      <c r="Y134" s="246">
        <f t="shared" si="26"/>
        <v>2.2794520547945205</v>
      </c>
      <c r="Z134" s="95">
        <v>45175</v>
      </c>
      <c r="AA134" s="246">
        <f t="shared" si="27"/>
        <v>2.3369863013698629</v>
      </c>
      <c r="AB134" s="308">
        <v>0</v>
      </c>
      <c r="AC134">
        <v>0</v>
      </c>
      <c r="AD134" s="299">
        <v>87.1</v>
      </c>
      <c r="AE134" s="299">
        <v>12.5</v>
      </c>
      <c r="AF134" s="298">
        <f>AE134/(AD134/100)^2</f>
        <v>16.476831597554046</v>
      </c>
      <c r="AG134" s="299">
        <v>32.299999999999997</v>
      </c>
      <c r="AH134" s="299">
        <v>29.3</v>
      </c>
      <c r="AI134" s="299">
        <v>52.5</v>
      </c>
      <c r="AJ134" s="301">
        <v>0</v>
      </c>
      <c r="AK134" s="301">
        <v>1</v>
      </c>
      <c r="AL134" s="305">
        <v>2</v>
      </c>
      <c r="AM134" s="305">
        <v>0</v>
      </c>
      <c r="AN134" s="307">
        <v>0</v>
      </c>
    </row>
    <row r="135" spans="1:40" ht="16">
      <c r="A135" s="2" t="s">
        <v>570</v>
      </c>
      <c r="B135" s="2">
        <v>22108335</v>
      </c>
      <c r="C135" s="2" t="s">
        <v>571</v>
      </c>
      <c r="D135" s="2" t="s">
        <v>395</v>
      </c>
      <c r="E135" s="2">
        <v>0</v>
      </c>
      <c r="F135" s="23">
        <v>44393</v>
      </c>
      <c r="G135" s="23">
        <v>44398</v>
      </c>
      <c r="H135" s="23">
        <v>44393</v>
      </c>
      <c r="I135" s="2" t="s">
        <v>452</v>
      </c>
      <c r="J135" s="4">
        <v>3140</v>
      </c>
      <c r="K135" s="56" t="s">
        <v>572</v>
      </c>
      <c r="L135" s="23">
        <v>44586</v>
      </c>
      <c r="M135" s="238">
        <f t="shared" si="20"/>
        <v>0.52876712328767128</v>
      </c>
      <c r="N135" s="23">
        <v>44586</v>
      </c>
      <c r="O135" s="238">
        <f t="shared" si="21"/>
        <v>0.52876712328767128</v>
      </c>
      <c r="P135" s="23">
        <v>44584</v>
      </c>
      <c r="Q135" s="238">
        <f t="shared" si="22"/>
        <v>0.52328767123287667</v>
      </c>
      <c r="R135" s="23">
        <v>44586</v>
      </c>
      <c r="S135" s="238">
        <f t="shared" si="23"/>
        <v>0.52876712328767128</v>
      </c>
      <c r="T135" s="40" t="s">
        <v>2464</v>
      </c>
      <c r="U135" s="241" t="e">
        <f t="shared" si="24"/>
        <v>#VALUE!</v>
      </c>
      <c r="V135" s="40">
        <v>45048</v>
      </c>
      <c r="W135" s="241">
        <f t="shared" si="25"/>
        <v>1.7945205479452055</v>
      </c>
      <c r="X135" s="22" t="s">
        <v>1961</v>
      </c>
      <c r="Y135" s="241" t="e">
        <f t="shared" si="26"/>
        <v>#VALUE!</v>
      </c>
      <c r="Z135" s="40">
        <v>45048</v>
      </c>
      <c r="AA135" s="241">
        <f t="shared" si="27"/>
        <v>1.7945205479452055</v>
      </c>
      <c r="AB135" s="308">
        <v>0</v>
      </c>
      <c r="AC135">
        <v>0</v>
      </c>
      <c r="AD135" s="299">
        <v>75.599999999999994</v>
      </c>
      <c r="AE135" s="299">
        <v>7.5</v>
      </c>
      <c r="AF135" s="298">
        <f>AE135/(AD135/100)^2</f>
        <v>13.12253296380281</v>
      </c>
      <c r="AG135" s="299">
        <v>0</v>
      </c>
      <c r="AH135" s="299">
        <v>1</v>
      </c>
      <c r="AI135" s="299">
        <v>2.2000000000000002</v>
      </c>
      <c r="AJ135" s="301">
        <v>0</v>
      </c>
      <c r="AK135" s="301">
        <v>0</v>
      </c>
      <c r="AL135" s="305">
        <v>2</v>
      </c>
      <c r="AM135" s="305">
        <v>2</v>
      </c>
      <c r="AN135" s="307">
        <v>0</v>
      </c>
    </row>
    <row r="136" spans="1:40" ht="16">
      <c r="A136" s="2" t="s">
        <v>573</v>
      </c>
      <c r="B136" s="2">
        <v>22107996</v>
      </c>
      <c r="C136" s="2" t="s">
        <v>574</v>
      </c>
      <c r="D136" s="2" t="s">
        <v>150</v>
      </c>
      <c r="E136" s="2">
        <v>1</v>
      </c>
      <c r="F136" s="23">
        <v>44357</v>
      </c>
      <c r="G136" s="23">
        <v>44357</v>
      </c>
      <c r="H136" s="23">
        <v>44357</v>
      </c>
      <c r="I136" s="2">
        <v>40</v>
      </c>
      <c r="J136" s="4">
        <v>3420</v>
      </c>
      <c r="K136" s="27" t="s">
        <v>575</v>
      </c>
      <c r="L136" s="23">
        <v>44579</v>
      </c>
      <c r="M136" s="238">
        <f t="shared" si="20"/>
        <v>0.60821917808219184</v>
      </c>
      <c r="N136" s="23">
        <v>44551</v>
      </c>
      <c r="O136" s="238">
        <f t="shared" si="21"/>
        <v>0.53150684931506853</v>
      </c>
      <c r="P136" s="23">
        <v>44546</v>
      </c>
      <c r="Q136" s="238">
        <f t="shared" si="22"/>
        <v>0.51780821917808217</v>
      </c>
      <c r="R136" s="23">
        <v>44551</v>
      </c>
      <c r="S136" s="238">
        <f t="shared" si="23"/>
        <v>0.53150684931506853</v>
      </c>
      <c r="T136" s="32" t="s">
        <v>2552</v>
      </c>
      <c r="U136" s="248" t="e">
        <f t="shared" si="24"/>
        <v>#VALUE!</v>
      </c>
      <c r="V136" s="32" t="s">
        <v>2552</v>
      </c>
      <c r="W136" s="248" t="e">
        <f t="shared" si="25"/>
        <v>#VALUE!</v>
      </c>
      <c r="X136" s="32" t="s">
        <v>2552</v>
      </c>
      <c r="Y136" s="248" t="e">
        <f t="shared" si="26"/>
        <v>#VALUE!</v>
      </c>
      <c r="Z136" s="32" t="s">
        <v>2552</v>
      </c>
      <c r="AA136" s="248" t="e">
        <f t="shared" si="27"/>
        <v>#VALUE!</v>
      </c>
      <c r="AB136" s="308">
        <v>0</v>
      </c>
      <c r="AC136">
        <v>0</v>
      </c>
      <c r="AD136" s="302"/>
      <c r="AE136" s="302"/>
      <c r="AF136" s="303"/>
      <c r="AG136" s="302"/>
      <c r="AH136" s="302"/>
      <c r="AI136" s="302"/>
      <c r="AJ136" s="304"/>
      <c r="AK136" s="304"/>
      <c r="AL136" s="306"/>
      <c r="AM136" s="306"/>
      <c r="AN136" s="307">
        <v>0</v>
      </c>
    </row>
    <row r="137" spans="1:40" ht="16">
      <c r="A137" s="2" t="s">
        <v>576</v>
      </c>
      <c r="B137" s="2">
        <v>22108333</v>
      </c>
      <c r="C137" s="2" t="s">
        <v>577</v>
      </c>
      <c r="D137" s="2" t="s">
        <v>578</v>
      </c>
      <c r="E137" s="2">
        <v>0</v>
      </c>
      <c r="F137" s="23">
        <v>44393</v>
      </c>
      <c r="G137" s="23">
        <v>44393</v>
      </c>
      <c r="H137" s="23">
        <v>44393</v>
      </c>
      <c r="I137" s="2">
        <v>40</v>
      </c>
      <c r="J137" s="4">
        <v>3830</v>
      </c>
      <c r="K137" s="56" t="s">
        <v>579</v>
      </c>
      <c r="L137" s="23">
        <v>44586</v>
      </c>
      <c r="M137" s="238">
        <f t="shared" si="20"/>
        <v>0.52876712328767128</v>
      </c>
      <c r="N137" s="23">
        <v>44586</v>
      </c>
      <c r="O137" s="238">
        <f t="shared" si="21"/>
        <v>0.52876712328767128</v>
      </c>
      <c r="P137" s="23">
        <v>44584</v>
      </c>
      <c r="Q137" s="238">
        <f t="shared" si="22"/>
        <v>0.52328767123287667</v>
      </c>
      <c r="R137" s="23">
        <v>44586</v>
      </c>
      <c r="S137" s="238">
        <f t="shared" si="23"/>
        <v>0.52876712328767128</v>
      </c>
      <c r="T137" s="95">
        <v>45265</v>
      </c>
      <c r="U137" s="246">
        <f t="shared" si="24"/>
        <v>2.3890410958904109</v>
      </c>
      <c r="V137" s="95">
        <v>45270</v>
      </c>
      <c r="W137" s="246">
        <f t="shared" si="25"/>
        <v>2.4027397260273973</v>
      </c>
      <c r="X137" s="95">
        <v>45262</v>
      </c>
      <c r="Y137" s="246">
        <f t="shared" si="26"/>
        <v>2.3808219178082193</v>
      </c>
      <c r="Z137" s="95">
        <v>45265</v>
      </c>
      <c r="AA137" s="246">
        <f t="shared" si="27"/>
        <v>2.3890410958904109</v>
      </c>
      <c r="AB137" s="308">
        <v>0</v>
      </c>
      <c r="AC137">
        <v>0</v>
      </c>
      <c r="AD137" s="299">
        <v>85.3</v>
      </c>
      <c r="AE137" s="299">
        <v>11.4</v>
      </c>
      <c r="AF137" s="298">
        <f>AE137/(AD137/100)^2</f>
        <v>15.667755621494512</v>
      </c>
      <c r="AG137" s="299">
        <v>14.1</v>
      </c>
      <c r="AH137" s="299">
        <v>16.2</v>
      </c>
      <c r="AI137" s="299">
        <v>36.4</v>
      </c>
      <c r="AJ137" s="301">
        <v>1</v>
      </c>
      <c r="AK137" s="301">
        <v>1</v>
      </c>
      <c r="AL137" s="305">
        <v>0</v>
      </c>
      <c r="AM137" s="305">
        <v>0</v>
      </c>
      <c r="AN137" s="307">
        <v>0</v>
      </c>
    </row>
    <row r="138" spans="1:40" ht="16">
      <c r="A138" s="2" t="s">
        <v>580</v>
      </c>
      <c r="B138" s="2">
        <v>22107506</v>
      </c>
      <c r="C138" s="2" t="s">
        <v>581</v>
      </c>
      <c r="D138" s="2" t="s">
        <v>582</v>
      </c>
      <c r="E138" s="2">
        <v>1</v>
      </c>
      <c r="F138" s="23">
        <v>44306</v>
      </c>
      <c r="G138" s="23">
        <v>44304</v>
      </c>
      <c r="H138" s="23">
        <v>44306</v>
      </c>
      <c r="I138" s="2" t="s">
        <v>29</v>
      </c>
      <c r="J138" s="4">
        <v>3050</v>
      </c>
      <c r="K138" s="56" t="s">
        <v>583</v>
      </c>
      <c r="L138" s="40">
        <v>44558</v>
      </c>
      <c r="M138" s="241">
        <f t="shared" si="20"/>
        <v>0.69041095890410964</v>
      </c>
      <c r="N138" s="17" t="s">
        <v>1714</v>
      </c>
      <c r="O138" s="241" t="e">
        <f t="shared" si="21"/>
        <v>#VALUE!</v>
      </c>
      <c r="P138" s="40">
        <v>44562</v>
      </c>
      <c r="Q138" s="241">
        <f t="shared" si="22"/>
        <v>0.70136986301369864</v>
      </c>
      <c r="R138" s="40">
        <v>44558</v>
      </c>
      <c r="S138" s="241">
        <f t="shared" si="23"/>
        <v>0.69041095890410964</v>
      </c>
      <c r="T138" s="95">
        <v>45223</v>
      </c>
      <c r="U138" s="246">
        <f t="shared" si="24"/>
        <v>2.5123287671232877</v>
      </c>
      <c r="V138" s="95">
        <v>45223</v>
      </c>
      <c r="W138" s="246">
        <f t="shared" si="25"/>
        <v>2.5123287671232877</v>
      </c>
      <c r="X138" s="95">
        <v>45138</v>
      </c>
      <c r="Y138" s="246">
        <f t="shared" si="26"/>
        <v>2.2794520547945205</v>
      </c>
      <c r="Z138" s="95">
        <v>45223</v>
      </c>
      <c r="AA138" s="246">
        <f t="shared" si="27"/>
        <v>2.5123287671232877</v>
      </c>
      <c r="AB138" s="308">
        <v>0</v>
      </c>
      <c r="AC138">
        <v>0</v>
      </c>
      <c r="AD138" s="299">
        <v>91.7</v>
      </c>
      <c r="AE138" s="299">
        <v>13.1</v>
      </c>
      <c r="AF138" s="298">
        <f>AE138/(AD138/100)^2</f>
        <v>15.578750584203144</v>
      </c>
      <c r="AG138" s="299">
        <v>49</v>
      </c>
      <c r="AH138" s="299">
        <v>76.400000000000006</v>
      </c>
      <c r="AI138" s="299">
        <v>24.5</v>
      </c>
      <c r="AJ138" s="301">
        <v>0</v>
      </c>
      <c r="AK138" s="301">
        <v>0</v>
      </c>
      <c r="AL138" s="305">
        <v>2</v>
      </c>
      <c r="AM138" s="305">
        <v>2</v>
      </c>
      <c r="AN138" s="307">
        <v>0</v>
      </c>
    </row>
    <row r="139" spans="1:40" ht="16">
      <c r="A139" s="2" t="s">
        <v>584</v>
      </c>
      <c r="B139" s="2">
        <v>22106433</v>
      </c>
      <c r="C139" s="2" t="s">
        <v>585</v>
      </c>
      <c r="D139" s="2" t="s">
        <v>586</v>
      </c>
      <c r="E139" s="2">
        <v>1</v>
      </c>
      <c r="F139" s="23">
        <v>44202</v>
      </c>
      <c r="G139" s="23">
        <v>44305</v>
      </c>
      <c r="H139" s="23">
        <v>44305</v>
      </c>
      <c r="I139" s="2" t="s">
        <v>587</v>
      </c>
      <c r="J139" s="4">
        <v>780</v>
      </c>
      <c r="K139" s="27" t="s">
        <v>588</v>
      </c>
      <c r="L139" s="20" t="s">
        <v>2215</v>
      </c>
      <c r="M139" s="240" t="e">
        <f t="shared" si="20"/>
        <v>#VALUE!</v>
      </c>
      <c r="N139" s="20" t="s">
        <v>2215</v>
      </c>
      <c r="O139" s="240" t="e">
        <f t="shared" si="21"/>
        <v>#VALUE!</v>
      </c>
      <c r="P139" s="20" t="s">
        <v>2215</v>
      </c>
      <c r="Q139" s="240" t="e">
        <f t="shared" si="22"/>
        <v>#VALUE!</v>
      </c>
      <c r="R139" s="20" t="s">
        <v>2215</v>
      </c>
      <c r="S139" s="240" t="e">
        <f t="shared" si="23"/>
        <v>#VALUE!</v>
      </c>
      <c r="T139" s="25" t="s">
        <v>1955</v>
      </c>
      <c r="U139" s="248" t="e">
        <f t="shared" si="24"/>
        <v>#VALUE!</v>
      </c>
      <c r="V139" s="25" t="s">
        <v>1955</v>
      </c>
      <c r="W139" s="248" t="e">
        <f t="shared" si="25"/>
        <v>#VALUE!</v>
      </c>
      <c r="X139" s="25" t="s">
        <v>1955</v>
      </c>
      <c r="Y139" s="248" t="e">
        <f t="shared" si="26"/>
        <v>#VALUE!</v>
      </c>
      <c r="Z139" s="25" t="s">
        <v>1955</v>
      </c>
      <c r="AA139" s="248" t="e">
        <f t="shared" si="27"/>
        <v>#VALUE!</v>
      </c>
      <c r="AB139" s="308">
        <v>2</v>
      </c>
      <c r="AC139" s="308">
        <v>2</v>
      </c>
      <c r="AD139" s="302"/>
      <c r="AE139" s="302"/>
      <c r="AF139" s="303"/>
      <c r="AG139" s="302"/>
      <c r="AH139" s="302"/>
      <c r="AI139" s="302"/>
      <c r="AJ139" s="304"/>
      <c r="AK139" s="304"/>
      <c r="AL139" s="306"/>
      <c r="AM139" s="306"/>
      <c r="AN139" s="307">
        <v>1</v>
      </c>
    </row>
    <row r="140" spans="1:40" ht="16">
      <c r="A140" s="2" t="s">
        <v>589</v>
      </c>
      <c r="B140" s="2">
        <v>22108915</v>
      </c>
      <c r="C140" s="2" t="s">
        <v>590</v>
      </c>
      <c r="D140" s="2" t="s">
        <v>591</v>
      </c>
      <c r="E140" s="2">
        <v>1</v>
      </c>
      <c r="F140" s="23">
        <v>44458</v>
      </c>
      <c r="G140" s="23">
        <v>44465</v>
      </c>
      <c r="H140" s="23">
        <v>44458</v>
      </c>
      <c r="I140" s="2" t="s">
        <v>90</v>
      </c>
      <c r="J140" s="4">
        <v>3570</v>
      </c>
      <c r="K140" s="56" t="s">
        <v>592</v>
      </c>
      <c r="L140" s="22" t="s">
        <v>1718</v>
      </c>
      <c r="M140" s="244" t="e">
        <f t="shared" si="20"/>
        <v>#VALUE!</v>
      </c>
      <c r="N140" s="40">
        <v>44645</v>
      </c>
      <c r="O140" s="241">
        <f t="shared" si="21"/>
        <v>0.51232876712328768</v>
      </c>
      <c r="P140" s="40">
        <v>44644</v>
      </c>
      <c r="Q140" s="241">
        <f t="shared" si="22"/>
        <v>0.50958904109589043</v>
      </c>
      <c r="R140" s="22" t="s">
        <v>1720</v>
      </c>
      <c r="S140" s="244" t="e">
        <f t="shared" si="23"/>
        <v>#VALUE!</v>
      </c>
      <c r="T140" s="17"/>
      <c r="U140" s="241">
        <f t="shared" si="24"/>
        <v>-121.8027397260274</v>
      </c>
      <c r="V140" s="40">
        <v>45345</v>
      </c>
      <c r="W140" s="241">
        <f t="shared" si="25"/>
        <v>2.43013698630137</v>
      </c>
      <c r="X140" s="40">
        <v>45344</v>
      </c>
      <c r="Y140" s="241">
        <f t="shared" si="26"/>
        <v>2.4273972602739726</v>
      </c>
      <c r="Z140" s="17"/>
      <c r="AA140" s="238">
        <f t="shared" si="27"/>
        <v>-121.8027397260274</v>
      </c>
      <c r="AB140" s="308">
        <v>0</v>
      </c>
      <c r="AC140">
        <v>0</v>
      </c>
      <c r="AD140" s="299">
        <v>97.9</v>
      </c>
      <c r="AE140" s="299">
        <v>16</v>
      </c>
      <c r="AF140" s="298">
        <f t="shared" ref="AF140:AF145" si="28">AE140/(AD140/100)^2</f>
        <v>16.693776664395614</v>
      </c>
      <c r="AG140" s="299">
        <v>94.4</v>
      </c>
      <c r="AH140" s="299">
        <v>97.6</v>
      </c>
      <c r="AI140" s="299">
        <v>61.6</v>
      </c>
      <c r="AJ140" s="301">
        <v>1</v>
      </c>
      <c r="AK140" s="301">
        <v>1</v>
      </c>
      <c r="AL140" s="305">
        <v>0</v>
      </c>
      <c r="AM140" s="305">
        <v>0</v>
      </c>
      <c r="AN140" s="307">
        <v>0</v>
      </c>
    </row>
    <row r="141" spans="1:40" ht="16">
      <c r="A141" s="2" t="s">
        <v>593</v>
      </c>
      <c r="B141" s="2">
        <v>16902223</v>
      </c>
      <c r="C141" s="2" t="s">
        <v>594</v>
      </c>
      <c r="D141" s="2" t="s">
        <v>595</v>
      </c>
      <c r="E141" s="2">
        <v>0</v>
      </c>
      <c r="F141" s="23">
        <v>44314</v>
      </c>
      <c r="G141" s="23">
        <v>44412</v>
      </c>
      <c r="H141" s="23">
        <v>44412</v>
      </c>
      <c r="I141" s="2">
        <v>26</v>
      </c>
      <c r="J141" s="4">
        <v>630</v>
      </c>
      <c r="K141" s="56" t="s">
        <v>596</v>
      </c>
      <c r="L141" s="23">
        <v>44630</v>
      </c>
      <c r="M141" s="238">
        <f t="shared" si="20"/>
        <v>0.59726027397260273</v>
      </c>
      <c r="N141" s="23">
        <v>44630</v>
      </c>
      <c r="O141" s="238">
        <f t="shared" si="21"/>
        <v>0.59726027397260273</v>
      </c>
      <c r="P141" s="23">
        <v>44627</v>
      </c>
      <c r="Q141" s="238">
        <f t="shared" si="22"/>
        <v>0.58904109589041098</v>
      </c>
      <c r="R141" s="23">
        <v>44630</v>
      </c>
      <c r="S141" s="238">
        <f t="shared" si="23"/>
        <v>0.59726027397260273</v>
      </c>
      <c r="T141" s="40">
        <v>45321</v>
      </c>
      <c r="U141" s="241">
        <f t="shared" si="24"/>
        <v>2.4904109589041097</v>
      </c>
      <c r="V141" s="40">
        <v>45321</v>
      </c>
      <c r="W141" s="241">
        <f t="shared" si="25"/>
        <v>2.4904109589041097</v>
      </c>
      <c r="X141" s="40">
        <v>45317</v>
      </c>
      <c r="Y141" s="241">
        <f t="shared" si="26"/>
        <v>2.4794520547945207</v>
      </c>
      <c r="Z141" s="17"/>
      <c r="AA141" s="241">
        <f t="shared" si="27"/>
        <v>-121.67671232876712</v>
      </c>
      <c r="AB141" s="308">
        <v>2</v>
      </c>
      <c r="AC141">
        <v>2</v>
      </c>
      <c r="AD141" s="299">
        <v>87</v>
      </c>
      <c r="AE141" s="299">
        <v>11.2</v>
      </c>
      <c r="AF141" s="298">
        <f t="shared" si="28"/>
        <v>14.797199101598626</v>
      </c>
      <c r="AG141" s="299">
        <v>8.4</v>
      </c>
      <c r="AH141" s="299">
        <v>22.2</v>
      </c>
      <c r="AI141" s="299">
        <v>14.6</v>
      </c>
      <c r="AJ141" s="301">
        <v>0</v>
      </c>
      <c r="AK141" s="301">
        <v>1</v>
      </c>
      <c r="AL141" s="305">
        <v>2</v>
      </c>
      <c r="AM141" s="305">
        <v>2</v>
      </c>
      <c r="AN141" s="307">
        <v>1</v>
      </c>
    </row>
    <row r="142" spans="1:40" ht="16">
      <c r="A142" s="2" t="s">
        <v>597</v>
      </c>
      <c r="B142" s="2">
        <v>22108084</v>
      </c>
      <c r="C142" s="2" t="s">
        <v>598</v>
      </c>
      <c r="D142" s="2" t="s">
        <v>599</v>
      </c>
      <c r="E142" s="2">
        <v>1</v>
      </c>
      <c r="F142" s="23">
        <v>44367</v>
      </c>
      <c r="G142" s="44">
        <v>44367</v>
      </c>
      <c r="H142" s="23">
        <v>44367</v>
      </c>
      <c r="I142" s="2" t="s">
        <v>75</v>
      </c>
      <c r="J142" s="4">
        <v>2860</v>
      </c>
      <c r="K142" s="56" t="s">
        <v>600</v>
      </c>
      <c r="L142" s="23">
        <v>44558</v>
      </c>
      <c r="M142" s="238">
        <f t="shared" si="20"/>
        <v>0.52328767123287667</v>
      </c>
      <c r="N142" s="23">
        <v>44558</v>
      </c>
      <c r="O142" s="238">
        <f t="shared" si="21"/>
        <v>0.52328767123287667</v>
      </c>
      <c r="P142" s="23">
        <v>44554</v>
      </c>
      <c r="Q142" s="238">
        <f t="shared" si="22"/>
        <v>0.51232876712328768</v>
      </c>
      <c r="R142" s="23">
        <v>44558</v>
      </c>
      <c r="S142" s="238">
        <f t="shared" si="23"/>
        <v>0.52328767123287667</v>
      </c>
      <c r="T142" s="95">
        <v>45212</v>
      </c>
      <c r="U142" s="246">
        <f t="shared" si="24"/>
        <v>2.3150684931506849</v>
      </c>
      <c r="V142" s="95">
        <v>45212</v>
      </c>
      <c r="W142" s="246">
        <f t="shared" si="25"/>
        <v>2.3150684931506849</v>
      </c>
      <c r="X142" s="95">
        <v>45210</v>
      </c>
      <c r="Y142" s="246">
        <f t="shared" si="26"/>
        <v>2.3095890410958906</v>
      </c>
      <c r="Z142" s="95">
        <v>45212</v>
      </c>
      <c r="AA142" s="246">
        <f t="shared" si="27"/>
        <v>2.3150684931506849</v>
      </c>
      <c r="AB142" s="308">
        <v>0</v>
      </c>
      <c r="AC142">
        <v>0</v>
      </c>
      <c r="AD142" s="299">
        <v>90</v>
      </c>
      <c r="AE142" s="299">
        <v>13.2</v>
      </c>
      <c r="AF142" s="298">
        <f t="shared" si="28"/>
        <v>16.296296296296294</v>
      </c>
      <c r="AG142" s="299">
        <v>50.4</v>
      </c>
      <c r="AH142" s="299">
        <v>57.2</v>
      </c>
      <c r="AI142" s="299">
        <v>47.4</v>
      </c>
      <c r="AJ142" s="301">
        <v>0</v>
      </c>
      <c r="AK142" s="301">
        <v>1</v>
      </c>
      <c r="AL142" s="305">
        <v>0</v>
      </c>
      <c r="AM142" s="305">
        <v>0</v>
      </c>
      <c r="AN142" s="307">
        <v>0</v>
      </c>
    </row>
    <row r="143" spans="1:40" ht="16">
      <c r="A143" s="2" t="s">
        <v>601</v>
      </c>
      <c r="B143" s="2">
        <v>22107115</v>
      </c>
      <c r="C143" s="2" t="s">
        <v>602</v>
      </c>
      <c r="D143" s="2" t="s">
        <v>143</v>
      </c>
      <c r="E143" s="2">
        <v>1</v>
      </c>
      <c r="F143" s="23">
        <v>44266</v>
      </c>
      <c r="G143" s="23">
        <v>44377</v>
      </c>
      <c r="H143" s="23">
        <v>44377</v>
      </c>
      <c r="I143" s="2" t="s">
        <v>34</v>
      </c>
      <c r="J143" s="4">
        <v>710</v>
      </c>
      <c r="K143" s="56" t="s">
        <v>603</v>
      </c>
      <c r="L143" s="23">
        <v>44551</v>
      </c>
      <c r="M143" s="238">
        <f t="shared" si="20"/>
        <v>0.47671232876712327</v>
      </c>
      <c r="N143" s="23">
        <v>44551</v>
      </c>
      <c r="O143" s="238">
        <f t="shared" si="21"/>
        <v>0.47671232876712327</v>
      </c>
      <c r="P143" s="23">
        <v>44548</v>
      </c>
      <c r="Q143" s="238">
        <f t="shared" si="22"/>
        <v>0.46849315068493153</v>
      </c>
      <c r="R143" s="23">
        <v>44551</v>
      </c>
      <c r="S143" s="238">
        <f t="shared" si="23"/>
        <v>0.47671232876712327</v>
      </c>
      <c r="T143" s="95">
        <v>45146</v>
      </c>
      <c r="U143" s="246">
        <f t="shared" si="24"/>
        <v>2.106849315068493</v>
      </c>
      <c r="V143" s="95">
        <v>45146</v>
      </c>
      <c r="W143" s="246">
        <f t="shared" si="25"/>
        <v>2.106849315068493</v>
      </c>
      <c r="X143" s="95">
        <v>45141</v>
      </c>
      <c r="Y143" s="246">
        <f t="shared" si="26"/>
        <v>2.0931506849315067</v>
      </c>
      <c r="Z143" s="95">
        <v>45146</v>
      </c>
      <c r="AA143" s="246">
        <f t="shared" si="27"/>
        <v>2.106849315068493</v>
      </c>
      <c r="AB143" s="308">
        <v>2</v>
      </c>
      <c r="AC143">
        <v>2</v>
      </c>
      <c r="AD143" s="299">
        <v>82.8</v>
      </c>
      <c r="AE143" s="299">
        <v>10.7</v>
      </c>
      <c r="AF143" s="298">
        <f t="shared" si="28"/>
        <v>15.607132021750799</v>
      </c>
      <c r="AG143" s="299">
        <v>4.4000000000000004</v>
      </c>
      <c r="AH143" s="299">
        <v>10</v>
      </c>
      <c r="AI143" s="299">
        <v>22.7</v>
      </c>
      <c r="AJ143" s="301">
        <v>1</v>
      </c>
      <c r="AK143" s="301">
        <v>1</v>
      </c>
      <c r="AL143" s="305">
        <v>0</v>
      </c>
      <c r="AM143" s="305">
        <v>0</v>
      </c>
      <c r="AN143" s="307">
        <v>1</v>
      </c>
    </row>
    <row r="144" spans="1:40" ht="16">
      <c r="A144" s="2" t="s">
        <v>604</v>
      </c>
      <c r="B144" s="2">
        <v>22106626</v>
      </c>
      <c r="C144" s="2" t="s">
        <v>605</v>
      </c>
      <c r="D144" s="2" t="s">
        <v>606</v>
      </c>
      <c r="E144" s="2">
        <v>0</v>
      </c>
      <c r="F144" s="23">
        <v>44221</v>
      </c>
      <c r="G144" s="23">
        <v>44324</v>
      </c>
      <c r="H144" s="23">
        <v>44324</v>
      </c>
      <c r="I144" s="2" t="s">
        <v>587</v>
      </c>
      <c r="J144" s="4">
        <v>692</v>
      </c>
      <c r="K144" s="56" t="s">
        <v>607</v>
      </c>
      <c r="L144" s="23">
        <v>44559</v>
      </c>
      <c r="M144" s="238">
        <f t="shared" si="20"/>
        <v>0.64383561643835618</v>
      </c>
      <c r="N144" s="23">
        <v>44525</v>
      </c>
      <c r="O144" s="238">
        <f t="shared" si="21"/>
        <v>0.55068493150684927</v>
      </c>
      <c r="P144" s="23">
        <v>44525</v>
      </c>
      <c r="Q144" s="238">
        <f t="shared" si="22"/>
        <v>0.55068493150684927</v>
      </c>
      <c r="R144" s="23">
        <v>44559</v>
      </c>
      <c r="S144" s="238">
        <f t="shared" si="23"/>
        <v>0.64383561643835618</v>
      </c>
      <c r="T144" s="95">
        <v>45030</v>
      </c>
      <c r="U144" s="246">
        <f t="shared" si="24"/>
        <v>1.9342465753424658</v>
      </c>
      <c r="V144" s="95">
        <v>45055</v>
      </c>
      <c r="W144" s="246">
        <f t="shared" si="25"/>
        <v>2.0027397260273974</v>
      </c>
      <c r="X144" s="95">
        <v>45025</v>
      </c>
      <c r="Y144" s="246">
        <f t="shared" si="26"/>
        <v>1.9205479452054794</v>
      </c>
      <c r="Z144" s="95">
        <v>45030</v>
      </c>
      <c r="AA144" s="246">
        <f t="shared" si="27"/>
        <v>1.9342465753424658</v>
      </c>
      <c r="AB144" s="308">
        <v>2</v>
      </c>
      <c r="AC144">
        <v>2</v>
      </c>
      <c r="AD144" s="299">
        <v>77.900000000000006</v>
      </c>
      <c r="AE144" s="299">
        <v>7.5</v>
      </c>
      <c r="AF144" s="298">
        <f t="shared" si="28"/>
        <v>12.359085823139832</v>
      </c>
      <c r="AG144" s="299">
        <v>0</v>
      </c>
      <c r="AH144" s="299">
        <v>2</v>
      </c>
      <c r="AI144" s="299">
        <v>0.2</v>
      </c>
      <c r="AJ144" s="301">
        <v>1</v>
      </c>
      <c r="AK144" s="301">
        <v>1</v>
      </c>
      <c r="AL144" s="305">
        <v>0</v>
      </c>
      <c r="AM144" s="305">
        <v>2</v>
      </c>
      <c r="AN144" s="307">
        <v>1</v>
      </c>
    </row>
    <row r="145" spans="1:40" ht="16">
      <c r="A145" s="2" t="s">
        <v>608</v>
      </c>
      <c r="B145" s="2">
        <v>22109189</v>
      </c>
      <c r="C145" s="2" t="s">
        <v>609</v>
      </c>
      <c r="D145" s="2" t="s">
        <v>335</v>
      </c>
      <c r="E145" s="2">
        <v>0</v>
      </c>
      <c r="F145" s="23">
        <v>44490</v>
      </c>
      <c r="G145" s="23">
        <v>44496</v>
      </c>
      <c r="H145" s="23">
        <v>44490</v>
      </c>
      <c r="I145" s="2" t="s">
        <v>110</v>
      </c>
      <c r="J145" s="4">
        <v>2780</v>
      </c>
      <c r="K145" s="56" t="s">
        <v>610</v>
      </c>
      <c r="L145" s="23">
        <v>44677</v>
      </c>
      <c r="M145" s="238">
        <f t="shared" si="20"/>
        <v>0.51232876712328768</v>
      </c>
      <c r="N145" s="23">
        <v>44677</v>
      </c>
      <c r="O145" s="238">
        <f t="shared" si="21"/>
        <v>0.51232876712328768</v>
      </c>
      <c r="P145" s="23">
        <v>44674</v>
      </c>
      <c r="Q145" s="238">
        <f t="shared" si="22"/>
        <v>0.50410958904109593</v>
      </c>
      <c r="R145" s="23">
        <v>44677</v>
      </c>
      <c r="S145" s="238">
        <f t="shared" si="23"/>
        <v>0.51232876712328768</v>
      </c>
      <c r="T145" s="95">
        <v>45265</v>
      </c>
      <c r="U145" s="246">
        <f t="shared" si="24"/>
        <v>2.1232876712328768</v>
      </c>
      <c r="V145" s="95">
        <v>45259</v>
      </c>
      <c r="W145" s="246">
        <f t="shared" si="25"/>
        <v>2.106849315068493</v>
      </c>
      <c r="X145" s="95">
        <v>45261</v>
      </c>
      <c r="Y145" s="246">
        <f t="shared" si="26"/>
        <v>2.1123287671232878</v>
      </c>
      <c r="Z145" s="95">
        <v>45265</v>
      </c>
      <c r="AA145" s="246">
        <f t="shared" si="27"/>
        <v>2.1232876712328768</v>
      </c>
      <c r="AB145" s="308">
        <v>0</v>
      </c>
      <c r="AC145">
        <v>0</v>
      </c>
      <c r="AD145" s="299">
        <v>83</v>
      </c>
      <c r="AE145" s="299">
        <v>13</v>
      </c>
      <c r="AF145" s="298">
        <f t="shared" si="28"/>
        <v>18.870663376397157</v>
      </c>
      <c r="AG145" s="299">
        <v>69.599999999999994</v>
      </c>
      <c r="AH145" s="299">
        <v>18.100000000000001</v>
      </c>
      <c r="AI145" s="299">
        <v>94.4</v>
      </c>
      <c r="AJ145" s="301">
        <v>0</v>
      </c>
      <c r="AK145" s="301">
        <v>1</v>
      </c>
      <c r="AL145" s="305">
        <v>0</v>
      </c>
      <c r="AM145" s="305">
        <v>0</v>
      </c>
      <c r="AN145" s="307">
        <v>0</v>
      </c>
    </row>
    <row r="146" spans="1:40" ht="16">
      <c r="A146" s="2" t="s">
        <v>611</v>
      </c>
      <c r="B146" s="2">
        <v>22109134</v>
      </c>
      <c r="C146" s="2" t="s">
        <v>612</v>
      </c>
      <c r="D146" s="2" t="s">
        <v>613</v>
      </c>
      <c r="E146" s="2">
        <v>1</v>
      </c>
      <c r="F146" s="23">
        <v>44484</v>
      </c>
      <c r="G146" s="23">
        <v>44543</v>
      </c>
      <c r="H146" s="23">
        <v>44543</v>
      </c>
      <c r="I146" s="2" t="s">
        <v>105</v>
      </c>
      <c r="J146" s="4">
        <v>1670</v>
      </c>
      <c r="K146" s="27" t="s">
        <v>614</v>
      </c>
      <c r="L146" s="23">
        <v>44740</v>
      </c>
      <c r="M146" s="238">
        <f t="shared" si="20"/>
        <v>0.53972602739726028</v>
      </c>
      <c r="N146" s="23">
        <v>44740</v>
      </c>
      <c r="O146" s="238">
        <f t="shared" si="21"/>
        <v>0.53972602739726028</v>
      </c>
      <c r="P146" s="23">
        <v>44740</v>
      </c>
      <c r="Q146" s="238">
        <f t="shared" si="22"/>
        <v>0.53972602739726028</v>
      </c>
      <c r="R146" s="23">
        <v>44740</v>
      </c>
      <c r="S146" s="238">
        <f t="shared" si="23"/>
        <v>0.53972602739726028</v>
      </c>
      <c r="T146" s="25" t="s">
        <v>2647</v>
      </c>
      <c r="U146" s="248" t="e">
        <f t="shared" si="24"/>
        <v>#VALUE!</v>
      </c>
      <c r="V146" s="25"/>
      <c r="W146" s="248">
        <f t="shared" si="25"/>
        <v>-122.03561643835616</v>
      </c>
      <c r="X146" s="25"/>
      <c r="Y146" s="248">
        <f t="shared" si="26"/>
        <v>-122.03561643835616</v>
      </c>
      <c r="Z146" s="25"/>
      <c r="AA146" s="248">
        <f t="shared" si="27"/>
        <v>-122.03561643835616</v>
      </c>
      <c r="AB146" s="308">
        <v>1</v>
      </c>
      <c r="AC146">
        <v>1</v>
      </c>
      <c r="AD146" s="302"/>
      <c r="AE146" s="302"/>
      <c r="AF146" s="303"/>
      <c r="AG146" s="302"/>
      <c r="AH146" s="302"/>
      <c r="AI146" s="302"/>
      <c r="AJ146" s="304"/>
      <c r="AK146" s="304"/>
      <c r="AL146" s="306"/>
      <c r="AM146" s="306"/>
      <c r="AN146" s="307">
        <v>0</v>
      </c>
    </row>
    <row r="147" spans="1:40" ht="16">
      <c r="A147" s="2" t="s">
        <v>615</v>
      </c>
      <c r="B147" s="2">
        <v>22101864</v>
      </c>
      <c r="C147" s="39" t="s">
        <v>616</v>
      </c>
      <c r="D147" s="2" t="s">
        <v>617</v>
      </c>
      <c r="E147" s="2">
        <v>1</v>
      </c>
      <c r="F147" s="23">
        <v>43767</v>
      </c>
      <c r="G147" s="23">
        <v>43827</v>
      </c>
      <c r="H147" s="23">
        <v>43827</v>
      </c>
      <c r="I147" s="2" t="s">
        <v>105</v>
      </c>
      <c r="J147" s="4">
        <v>1351</v>
      </c>
      <c r="K147" s="27" t="s">
        <v>618</v>
      </c>
      <c r="L147" s="16" t="s">
        <v>1995</v>
      </c>
      <c r="M147" s="239" t="e">
        <f t="shared" si="20"/>
        <v>#VALUE!</v>
      </c>
      <c r="N147" s="16" t="s">
        <v>1995</v>
      </c>
      <c r="O147" s="239" t="e">
        <f t="shared" si="21"/>
        <v>#VALUE!</v>
      </c>
      <c r="P147" s="16" t="s">
        <v>1995</v>
      </c>
      <c r="Q147" s="239" t="e">
        <f t="shared" si="22"/>
        <v>#VALUE!</v>
      </c>
      <c r="R147" s="16" t="s">
        <v>1995</v>
      </c>
      <c r="S147" s="239" t="e">
        <f t="shared" si="23"/>
        <v>#VALUE!</v>
      </c>
      <c r="T147" s="95">
        <v>44557</v>
      </c>
      <c r="U147" s="246">
        <f t="shared" si="24"/>
        <v>2</v>
      </c>
      <c r="V147" s="95">
        <v>44557</v>
      </c>
      <c r="W147" s="246">
        <f t="shared" si="25"/>
        <v>2</v>
      </c>
      <c r="X147" s="95">
        <v>44555</v>
      </c>
      <c r="Y147" s="246">
        <f t="shared" si="26"/>
        <v>1.9945205479452055</v>
      </c>
      <c r="Z147" s="95">
        <v>44557</v>
      </c>
      <c r="AA147" s="246">
        <f t="shared" si="27"/>
        <v>2</v>
      </c>
      <c r="AB147" s="308">
        <v>1</v>
      </c>
      <c r="AC147">
        <v>2</v>
      </c>
      <c r="AD147" s="299">
        <v>86.3</v>
      </c>
      <c r="AE147" s="299">
        <v>10.8</v>
      </c>
      <c r="AF147" s="298">
        <f>AE147/(AD147/100)^2</f>
        <v>14.501140622125787</v>
      </c>
      <c r="AG147" s="299">
        <v>6.3</v>
      </c>
      <c r="AH147" s="299">
        <v>45.9</v>
      </c>
      <c r="AI147" s="299">
        <v>2.9</v>
      </c>
      <c r="AJ147" s="301">
        <v>0</v>
      </c>
      <c r="AK147" s="301">
        <v>1</v>
      </c>
      <c r="AL147" s="305">
        <v>0</v>
      </c>
      <c r="AM147" s="305">
        <v>2</v>
      </c>
      <c r="AN147" s="307">
        <v>1</v>
      </c>
    </row>
    <row r="148" spans="1:40" ht="16">
      <c r="A148" s="2" t="s">
        <v>619</v>
      </c>
      <c r="B148" s="2">
        <v>22101865</v>
      </c>
      <c r="C148" s="39" t="s">
        <v>620</v>
      </c>
      <c r="D148" s="2" t="s">
        <v>621</v>
      </c>
      <c r="E148" s="2">
        <v>1</v>
      </c>
      <c r="F148" s="23">
        <v>43767</v>
      </c>
      <c r="G148" s="23">
        <v>43827</v>
      </c>
      <c r="H148" s="23">
        <v>43827</v>
      </c>
      <c r="I148" s="2" t="s">
        <v>105</v>
      </c>
      <c r="J148" s="4">
        <v>1565</v>
      </c>
      <c r="K148" s="27" t="s">
        <v>618</v>
      </c>
      <c r="L148" s="16" t="s">
        <v>1995</v>
      </c>
      <c r="M148" s="239" t="e">
        <f t="shared" si="20"/>
        <v>#VALUE!</v>
      </c>
      <c r="N148" s="16" t="s">
        <v>1995</v>
      </c>
      <c r="O148" s="239" t="e">
        <f t="shared" si="21"/>
        <v>#VALUE!</v>
      </c>
      <c r="P148" s="16" t="s">
        <v>1995</v>
      </c>
      <c r="Q148" s="239" t="e">
        <f t="shared" si="22"/>
        <v>#VALUE!</v>
      </c>
      <c r="R148" s="16" t="s">
        <v>1995</v>
      </c>
      <c r="S148" s="239" t="e">
        <f t="shared" si="23"/>
        <v>#VALUE!</v>
      </c>
      <c r="T148" s="95">
        <v>44557</v>
      </c>
      <c r="U148" s="246">
        <f t="shared" si="24"/>
        <v>2</v>
      </c>
      <c r="V148" s="95">
        <v>44557</v>
      </c>
      <c r="W148" s="246">
        <f t="shared" si="25"/>
        <v>2</v>
      </c>
      <c r="X148" s="95">
        <v>44555</v>
      </c>
      <c r="Y148" s="246">
        <f t="shared" si="26"/>
        <v>1.9945205479452055</v>
      </c>
      <c r="Z148" s="95">
        <v>44557</v>
      </c>
      <c r="AA148" s="246">
        <f t="shared" si="27"/>
        <v>2</v>
      </c>
      <c r="AB148" s="308">
        <v>1</v>
      </c>
      <c r="AC148">
        <v>2</v>
      </c>
      <c r="AD148" s="299">
        <v>87</v>
      </c>
      <c r="AE148" s="299">
        <v>10.4</v>
      </c>
      <c r="AF148" s="298">
        <f>AE148/(AD148/100)^2</f>
        <v>13.740256308627295</v>
      </c>
      <c r="AG148" s="299">
        <v>2.9</v>
      </c>
      <c r="AH148" s="299">
        <v>53.9</v>
      </c>
      <c r="AI148" s="299">
        <v>0.2</v>
      </c>
      <c r="AJ148" s="301">
        <v>0</v>
      </c>
      <c r="AK148" s="301">
        <v>1</v>
      </c>
      <c r="AL148" s="305">
        <v>0</v>
      </c>
      <c r="AM148" s="305">
        <v>2</v>
      </c>
      <c r="AN148" s="307">
        <v>0</v>
      </c>
    </row>
    <row r="149" spans="1:40" ht="16">
      <c r="A149" s="2" t="s">
        <v>622</v>
      </c>
      <c r="B149" s="2">
        <v>22107821</v>
      </c>
      <c r="C149" s="2" t="s">
        <v>623</v>
      </c>
      <c r="D149" s="2" t="s">
        <v>624</v>
      </c>
      <c r="E149" s="2">
        <v>0</v>
      </c>
      <c r="F149" s="23">
        <v>44339</v>
      </c>
      <c r="G149" s="23">
        <v>44349</v>
      </c>
      <c r="H149" s="23">
        <v>44339</v>
      </c>
      <c r="I149" s="2" t="s">
        <v>391</v>
      </c>
      <c r="J149" s="4">
        <v>3350</v>
      </c>
      <c r="K149" s="27" t="s">
        <v>625</v>
      </c>
      <c r="L149" s="23">
        <v>44613</v>
      </c>
      <c r="M149" s="238">
        <f t="shared" si="20"/>
        <v>0.75068493150684934</v>
      </c>
      <c r="N149" s="23">
        <v>44613</v>
      </c>
      <c r="O149" s="238">
        <f t="shared" si="21"/>
        <v>0.75068493150684934</v>
      </c>
      <c r="P149" s="23">
        <v>44616</v>
      </c>
      <c r="Q149" s="238">
        <f t="shared" si="22"/>
        <v>0.75890410958904109</v>
      </c>
      <c r="R149" s="23">
        <v>44613</v>
      </c>
      <c r="S149" s="238">
        <f t="shared" si="23"/>
        <v>0.75068493150684934</v>
      </c>
      <c r="T149" s="25" t="s">
        <v>2518</v>
      </c>
      <c r="U149" s="248" t="e">
        <f t="shared" si="24"/>
        <v>#VALUE!</v>
      </c>
      <c r="V149" s="25" t="s">
        <v>2518</v>
      </c>
      <c r="W149" s="248" t="e">
        <f t="shared" si="25"/>
        <v>#VALUE!</v>
      </c>
      <c r="X149" s="25" t="s">
        <v>2518</v>
      </c>
      <c r="Y149" s="248" t="e">
        <f t="shared" si="26"/>
        <v>#VALUE!</v>
      </c>
      <c r="Z149" s="25" t="s">
        <v>2518</v>
      </c>
      <c r="AA149" s="248" t="e">
        <f t="shared" si="27"/>
        <v>#VALUE!</v>
      </c>
      <c r="AB149" s="308">
        <v>0</v>
      </c>
      <c r="AC149">
        <v>0</v>
      </c>
      <c r="AD149" s="302"/>
      <c r="AE149" s="302"/>
      <c r="AF149" s="303"/>
      <c r="AG149" s="302"/>
      <c r="AH149" s="302"/>
      <c r="AI149" s="302"/>
      <c r="AJ149" s="304"/>
      <c r="AK149" s="304"/>
      <c r="AL149" s="306"/>
      <c r="AM149" s="306"/>
      <c r="AN149" s="307">
        <v>0</v>
      </c>
    </row>
    <row r="150" spans="1:40" ht="16">
      <c r="A150" s="2" t="s">
        <v>626</v>
      </c>
      <c r="B150" s="2">
        <v>22109239</v>
      </c>
      <c r="C150" s="2" t="s">
        <v>627</v>
      </c>
      <c r="D150" s="2" t="s">
        <v>628</v>
      </c>
      <c r="E150" s="2">
        <v>1</v>
      </c>
      <c r="F150" s="23">
        <v>44496</v>
      </c>
      <c r="G150" s="23">
        <v>44508</v>
      </c>
      <c r="H150" s="23">
        <v>44496</v>
      </c>
      <c r="I150" s="2" t="s">
        <v>75</v>
      </c>
      <c r="J150" s="4">
        <v>2780</v>
      </c>
      <c r="K150" s="56" t="s">
        <v>629</v>
      </c>
      <c r="L150" s="23">
        <v>44685</v>
      </c>
      <c r="M150" s="238">
        <f t="shared" si="20"/>
        <v>0.51780821917808217</v>
      </c>
      <c r="N150" s="23">
        <v>44685</v>
      </c>
      <c r="O150" s="238">
        <f t="shared" si="21"/>
        <v>0.51780821917808217</v>
      </c>
      <c r="P150" s="23">
        <v>44684</v>
      </c>
      <c r="Q150" s="238">
        <f t="shared" si="22"/>
        <v>0.51506849315068493</v>
      </c>
      <c r="R150" s="23">
        <v>44685</v>
      </c>
      <c r="S150" s="238">
        <f t="shared" si="23"/>
        <v>0.51780821917808217</v>
      </c>
      <c r="T150" s="95">
        <v>45251</v>
      </c>
      <c r="U150" s="246">
        <f t="shared" si="24"/>
        <v>2.0684931506849313</v>
      </c>
      <c r="V150" s="95">
        <v>45251</v>
      </c>
      <c r="W150" s="246">
        <f t="shared" si="25"/>
        <v>2.0684931506849313</v>
      </c>
      <c r="X150" s="95">
        <v>45251</v>
      </c>
      <c r="Y150" s="246">
        <f t="shared" si="26"/>
        <v>2.0684931506849313</v>
      </c>
      <c r="Z150" s="95">
        <v>45251</v>
      </c>
      <c r="AA150" s="246">
        <f t="shared" si="27"/>
        <v>2.0684931506849313</v>
      </c>
      <c r="AB150" s="308">
        <v>0</v>
      </c>
      <c r="AC150">
        <v>0</v>
      </c>
      <c r="AD150" s="299">
        <v>85.8</v>
      </c>
      <c r="AE150" s="299">
        <v>11.3</v>
      </c>
      <c r="AF150" s="298">
        <f>AE150/(AD150/100)^2</f>
        <v>15.349840524665701</v>
      </c>
      <c r="AG150" s="299">
        <v>12.3</v>
      </c>
      <c r="AH150" s="299">
        <v>35.299999999999997</v>
      </c>
      <c r="AI150" s="299">
        <v>15.9</v>
      </c>
      <c r="AJ150" s="301">
        <v>0</v>
      </c>
      <c r="AK150" s="301">
        <v>1</v>
      </c>
      <c r="AL150" s="305">
        <v>2</v>
      </c>
      <c r="AM150" s="305">
        <v>0</v>
      </c>
      <c r="AN150" s="307">
        <v>0</v>
      </c>
    </row>
    <row r="151" spans="1:40" ht="16">
      <c r="A151" s="2" t="s">
        <v>630</v>
      </c>
      <c r="B151" s="2">
        <v>22107774</v>
      </c>
      <c r="C151" s="2" t="s">
        <v>631</v>
      </c>
      <c r="D151" s="2" t="s">
        <v>335</v>
      </c>
      <c r="E151" s="2">
        <v>1</v>
      </c>
      <c r="F151" s="23">
        <v>44336</v>
      </c>
      <c r="G151" s="23">
        <v>44332</v>
      </c>
      <c r="H151" s="23">
        <v>44336</v>
      </c>
      <c r="I151" s="2" t="s">
        <v>294</v>
      </c>
      <c r="J151" s="4">
        <v>3280</v>
      </c>
      <c r="K151" s="56" t="s">
        <v>632</v>
      </c>
      <c r="L151" s="23">
        <v>44565</v>
      </c>
      <c r="M151" s="238">
        <f t="shared" si="20"/>
        <v>0.62739726027397258</v>
      </c>
      <c r="N151" s="23">
        <v>44565</v>
      </c>
      <c r="O151" s="238">
        <f t="shared" si="21"/>
        <v>0.62739726027397258</v>
      </c>
      <c r="P151" s="23">
        <v>44563</v>
      </c>
      <c r="Q151" s="238">
        <f t="shared" si="22"/>
        <v>0.62191780821917808</v>
      </c>
      <c r="R151" s="23">
        <v>44565</v>
      </c>
      <c r="S151" s="238">
        <f t="shared" si="23"/>
        <v>0.62739726027397258</v>
      </c>
      <c r="T151" s="32" t="s">
        <v>2497</v>
      </c>
      <c r="U151" s="248" t="e">
        <f t="shared" si="24"/>
        <v>#VALUE!</v>
      </c>
      <c r="V151" s="32" t="s">
        <v>2431</v>
      </c>
      <c r="W151" s="248" t="e">
        <f t="shared" si="25"/>
        <v>#VALUE!</v>
      </c>
      <c r="X151" s="32" t="s">
        <v>2431</v>
      </c>
      <c r="Y151" s="248" t="e">
        <f t="shared" si="26"/>
        <v>#VALUE!</v>
      </c>
      <c r="Z151" s="32" t="s">
        <v>2431</v>
      </c>
      <c r="AA151" s="248" t="e">
        <f t="shared" si="27"/>
        <v>#VALUE!</v>
      </c>
      <c r="AB151" s="308">
        <v>0</v>
      </c>
      <c r="AC151">
        <v>0</v>
      </c>
      <c r="AD151" s="302"/>
      <c r="AE151" s="302"/>
      <c r="AF151" s="303"/>
      <c r="AG151" s="302"/>
      <c r="AH151" s="302"/>
      <c r="AI151" s="302"/>
      <c r="AJ151" s="304"/>
      <c r="AK151" s="304"/>
      <c r="AL151" s="306"/>
      <c r="AM151" s="306"/>
      <c r="AN151" s="307">
        <v>0</v>
      </c>
    </row>
    <row r="152" spans="1:40" ht="16">
      <c r="A152" s="2" t="s">
        <v>633</v>
      </c>
      <c r="B152" s="2">
        <v>22109051</v>
      </c>
      <c r="C152" s="39" t="s">
        <v>634</v>
      </c>
      <c r="D152" s="2" t="s">
        <v>424</v>
      </c>
      <c r="E152" s="2">
        <v>0</v>
      </c>
      <c r="F152" s="23">
        <v>44476</v>
      </c>
      <c r="G152" s="23">
        <v>44532</v>
      </c>
      <c r="H152" s="23">
        <v>44476</v>
      </c>
      <c r="I152" s="2">
        <v>32</v>
      </c>
      <c r="J152" s="4">
        <v>1400</v>
      </c>
      <c r="K152" s="56" t="s">
        <v>635</v>
      </c>
      <c r="L152" s="23">
        <v>44722</v>
      </c>
      <c r="M152" s="238">
        <f t="shared" si="20"/>
        <v>0.67397260273972603</v>
      </c>
      <c r="N152" s="23">
        <v>44741</v>
      </c>
      <c r="O152" s="238">
        <f t="shared" si="21"/>
        <v>0.72602739726027399</v>
      </c>
      <c r="P152" s="23">
        <v>44719</v>
      </c>
      <c r="Q152" s="238">
        <f t="shared" si="22"/>
        <v>0.66575342465753429</v>
      </c>
      <c r="R152" s="23">
        <v>44722</v>
      </c>
      <c r="S152" s="238">
        <f t="shared" si="23"/>
        <v>0.67397260273972603</v>
      </c>
      <c r="T152" s="95">
        <v>45260</v>
      </c>
      <c r="U152" s="246">
        <f t="shared" si="24"/>
        <v>2.1479452054794521</v>
      </c>
      <c r="V152" s="95">
        <v>45260</v>
      </c>
      <c r="W152" s="246">
        <f t="shared" si="25"/>
        <v>2.1479452054794521</v>
      </c>
      <c r="X152" s="95">
        <v>45257</v>
      </c>
      <c r="Y152" s="246">
        <f t="shared" si="26"/>
        <v>2.1397260273972605</v>
      </c>
      <c r="Z152" s="95">
        <v>45260</v>
      </c>
      <c r="AA152" s="246">
        <f t="shared" si="27"/>
        <v>2.1479452054794521</v>
      </c>
      <c r="AB152" s="308">
        <v>1</v>
      </c>
      <c r="AC152">
        <v>2</v>
      </c>
      <c r="AD152" s="299">
        <v>83.5</v>
      </c>
      <c r="AE152" s="299">
        <v>11</v>
      </c>
      <c r="AF152" s="298">
        <f>AE152/(AD152/100)^2</f>
        <v>15.776829574384166</v>
      </c>
      <c r="AG152" s="299">
        <v>20</v>
      </c>
      <c r="AH152" s="299">
        <v>27</v>
      </c>
      <c r="AI152" s="299">
        <v>32.1</v>
      </c>
      <c r="AJ152" s="301">
        <v>0</v>
      </c>
      <c r="AK152" s="301">
        <v>1</v>
      </c>
      <c r="AL152" s="305">
        <v>2</v>
      </c>
      <c r="AM152" s="305">
        <v>0</v>
      </c>
      <c r="AN152" s="307">
        <v>0</v>
      </c>
    </row>
    <row r="153" spans="1:40" ht="16">
      <c r="A153" s="2" t="s">
        <v>636</v>
      </c>
      <c r="B153" s="2">
        <v>22109052</v>
      </c>
      <c r="C153" s="39" t="s">
        <v>637</v>
      </c>
      <c r="D153" s="2" t="s">
        <v>118</v>
      </c>
      <c r="E153" s="2">
        <v>1</v>
      </c>
      <c r="F153" s="23">
        <v>44476</v>
      </c>
      <c r="G153" s="23">
        <v>44532</v>
      </c>
      <c r="H153" s="23">
        <v>44476</v>
      </c>
      <c r="I153" s="2">
        <v>32</v>
      </c>
      <c r="J153" s="4">
        <v>1610</v>
      </c>
      <c r="K153" s="56" t="s">
        <v>635</v>
      </c>
      <c r="L153" s="23">
        <v>44722</v>
      </c>
      <c r="M153" s="238">
        <f t="shared" si="20"/>
        <v>0.67397260273972603</v>
      </c>
      <c r="N153" s="23">
        <v>44722</v>
      </c>
      <c r="O153" s="238">
        <f t="shared" si="21"/>
        <v>0.67397260273972603</v>
      </c>
      <c r="P153" s="23">
        <v>44719</v>
      </c>
      <c r="Q153" s="238">
        <f t="shared" si="22"/>
        <v>0.66575342465753429</v>
      </c>
      <c r="R153" s="23">
        <v>44722</v>
      </c>
      <c r="S153" s="238">
        <f t="shared" si="23"/>
        <v>0.67397260273972603</v>
      </c>
      <c r="T153" s="95">
        <v>45264</v>
      </c>
      <c r="U153" s="246">
        <f t="shared" si="24"/>
        <v>2.1589041095890411</v>
      </c>
      <c r="V153" s="95">
        <v>45260</v>
      </c>
      <c r="W153" s="246">
        <f t="shared" si="25"/>
        <v>2.1479452054794521</v>
      </c>
      <c r="X153" s="95">
        <v>45258</v>
      </c>
      <c r="Y153" s="246">
        <f t="shared" si="26"/>
        <v>2.1424657534246574</v>
      </c>
      <c r="Z153" s="95">
        <v>45264</v>
      </c>
      <c r="AA153" s="246">
        <f t="shared" si="27"/>
        <v>2.1589041095890411</v>
      </c>
      <c r="AB153" s="308">
        <v>1</v>
      </c>
      <c r="AC153">
        <v>1</v>
      </c>
      <c r="AD153" s="299">
        <v>83.3</v>
      </c>
      <c r="AE153" s="299">
        <v>10</v>
      </c>
      <c r="AF153" s="298">
        <f>AE153/(AD153/100)^2</f>
        <v>14.411526915688244</v>
      </c>
      <c r="AG153" s="299">
        <v>1</v>
      </c>
      <c r="AH153" s="299">
        <v>13</v>
      </c>
      <c r="AI153" s="299">
        <v>2.2999999999999998</v>
      </c>
      <c r="AJ153" s="301">
        <v>0</v>
      </c>
      <c r="AK153" s="301">
        <v>1</v>
      </c>
      <c r="AL153" s="305">
        <v>2</v>
      </c>
      <c r="AM153" s="305">
        <v>0</v>
      </c>
      <c r="AN153" s="307">
        <v>0</v>
      </c>
    </row>
    <row r="154" spans="1:40" ht="16">
      <c r="A154" s="2" t="s">
        <v>638</v>
      </c>
      <c r="B154" s="2">
        <v>22100387</v>
      </c>
      <c r="C154" s="2" t="s">
        <v>639</v>
      </c>
      <c r="D154" s="2" t="s">
        <v>94</v>
      </c>
      <c r="E154" s="2">
        <v>1</v>
      </c>
      <c r="F154" s="23">
        <v>43640</v>
      </c>
      <c r="G154" s="23">
        <v>43747</v>
      </c>
      <c r="H154" s="23">
        <v>43747</v>
      </c>
      <c r="I154" s="2" t="s">
        <v>640</v>
      </c>
      <c r="J154" s="4">
        <v>830</v>
      </c>
      <c r="K154" s="27" t="s">
        <v>641</v>
      </c>
      <c r="L154" s="16" t="s">
        <v>1995</v>
      </c>
      <c r="M154" s="239" t="e">
        <f t="shared" si="20"/>
        <v>#VALUE!</v>
      </c>
      <c r="N154" s="16" t="s">
        <v>1995</v>
      </c>
      <c r="O154" s="239" t="e">
        <f t="shared" si="21"/>
        <v>#VALUE!</v>
      </c>
      <c r="P154" s="16" t="s">
        <v>1995</v>
      </c>
      <c r="Q154" s="239" t="e">
        <f t="shared" si="22"/>
        <v>#VALUE!</v>
      </c>
      <c r="R154" s="16" t="s">
        <v>1995</v>
      </c>
      <c r="S154" s="239" t="e">
        <f t="shared" si="23"/>
        <v>#VALUE!</v>
      </c>
      <c r="T154" s="95">
        <v>44533</v>
      </c>
      <c r="U154" s="246">
        <f t="shared" si="24"/>
        <v>2.1534246575342464</v>
      </c>
      <c r="V154" s="95">
        <v>44553</v>
      </c>
      <c r="W154" s="246">
        <f t="shared" si="25"/>
        <v>2.2082191780821918</v>
      </c>
      <c r="X154" s="95">
        <v>44564</v>
      </c>
      <c r="Y154" s="246">
        <f t="shared" si="26"/>
        <v>2.2383561643835614</v>
      </c>
      <c r="Z154" s="95">
        <v>44533</v>
      </c>
      <c r="AA154" s="246">
        <f t="shared" si="27"/>
        <v>2.1534246575342464</v>
      </c>
      <c r="AB154" s="308">
        <v>2</v>
      </c>
      <c r="AC154">
        <v>1</v>
      </c>
      <c r="AD154" s="299">
        <v>88.7</v>
      </c>
      <c r="AE154" s="299">
        <v>12</v>
      </c>
      <c r="AF154" s="298">
        <f>AE154/(AD154/100)^2</f>
        <v>15.252253202655416</v>
      </c>
      <c r="AG154" s="299">
        <v>22.3</v>
      </c>
      <c r="AH154" s="299">
        <v>52.9</v>
      </c>
      <c r="AI154" s="299">
        <v>15.1</v>
      </c>
      <c r="AJ154" s="301">
        <v>0</v>
      </c>
      <c r="AK154" s="301">
        <v>1</v>
      </c>
      <c r="AL154" s="305">
        <v>2</v>
      </c>
      <c r="AM154" s="305">
        <v>0</v>
      </c>
      <c r="AN154" s="307">
        <v>0</v>
      </c>
    </row>
    <row r="155" spans="1:40" ht="16">
      <c r="A155" s="2" t="s">
        <v>642</v>
      </c>
      <c r="B155" s="2">
        <v>22108829</v>
      </c>
      <c r="C155" s="2" t="s">
        <v>643</v>
      </c>
      <c r="D155" s="2" t="s">
        <v>369</v>
      </c>
      <c r="E155" s="2">
        <v>1</v>
      </c>
      <c r="F155" s="23">
        <v>44449</v>
      </c>
      <c r="G155" s="23">
        <v>44523</v>
      </c>
      <c r="H155" s="23">
        <v>44523</v>
      </c>
      <c r="I155" s="2" t="s">
        <v>180</v>
      </c>
      <c r="J155" s="4">
        <v>1300</v>
      </c>
      <c r="K155" s="56" t="s">
        <v>644</v>
      </c>
      <c r="L155" s="23">
        <v>44693</v>
      </c>
      <c r="M155" s="238">
        <f t="shared" si="20"/>
        <v>0.46575342465753422</v>
      </c>
      <c r="N155" s="23">
        <v>44693</v>
      </c>
      <c r="O155" s="238">
        <f t="shared" si="21"/>
        <v>0.46575342465753422</v>
      </c>
      <c r="P155" s="23">
        <v>44690</v>
      </c>
      <c r="Q155" s="238">
        <f t="shared" si="22"/>
        <v>0.45753424657534247</v>
      </c>
      <c r="R155" s="23">
        <v>44693</v>
      </c>
      <c r="S155" s="238">
        <f t="shared" si="23"/>
        <v>0.46575342465753422</v>
      </c>
      <c r="T155" s="95">
        <v>45285</v>
      </c>
      <c r="U155" s="246">
        <f t="shared" si="24"/>
        <v>2.0876712328767124</v>
      </c>
      <c r="V155" s="95">
        <v>45285</v>
      </c>
      <c r="W155" s="246">
        <f t="shared" si="25"/>
        <v>2.0876712328767124</v>
      </c>
      <c r="X155" s="95">
        <v>45279</v>
      </c>
      <c r="Y155" s="246">
        <f t="shared" si="26"/>
        <v>2.0712328767123287</v>
      </c>
      <c r="Z155" s="95">
        <v>45285</v>
      </c>
      <c r="AA155" s="246">
        <f t="shared" si="27"/>
        <v>2.0876712328767124</v>
      </c>
      <c r="AB155" s="308">
        <v>1</v>
      </c>
      <c r="AC155">
        <v>2</v>
      </c>
      <c r="AD155" s="299">
        <v>89</v>
      </c>
      <c r="AE155" s="299">
        <v>13.4</v>
      </c>
      <c r="AF155" s="298">
        <f>AE155/(AD155/100)^2</f>
        <v>16.917055927281908</v>
      </c>
      <c r="AG155" s="299">
        <v>65.7</v>
      </c>
      <c r="AH155" s="299">
        <v>68.2</v>
      </c>
      <c r="AI155" s="299">
        <v>61.6</v>
      </c>
      <c r="AJ155" s="301">
        <v>0</v>
      </c>
      <c r="AK155" s="301">
        <v>1</v>
      </c>
      <c r="AL155" s="305">
        <v>0</v>
      </c>
      <c r="AM155" s="305">
        <v>0</v>
      </c>
      <c r="AN155" s="307">
        <v>0</v>
      </c>
    </row>
    <row r="156" spans="1:40" ht="16">
      <c r="A156" s="6" t="s">
        <v>645</v>
      </c>
      <c r="B156" s="6">
        <v>4998631</v>
      </c>
      <c r="C156" s="6" t="s">
        <v>646</v>
      </c>
      <c r="D156" s="6" t="s">
        <v>647</v>
      </c>
      <c r="E156" s="6">
        <v>1</v>
      </c>
      <c r="F156" s="42">
        <v>44421</v>
      </c>
      <c r="G156" s="42">
        <v>44490</v>
      </c>
      <c r="H156" s="42">
        <v>44490</v>
      </c>
      <c r="I156" s="6" t="s">
        <v>100</v>
      </c>
      <c r="J156" s="7">
        <v>970</v>
      </c>
      <c r="K156" s="57" t="s">
        <v>648</v>
      </c>
      <c r="L156" s="20" t="s">
        <v>2215</v>
      </c>
      <c r="M156" s="240" t="e">
        <f t="shared" si="20"/>
        <v>#VALUE!</v>
      </c>
      <c r="N156" s="20" t="s">
        <v>2215</v>
      </c>
      <c r="O156" s="240" t="e">
        <f t="shared" si="21"/>
        <v>#VALUE!</v>
      </c>
      <c r="P156" s="20" t="s">
        <v>2215</v>
      </c>
      <c r="Q156" s="240" t="e">
        <f t="shared" si="22"/>
        <v>#VALUE!</v>
      </c>
      <c r="R156" s="20" t="s">
        <v>2215</v>
      </c>
      <c r="S156" s="240" t="e">
        <f t="shared" si="23"/>
        <v>#VALUE!</v>
      </c>
      <c r="T156" s="61" t="s">
        <v>2388</v>
      </c>
      <c r="U156" s="247" t="e">
        <f t="shared" si="24"/>
        <v>#VALUE!</v>
      </c>
      <c r="V156" s="61" t="s">
        <v>2389</v>
      </c>
      <c r="W156" s="247" t="e">
        <f t="shared" si="25"/>
        <v>#VALUE!</v>
      </c>
      <c r="X156" s="61" t="s">
        <v>2390</v>
      </c>
      <c r="Y156" s="247" t="e">
        <f t="shared" si="26"/>
        <v>#VALUE!</v>
      </c>
      <c r="Z156" s="61" t="s">
        <v>2391</v>
      </c>
      <c r="AA156" s="247" t="e">
        <f t="shared" si="27"/>
        <v>#VALUE!</v>
      </c>
      <c r="AB156" s="308">
        <v>1</v>
      </c>
      <c r="AC156" s="308">
        <v>1</v>
      </c>
      <c r="AD156" s="302"/>
      <c r="AE156" s="302"/>
      <c r="AF156" s="303"/>
      <c r="AG156" s="302"/>
      <c r="AH156" s="302"/>
      <c r="AI156" s="302"/>
      <c r="AJ156" s="304"/>
      <c r="AK156" s="304"/>
      <c r="AL156" s="306"/>
      <c r="AM156" s="306"/>
      <c r="AN156" s="307">
        <v>1</v>
      </c>
    </row>
    <row r="157" spans="1:40" ht="16">
      <c r="A157" s="2" t="s">
        <v>649</v>
      </c>
      <c r="B157" s="2">
        <v>22106106</v>
      </c>
      <c r="C157" s="39" t="s">
        <v>650</v>
      </c>
      <c r="D157" s="2" t="s">
        <v>99</v>
      </c>
      <c r="E157" s="2">
        <v>0</v>
      </c>
      <c r="F157" s="23">
        <v>44174</v>
      </c>
      <c r="G157" s="23">
        <v>44245</v>
      </c>
      <c r="H157" s="23">
        <v>44245</v>
      </c>
      <c r="I157" s="2" t="s">
        <v>289</v>
      </c>
      <c r="J157" s="4">
        <v>1280</v>
      </c>
      <c r="K157" s="56" t="s">
        <v>651</v>
      </c>
      <c r="L157" s="23">
        <v>44579</v>
      </c>
      <c r="M157" s="238">
        <f t="shared" si="20"/>
        <v>0.91506849315068495</v>
      </c>
      <c r="N157" s="23">
        <v>44630</v>
      </c>
      <c r="O157" s="238">
        <f t="shared" si="21"/>
        <v>1.0547945205479452</v>
      </c>
      <c r="P157" s="23">
        <v>44578</v>
      </c>
      <c r="Q157" s="238">
        <f t="shared" si="22"/>
        <v>0.9123287671232877</v>
      </c>
      <c r="R157" s="23">
        <v>44579</v>
      </c>
      <c r="S157" s="238">
        <f t="shared" si="23"/>
        <v>0.91506849315068495</v>
      </c>
      <c r="T157" s="95">
        <v>45050</v>
      </c>
      <c r="U157" s="246">
        <f t="shared" si="24"/>
        <v>2.2054794520547945</v>
      </c>
      <c r="V157" s="95">
        <v>45050</v>
      </c>
      <c r="W157" s="246">
        <f t="shared" si="25"/>
        <v>2.2054794520547945</v>
      </c>
      <c r="X157" s="95">
        <v>45049</v>
      </c>
      <c r="Y157" s="246">
        <f t="shared" si="26"/>
        <v>2.2027397260273971</v>
      </c>
      <c r="Z157" s="95">
        <v>45050</v>
      </c>
      <c r="AA157" s="246">
        <f t="shared" si="27"/>
        <v>2.2054794520547945</v>
      </c>
      <c r="AB157" s="308">
        <v>1</v>
      </c>
      <c r="AC157">
        <v>1</v>
      </c>
      <c r="AD157" s="299">
        <v>86.2</v>
      </c>
      <c r="AE157" s="299">
        <v>11.4</v>
      </c>
      <c r="AF157" s="298">
        <f>AE157/(AD157/100)^2</f>
        <v>15.342294668956349</v>
      </c>
      <c r="AG157" s="299">
        <v>20.6</v>
      </c>
      <c r="AH157" s="299">
        <v>40.4</v>
      </c>
      <c r="AI157" s="299">
        <v>23.6</v>
      </c>
      <c r="AJ157" s="301">
        <v>0</v>
      </c>
      <c r="AK157" s="301">
        <v>1</v>
      </c>
      <c r="AL157" s="305">
        <v>0</v>
      </c>
      <c r="AM157" s="305">
        <v>2</v>
      </c>
      <c r="AN157" s="307">
        <v>0</v>
      </c>
    </row>
    <row r="158" spans="1:40" ht="16">
      <c r="A158" s="2" t="s">
        <v>652</v>
      </c>
      <c r="B158" s="2">
        <v>22106107</v>
      </c>
      <c r="C158" s="39" t="s">
        <v>653</v>
      </c>
      <c r="D158" s="2" t="s">
        <v>654</v>
      </c>
      <c r="E158" s="2">
        <v>1</v>
      </c>
      <c r="F158" s="23">
        <v>44174</v>
      </c>
      <c r="G158" s="23">
        <v>44245</v>
      </c>
      <c r="H158" s="23">
        <v>44245</v>
      </c>
      <c r="I158" s="2" t="s">
        <v>289</v>
      </c>
      <c r="J158" s="4">
        <v>1450</v>
      </c>
      <c r="K158" s="56" t="s">
        <v>651</v>
      </c>
      <c r="L158" s="23">
        <v>44579</v>
      </c>
      <c r="M158" s="238">
        <f t="shared" si="20"/>
        <v>0.91506849315068495</v>
      </c>
      <c r="N158" s="23">
        <v>44579</v>
      </c>
      <c r="O158" s="238">
        <f t="shared" si="21"/>
        <v>0.91506849315068495</v>
      </c>
      <c r="P158" s="23">
        <v>44579</v>
      </c>
      <c r="Q158" s="238">
        <f t="shared" si="22"/>
        <v>0.91506849315068495</v>
      </c>
      <c r="R158" s="23">
        <v>44579</v>
      </c>
      <c r="S158" s="238">
        <f t="shared" si="23"/>
        <v>0.91506849315068495</v>
      </c>
      <c r="T158" s="95">
        <v>45057</v>
      </c>
      <c r="U158" s="246">
        <f t="shared" si="24"/>
        <v>2.2246575342465755</v>
      </c>
      <c r="V158" s="95">
        <v>45057</v>
      </c>
      <c r="W158" s="246">
        <f t="shared" si="25"/>
        <v>2.2246575342465755</v>
      </c>
      <c r="X158" s="95">
        <v>45033</v>
      </c>
      <c r="Y158" s="246">
        <f t="shared" si="26"/>
        <v>2.1589041095890411</v>
      </c>
      <c r="Z158" s="95">
        <v>45057</v>
      </c>
      <c r="AA158" s="246">
        <f t="shared" si="27"/>
        <v>2.2246575342465755</v>
      </c>
      <c r="AB158" s="308">
        <v>1</v>
      </c>
      <c r="AC158">
        <v>1</v>
      </c>
      <c r="AD158" s="299">
        <v>86.2</v>
      </c>
      <c r="AE158" s="299">
        <v>11.4</v>
      </c>
      <c r="AF158" s="298">
        <f>AE158/(AD158/100)^2</f>
        <v>15.342294668956349</v>
      </c>
      <c r="AG158" s="299">
        <v>10.4</v>
      </c>
      <c r="AH158" s="299">
        <v>25.8</v>
      </c>
      <c r="AI158" s="299">
        <v>17.399999999999999</v>
      </c>
      <c r="AJ158" s="301">
        <v>0</v>
      </c>
      <c r="AK158" s="301">
        <v>1</v>
      </c>
      <c r="AL158" s="305">
        <v>0</v>
      </c>
      <c r="AM158" s="305">
        <v>2</v>
      </c>
      <c r="AN158" s="307">
        <v>1</v>
      </c>
    </row>
    <row r="159" spans="1:40" ht="16">
      <c r="A159" s="2" t="s">
        <v>655</v>
      </c>
      <c r="B159" s="2">
        <v>22107905</v>
      </c>
      <c r="C159" s="2" t="s">
        <v>656</v>
      </c>
      <c r="D159" s="2" t="s">
        <v>657</v>
      </c>
      <c r="E159" s="2">
        <v>1</v>
      </c>
      <c r="F159" s="23">
        <v>44349</v>
      </c>
      <c r="G159" s="23">
        <v>44360</v>
      </c>
      <c r="H159" s="23">
        <v>44349</v>
      </c>
      <c r="I159" s="2" t="s">
        <v>658</v>
      </c>
      <c r="J159" s="4">
        <v>3180</v>
      </c>
      <c r="K159" s="56" t="s">
        <v>659</v>
      </c>
      <c r="L159" s="23">
        <v>44579</v>
      </c>
      <c r="M159" s="238">
        <f t="shared" si="20"/>
        <v>0.63013698630136983</v>
      </c>
      <c r="N159" s="23">
        <v>44579</v>
      </c>
      <c r="O159" s="238">
        <f t="shared" si="21"/>
        <v>0.63013698630136983</v>
      </c>
      <c r="P159" s="23">
        <v>44577</v>
      </c>
      <c r="Q159" s="238">
        <f t="shared" si="22"/>
        <v>0.62465753424657533</v>
      </c>
      <c r="R159" s="23">
        <v>44579</v>
      </c>
      <c r="S159" s="238">
        <f t="shared" si="23"/>
        <v>0.63013698630136983</v>
      </c>
      <c r="T159" s="40"/>
      <c r="U159" s="241">
        <f t="shared" si="24"/>
        <v>-121.50410958904109</v>
      </c>
      <c r="V159" s="40">
        <v>45181</v>
      </c>
      <c r="W159" s="241">
        <f t="shared" si="25"/>
        <v>2.2794520547945205</v>
      </c>
      <c r="X159" s="40">
        <v>45178</v>
      </c>
      <c r="Y159" s="241">
        <f t="shared" si="26"/>
        <v>2.2712328767123289</v>
      </c>
      <c r="Z159" s="40"/>
      <c r="AA159" s="241">
        <f t="shared" si="27"/>
        <v>-121.50410958904109</v>
      </c>
      <c r="AB159" s="308">
        <v>0</v>
      </c>
      <c r="AC159">
        <v>0</v>
      </c>
      <c r="AD159" s="299">
        <v>94.5</v>
      </c>
      <c r="AE159" s="299">
        <v>13.1</v>
      </c>
      <c r="AF159" s="298">
        <f>AE159/(AD159/100)^2</f>
        <v>14.669242182469697</v>
      </c>
      <c r="AG159" s="299">
        <v>49</v>
      </c>
      <c r="AH159" s="299">
        <v>93</v>
      </c>
      <c r="AI159" s="299">
        <v>5.6</v>
      </c>
      <c r="AJ159" s="301">
        <v>0</v>
      </c>
      <c r="AK159" s="301">
        <v>1</v>
      </c>
      <c r="AL159" s="305">
        <v>0</v>
      </c>
      <c r="AM159" s="305">
        <v>0</v>
      </c>
      <c r="AN159" s="307">
        <v>0</v>
      </c>
    </row>
    <row r="160" spans="1:40" ht="16">
      <c r="A160" s="2" t="s">
        <v>660</v>
      </c>
      <c r="B160" s="2">
        <v>22105736</v>
      </c>
      <c r="C160" s="52" t="s">
        <v>661</v>
      </c>
      <c r="D160" s="2" t="s">
        <v>662</v>
      </c>
      <c r="E160" s="2">
        <v>1</v>
      </c>
      <c r="F160" s="23">
        <v>44138</v>
      </c>
      <c r="G160" s="23">
        <v>44229</v>
      </c>
      <c r="H160" s="23">
        <v>44229</v>
      </c>
      <c r="I160" s="2">
        <v>27</v>
      </c>
      <c r="J160" s="4">
        <v>960</v>
      </c>
      <c r="K160" s="56" t="s">
        <v>663</v>
      </c>
      <c r="L160" s="23">
        <v>44586</v>
      </c>
      <c r="M160" s="238">
        <f t="shared" si="20"/>
        <v>0.9780821917808219</v>
      </c>
      <c r="N160" s="23">
        <v>44586</v>
      </c>
      <c r="O160" s="238">
        <f t="shared" si="21"/>
        <v>0.9780821917808219</v>
      </c>
      <c r="P160" s="23">
        <v>44582</v>
      </c>
      <c r="Q160" s="238">
        <f t="shared" si="22"/>
        <v>0.9671232876712329</v>
      </c>
      <c r="R160" s="23">
        <v>44586</v>
      </c>
      <c r="S160" s="238">
        <f t="shared" si="23"/>
        <v>0.9780821917808219</v>
      </c>
      <c r="T160" s="95">
        <v>44993</v>
      </c>
      <c r="U160" s="246">
        <f t="shared" si="24"/>
        <v>2.0931506849315067</v>
      </c>
      <c r="V160" s="95">
        <v>45024</v>
      </c>
      <c r="W160" s="246">
        <f t="shared" si="25"/>
        <v>2.1780821917808217</v>
      </c>
      <c r="X160" s="95">
        <v>44981</v>
      </c>
      <c r="Y160" s="246">
        <f t="shared" si="26"/>
        <v>2.0602739726027397</v>
      </c>
      <c r="Z160" s="95">
        <v>44993</v>
      </c>
      <c r="AA160" s="246">
        <f t="shared" si="27"/>
        <v>2.0931506849315067</v>
      </c>
      <c r="AB160" s="308">
        <v>2</v>
      </c>
      <c r="AC160">
        <v>1</v>
      </c>
      <c r="AD160" s="299">
        <v>81.900000000000006</v>
      </c>
      <c r="AE160" s="299">
        <v>11.2</v>
      </c>
      <c r="AF160" s="298">
        <f>AE160/(AD160/100)^2</f>
        <v>16.697452594888489</v>
      </c>
      <c r="AG160" s="299">
        <v>10.199999999999999</v>
      </c>
      <c r="AH160" s="299">
        <v>6.2</v>
      </c>
      <c r="AI160" s="299">
        <v>55.5</v>
      </c>
      <c r="AJ160" s="301">
        <v>0</v>
      </c>
      <c r="AK160" s="301">
        <v>1</v>
      </c>
      <c r="AL160" s="305">
        <v>0</v>
      </c>
      <c r="AM160" s="305">
        <v>0</v>
      </c>
      <c r="AN160" s="307">
        <v>0</v>
      </c>
    </row>
    <row r="161" spans="1:40" ht="16">
      <c r="A161" s="2" t="s">
        <v>664</v>
      </c>
      <c r="B161" s="2">
        <v>22105737</v>
      </c>
      <c r="C161" s="39" t="s">
        <v>665</v>
      </c>
      <c r="D161" s="2" t="s">
        <v>666</v>
      </c>
      <c r="E161" s="2">
        <v>0</v>
      </c>
      <c r="F161" s="23">
        <v>44138</v>
      </c>
      <c r="G161" s="23">
        <v>44229</v>
      </c>
      <c r="H161" s="23">
        <v>44229</v>
      </c>
      <c r="I161" s="2">
        <v>27</v>
      </c>
      <c r="J161" s="4">
        <v>800</v>
      </c>
      <c r="K161" s="56" t="s">
        <v>663</v>
      </c>
      <c r="L161" s="23">
        <v>44586</v>
      </c>
      <c r="M161" s="238">
        <f t="shared" si="20"/>
        <v>0.9780821917808219</v>
      </c>
      <c r="N161" s="23">
        <v>44586</v>
      </c>
      <c r="O161" s="238">
        <f t="shared" si="21"/>
        <v>0.9780821917808219</v>
      </c>
      <c r="P161" s="23">
        <v>44582</v>
      </c>
      <c r="Q161" s="238">
        <f t="shared" si="22"/>
        <v>0.9671232876712329</v>
      </c>
      <c r="R161" s="23">
        <v>44586</v>
      </c>
      <c r="S161" s="238">
        <f t="shared" si="23"/>
        <v>0.9780821917808219</v>
      </c>
      <c r="T161" s="95">
        <v>44993</v>
      </c>
      <c r="U161" s="246">
        <f t="shared" si="24"/>
        <v>2.0931506849315067</v>
      </c>
      <c r="V161" s="95">
        <v>45024</v>
      </c>
      <c r="W161" s="246">
        <f t="shared" si="25"/>
        <v>2.1780821917808217</v>
      </c>
      <c r="X161" s="95">
        <v>44981</v>
      </c>
      <c r="Y161" s="246">
        <f t="shared" si="26"/>
        <v>2.0602739726027397</v>
      </c>
      <c r="Z161" s="95">
        <v>44993</v>
      </c>
      <c r="AA161" s="246">
        <f t="shared" si="27"/>
        <v>2.0931506849315067</v>
      </c>
      <c r="AB161" s="308">
        <v>2</v>
      </c>
      <c r="AC161">
        <v>2</v>
      </c>
      <c r="AD161" s="299">
        <v>77.8</v>
      </c>
      <c r="AE161" s="299">
        <v>9.4</v>
      </c>
      <c r="AF161" s="298">
        <f>AE161/(AD161/100)^2</f>
        <v>15.529900013877782</v>
      </c>
      <c r="AG161" s="299">
        <v>0.4</v>
      </c>
      <c r="AH161" s="299">
        <v>1.1000000000000001</v>
      </c>
      <c r="AI161" s="299">
        <v>26.6</v>
      </c>
      <c r="AJ161" s="301">
        <v>0</v>
      </c>
      <c r="AK161" s="301">
        <v>1</v>
      </c>
      <c r="AL161" s="305">
        <v>0</v>
      </c>
      <c r="AM161" s="305">
        <v>0</v>
      </c>
      <c r="AN161" s="307">
        <v>1</v>
      </c>
    </row>
    <row r="162" spans="1:40" ht="16">
      <c r="A162" s="2" t="s">
        <v>667</v>
      </c>
      <c r="B162" s="2">
        <v>22107737</v>
      </c>
      <c r="C162" s="2" t="s">
        <v>668</v>
      </c>
      <c r="D162" s="2" t="s">
        <v>339</v>
      </c>
      <c r="E162" s="2">
        <v>0</v>
      </c>
      <c r="F162" s="23">
        <v>44330</v>
      </c>
      <c r="G162" s="44">
        <v>44330</v>
      </c>
      <c r="H162" s="23">
        <v>44330</v>
      </c>
      <c r="I162" s="2">
        <v>39</v>
      </c>
      <c r="J162" s="4">
        <v>2670</v>
      </c>
      <c r="K162" s="27" t="s">
        <v>669</v>
      </c>
      <c r="L162" s="20" t="s">
        <v>2215</v>
      </c>
      <c r="M162" s="240" t="e">
        <f t="shared" si="20"/>
        <v>#VALUE!</v>
      </c>
      <c r="N162" s="20" t="s">
        <v>2215</v>
      </c>
      <c r="O162" s="240" t="e">
        <f t="shared" si="21"/>
        <v>#VALUE!</v>
      </c>
      <c r="P162" s="20" t="s">
        <v>2215</v>
      </c>
      <c r="Q162" s="240" t="e">
        <f t="shared" si="22"/>
        <v>#VALUE!</v>
      </c>
      <c r="R162" s="20" t="s">
        <v>2215</v>
      </c>
      <c r="S162" s="240" t="e">
        <f t="shared" si="23"/>
        <v>#VALUE!</v>
      </c>
      <c r="T162" s="25" t="s">
        <v>1955</v>
      </c>
      <c r="U162" s="248" t="e">
        <f t="shared" si="24"/>
        <v>#VALUE!</v>
      </c>
      <c r="V162" s="25" t="s">
        <v>1955</v>
      </c>
      <c r="W162" s="248" t="e">
        <f t="shared" si="25"/>
        <v>#VALUE!</v>
      </c>
      <c r="X162" s="25" t="s">
        <v>1955</v>
      </c>
      <c r="Y162" s="248" t="e">
        <f t="shared" si="26"/>
        <v>#VALUE!</v>
      </c>
      <c r="Z162" s="25" t="s">
        <v>1955</v>
      </c>
      <c r="AA162" s="248" t="e">
        <f t="shared" si="27"/>
        <v>#VALUE!</v>
      </c>
      <c r="AB162" s="308">
        <v>0</v>
      </c>
      <c r="AC162" s="309">
        <v>0</v>
      </c>
      <c r="AD162" s="302"/>
      <c r="AE162" s="302"/>
      <c r="AF162" s="303"/>
      <c r="AG162" s="302"/>
      <c r="AH162" s="302"/>
      <c r="AI162" s="302"/>
      <c r="AJ162" s="304"/>
      <c r="AK162" s="304"/>
      <c r="AL162" s="306"/>
      <c r="AM162" s="306"/>
      <c r="AN162" s="307">
        <v>0</v>
      </c>
    </row>
    <row r="163" spans="1:40" ht="16">
      <c r="A163" s="2" t="s">
        <v>670</v>
      </c>
      <c r="B163" s="2">
        <v>22107854</v>
      </c>
      <c r="C163" s="2" t="s">
        <v>671</v>
      </c>
      <c r="D163" s="2" t="s">
        <v>409</v>
      </c>
      <c r="E163" s="2">
        <v>0</v>
      </c>
      <c r="F163" s="23">
        <v>44343</v>
      </c>
      <c r="G163" s="23">
        <v>44352</v>
      </c>
      <c r="H163" s="23">
        <v>44343</v>
      </c>
      <c r="I163" s="2" t="s">
        <v>155</v>
      </c>
      <c r="J163" s="4">
        <v>4240</v>
      </c>
      <c r="K163" s="56" t="s">
        <v>672</v>
      </c>
      <c r="L163" s="23">
        <v>44547</v>
      </c>
      <c r="M163" s="238">
        <f t="shared" si="20"/>
        <v>0.55890410958904113</v>
      </c>
      <c r="N163" s="23">
        <v>44582</v>
      </c>
      <c r="O163" s="238">
        <f t="shared" si="21"/>
        <v>0.65479452054794518</v>
      </c>
      <c r="P163" s="23">
        <v>44583</v>
      </c>
      <c r="Q163" s="238">
        <f t="shared" si="22"/>
        <v>0.65753424657534243</v>
      </c>
      <c r="R163" s="23">
        <v>44547</v>
      </c>
      <c r="S163" s="238">
        <f t="shared" si="23"/>
        <v>0.55890410958904113</v>
      </c>
      <c r="T163" s="40">
        <v>45258</v>
      </c>
      <c r="U163" s="241">
        <f t="shared" si="24"/>
        <v>2.506849315068493</v>
      </c>
      <c r="V163" s="40">
        <v>45166</v>
      </c>
      <c r="W163" s="241">
        <f t="shared" si="25"/>
        <v>2.2547945205479452</v>
      </c>
      <c r="X163" s="40">
        <v>45166</v>
      </c>
      <c r="Y163" s="241">
        <f t="shared" si="26"/>
        <v>2.2547945205479452</v>
      </c>
      <c r="Z163" s="40"/>
      <c r="AA163" s="241">
        <f t="shared" si="27"/>
        <v>-121.48767123287671</v>
      </c>
      <c r="AB163" s="308">
        <v>0</v>
      </c>
      <c r="AC163">
        <v>0</v>
      </c>
      <c r="AD163" s="299">
        <v>86.2</v>
      </c>
      <c r="AE163" s="299">
        <v>13</v>
      </c>
      <c r="AF163" s="298">
        <f>AE163/(AD163/100)^2</f>
        <v>17.495599183897589</v>
      </c>
      <c r="AG163" s="299">
        <v>63.2</v>
      </c>
      <c r="AH163" s="299">
        <v>35.200000000000003</v>
      </c>
      <c r="AI163" s="299">
        <v>80.900000000000006</v>
      </c>
      <c r="AJ163" s="301">
        <v>0</v>
      </c>
      <c r="AK163" s="301">
        <v>1</v>
      </c>
      <c r="AL163" s="305">
        <v>0</v>
      </c>
      <c r="AM163" s="305">
        <v>2</v>
      </c>
      <c r="AN163" s="307">
        <v>0</v>
      </c>
    </row>
    <row r="164" spans="1:40" ht="16">
      <c r="A164" s="2" t="s">
        <v>673</v>
      </c>
      <c r="B164" s="2">
        <v>22101304</v>
      </c>
      <c r="C164" s="2" t="s">
        <v>674</v>
      </c>
      <c r="D164" s="2" t="s">
        <v>675</v>
      </c>
      <c r="E164" s="2">
        <v>1</v>
      </c>
      <c r="F164" s="23">
        <v>43720</v>
      </c>
      <c r="G164" s="23">
        <v>43797</v>
      </c>
      <c r="H164" s="23">
        <v>43797</v>
      </c>
      <c r="I164" s="2">
        <v>29</v>
      </c>
      <c r="J164" s="4">
        <v>1190</v>
      </c>
      <c r="K164" s="56" t="s">
        <v>676</v>
      </c>
      <c r="L164" s="16" t="s">
        <v>1995</v>
      </c>
      <c r="M164" s="239" t="e">
        <f t="shared" si="20"/>
        <v>#VALUE!</v>
      </c>
      <c r="N164" s="16" t="s">
        <v>1995</v>
      </c>
      <c r="O164" s="239" t="e">
        <f t="shared" si="21"/>
        <v>#VALUE!</v>
      </c>
      <c r="P164" s="16" t="s">
        <v>1995</v>
      </c>
      <c r="Q164" s="239" t="e">
        <f t="shared" si="22"/>
        <v>#VALUE!</v>
      </c>
      <c r="R164" s="16" t="s">
        <v>1995</v>
      </c>
      <c r="S164" s="239" t="e">
        <f t="shared" si="23"/>
        <v>#VALUE!</v>
      </c>
      <c r="T164" s="95">
        <v>44547</v>
      </c>
      <c r="U164" s="246">
        <f t="shared" si="24"/>
        <v>2.0547945205479454</v>
      </c>
      <c r="V164" s="95">
        <v>44558</v>
      </c>
      <c r="W164" s="246">
        <f t="shared" si="25"/>
        <v>2.0849315068493151</v>
      </c>
      <c r="X164" s="95">
        <v>44550</v>
      </c>
      <c r="Y164" s="246">
        <f t="shared" si="26"/>
        <v>2.0630136986301371</v>
      </c>
      <c r="Z164" s="95">
        <v>44547</v>
      </c>
      <c r="AA164" s="246">
        <f t="shared" si="27"/>
        <v>2.0547945205479454</v>
      </c>
      <c r="AB164" s="308">
        <v>1</v>
      </c>
      <c r="AC164">
        <v>1</v>
      </c>
      <c r="AD164" s="299">
        <v>82.5</v>
      </c>
      <c r="AE164" s="299">
        <v>9.8000000000000007</v>
      </c>
      <c r="AF164" s="298">
        <f>AE164/(AD164/100)^2</f>
        <v>14.398530762167129</v>
      </c>
      <c r="AG164" s="299">
        <v>0.6</v>
      </c>
      <c r="AH164" s="299">
        <v>10.3</v>
      </c>
      <c r="AI164" s="299">
        <v>2.2999999999999998</v>
      </c>
      <c r="AJ164" s="301">
        <v>0</v>
      </c>
      <c r="AK164" s="301">
        <v>1</v>
      </c>
      <c r="AL164" s="305">
        <v>2</v>
      </c>
      <c r="AM164" s="305">
        <v>2</v>
      </c>
      <c r="AN164" s="307">
        <v>0</v>
      </c>
    </row>
    <row r="165" spans="1:40" ht="16">
      <c r="A165" s="2" t="s">
        <v>677</v>
      </c>
      <c r="B165" s="2">
        <v>22109289</v>
      </c>
      <c r="C165" s="39" t="s">
        <v>678</v>
      </c>
      <c r="D165" s="2" t="s">
        <v>679</v>
      </c>
      <c r="E165" s="2">
        <v>0</v>
      </c>
      <c r="F165" s="23">
        <v>44501</v>
      </c>
      <c r="G165" s="23">
        <v>44561</v>
      </c>
      <c r="H165" s="23">
        <v>44561</v>
      </c>
      <c r="I165" s="2" t="s">
        <v>105</v>
      </c>
      <c r="J165" s="4">
        <v>1630</v>
      </c>
      <c r="K165" s="56" t="s">
        <v>680</v>
      </c>
      <c r="L165" s="17" t="s">
        <v>2400</v>
      </c>
      <c r="M165" s="241" t="e">
        <f t="shared" si="20"/>
        <v>#VALUE!</v>
      </c>
      <c r="N165" s="40">
        <v>44733</v>
      </c>
      <c r="O165" s="241">
        <f t="shared" si="21"/>
        <v>0.47123287671232877</v>
      </c>
      <c r="P165" s="40">
        <v>44731</v>
      </c>
      <c r="Q165" s="241">
        <f t="shared" si="22"/>
        <v>0.46575342465753422</v>
      </c>
      <c r="R165" s="40">
        <v>44733</v>
      </c>
      <c r="S165" s="241">
        <f t="shared" si="23"/>
        <v>0.47123287671232877</v>
      </c>
      <c r="T165" s="25"/>
      <c r="U165" s="248">
        <f t="shared" si="24"/>
        <v>-122.08493150684932</v>
      </c>
      <c r="V165" s="25"/>
      <c r="W165" s="248">
        <f t="shared" si="25"/>
        <v>-122.08493150684932</v>
      </c>
      <c r="X165" s="25"/>
      <c r="Y165" s="248">
        <f t="shared" si="26"/>
        <v>-122.08493150684932</v>
      </c>
      <c r="Z165" s="25"/>
      <c r="AA165" s="248">
        <f t="shared" si="27"/>
        <v>-122.08493150684932</v>
      </c>
      <c r="AB165" s="308">
        <v>1</v>
      </c>
      <c r="AC165">
        <v>1</v>
      </c>
      <c r="AD165" s="302"/>
      <c r="AE165" s="302"/>
      <c r="AF165" s="303"/>
      <c r="AG165" s="302"/>
      <c r="AH165" s="302"/>
      <c r="AI165" s="302"/>
      <c r="AJ165" s="304"/>
      <c r="AK165" s="304"/>
      <c r="AL165" s="306"/>
      <c r="AM165" s="306"/>
      <c r="AN165" s="307">
        <v>0</v>
      </c>
    </row>
    <row r="166" spans="1:40" ht="16">
      <c r="A166" s="2" t="s">
        <v>681</v>
      </c>
      <c r="B166" s="2">
        <v>22109290</v>
      </c>
      <c r="C166" s="39" t="s">
        <v>682</v>
      </c>
      <c r="D166" s="2" t="s">
        <v>346</v>
      </c>
      <c r="E166" s="2">
        <v>1</v>
      </c>
      <c r="F166" s="23">
        <v>44501</v>
      </c>
      <c r="G166" s="23">
        <v>44561</v>
      </c>
      <c r="H166" s="23">
        <v>44561</v>
      </c>
      <c r="I166" s="2" t="s">
        <v>105</v>
      </c>
      <c r="J166" s="4">
        <v>1780</v>
      </c>
      <c r="K166" s="56" t="s">
        <v>680</v>
      </c>
      <c r="L166" s="17" t="s">
        <v>2400</v>
      </c>
      <c r="M166" s="241" t="e">
        <f t="shared" si="20"/>
        <v>#VALUE!</v>
      </c>
      <c r="N166" s="40">
        <v>44733</v>
      </c>
      <c r="O166" s="241">
        <f t="shared" si="21"/>
        <v>0.47123287671232877</v>
      </c>
      <c r="P166" s="40">
        <v>44731</v>
      </c>
      <c r="Q166" s="241">
        <f t="shared" si="22"/>
        <v>0.46575342465753422</v>
      </c>
      <c r="R166" s="40">
        <v>44733</v>
      </c>
      <c r="S166" s="241">
        <f t="shared" si="23"/>
        <v>0.47123287671232877</v>
      </c>
      <c r="T166" s="25"/>
      <c r="U166" s="248">
        <f t="shared" si="24"/>
        <v>-122.08493150684932</v>
      </c>
      <c r="V166" s="25"/>
      <c r="W166" s="248">
        <f t="shared" si="25"/>
        <v>-122.08493150684932</v>
      </c>
      <c r="X166" s="25"/>
      <c r="Y166" s="248">
        <f t="shared" si="26"/>
        <v>-122.08493150684932</v>
      </c>
      <c r="Z166" s="25"/>
      <c r="AA166" s="248">
        <f t="shared" si="27"/>
        <v>-122.08493150684932</v>
      </c>
      <c r="AB166" s="308">
        <v>1</v>
      </c>
      <c r="AC166">
        <v>1</v>
      </c>
      <c r="AD166" s="302"/>
      <c r="AE166" s="302"/>
      <c r="AF166" s="303"/>
      <c r="AG166" s="302"/>
      <c r="AH166" s="302"/>
      <c r="AI166" s="302"/>
      <c r="AJ166" s="304"/>
      <c r="AK166" s="304"/>
      <c r="AL166" s="306"/>
      <c r="AM166" s="306"/>
      <c r="AN166" s="307">
        <v>0</v>
      </c>
    </row>
    <row r="167" spans="1:40" ht="16">
      <c r="A167" s="2" t="s">
        <v>683</v>
      </c>
      <c r="B167" s="2">
        <v>22108656</v>
      </c>
      <c r="C167" s="2" t="s">
        <v>684</v>
      </c>
      <c r="D167" s="2" t="s">
        <v>118</v>
      </c>
      <c r="E167" s="2">
        <v>1</v>
      </c>
      <c r="F167" s="23">
        <v>44428</v>
      </c>
      <c r="G167" s="23">
        <v>44434</v>
      </c>
      <c r="H167" s="23">
        <v>44428</v>
      </c>
      <c r="I167" s="2" t="s">
        <v>110</v>
      </c>
      <c r="J167" s="4">
        <v>2850</v>
      </c>
      <c r="K167" s="56" t="s">
        <v>685</v>
      </c>
      <c r="L167" s="23">
        <v>44603</v>
      </c>
      <c r="M167" s="238">
        <f t="shared" si="20"/>
        <v>0.47945205479452052</v>
      </c>
      <c r="N167" s="23">
        <v>44603</v>
      </c>
      <c r="O167" s="238">
        <f t="shared" si="21"/>
        <v>0.47945205479452052</v>
      </c>
      <c r="P167" s="23">
        <v>44599</v>
      </c>
      <c r="Q167" s="238">
        <f t="shared" si="22"/>
        <v>0.46849315068493153</v>
      </c>
      <c r="R167" s="23">
        <v>44603</v>
      </c>
      <c r="S167" s="238">
        <f t="shared" si="23"/>
        <v>0.47945205479452052</v>
      </c>
      <c r="T167" s="17"/>
      <c r="U167" s="241">
        <f t="shared" si="24"/>
        <v>-121.72054794520548</v>
      </c>
      <c r="V167" s="40">
        <v>45261</v>
      </c>
      <c r="W167" s="241">
        <f t="shared" si="25"/>
        <v>2.2821917808219179</v>
      </c>
      <c r="X167" s="40">
        <v>45257</v>
      </c>
      <c r="Y167" s="241">
        <f t="shared" si="26"/>
        <v>2.2712328767123289</v>
      </c>
      <c r="Z167" s="17"/>
      <c r="AA167" s="241">
        <f t="shared" si="27"/>
        <v>-121.72054794520548</v>
      </c>
      <c r="AB167" s="308">
        <v>0</v>
      </c>
      <c r="AC167">
        <v>0</v>
      </c>
      <c r="AD167" s="299">
        <v>86.8</v>
      </c>
      <c r="AE167" s="299">
        <v>11.6</v>
      </c>
      <c r="AF167" s="298">
        <f>AE167/(AD167/100)^2</f>
        <v>15.396377073201808</v>
      </c>
      <c r="AG167" s="299">
        <v>12.2</v>
      </c>
      <c r="AH167" s="299">
        <v>26.5</v>
      </c>
      <c r="AI167" s="299">
        <v>19.600000000000001</v>
      </c>
      <c r="AJ167" s="301">
        <v>0</v>
      </c>
      <c r="AK167" s="301">
        <v>1</v>
      </c>
      <c r="AL167" s="305">
        <v>0</v>
      </c>
      <c r="AM167" s="305">
        <v>0</v>
      </c>
      <c r="AN167" s="307">
        <v>0</v>
      </c>
    </row>
    <row r="168" spans="1:40" ht="16">
      <c r="A168" s="2" t="s">
        <v>686</v>
      </c>
      <c r="B168" s="2">
        <v>22105237</v>
      </c>
      <c r="C168" s="2" t="s">
        <v>687</v>
      </c>
      <c r="D168" s="2" t="s">
        <v>688</v>
      </c>
      <c r="E168" s="2">
        <v>1</v>
      </c>
      <c r="F168" s="23">
        <v>44086</v>
      </c>
      <c r="G168" s="23">
        <v>44184</v>
      </c>
      <c r="H168" s="23">
        <v>44184</v>
      </c>
      <c r="I168" s="2">
        <v>26</v>
      </c>
      <c r="J168" s="4">
        <v>822</v>
      </c>
      <c r="K168" s="56" t="s">
        <v>689</v>
      </c>
      <c r="L168" s="23">
        <v>44567</v>
      </c>
      <c r="M168" s="238">
        <f t="shared" si="20"/>
        <v>1.0493150684931507</v>
      </c>
      <c r="N168" s="23">
        <v>44567</v>
      </c>
      <c r="O168" s="238">
        <f t="shared" si="21"/>
        <v>1.0493150684931507</v>
      </c>
      <c r="P168" s="23">
        <v>44564</v>
      </c>
      <c r="Q168" s="238">
        <f t="shared" si="22"/>
        <v>1.0410958904109588</v>
      </c>
      <c r="R168" s="23">
        <v>44567</v>
      </c>
      <c r="S168" s="238">
        <f t="shared" si="23"/>
        <v>1.0493150684931507</v>
      </c>
      <c r="T168" s="46" t="s">
        <v>1718</v>
      </c>
      <c r="U168" s="244" t="e">
        <f t="shared" si="24"/>
        <v>#VALUE!</v>
      </c>
      <c r="V168" s="40" t="s">
        <v>1720</v>
      </c>
      <c r="W168" s="241" t="e">
        <f t="shared" si="25"/>
        <v>#VALUE!</v>
      </c>
      <c r="X168" s="40">
        <v>44928</v>
      </c>
      <c r="Y168" s="241">
        <f t="shared" si="26"/>
        <v>2.0383561643835617</v>
      </c>
      <c r="Z168" s="40">
        <v>44957</v>
      </c>
      <c r="AA168" s="241">
        <f t="shared" si="27"/>
        <v>2.117808219178082</v>
      </c>
      <c r="AB168" s="308">
        <v>2</v>
      </c>
      <c r="AC168">
        <v>2</v>
      </c>
      <c r="AD168" s="299">
        <v>85.2</v>
      </c>
      <c r="AE168" s="299">
        <v>10.9</v>
      </c>
      <c r="AF168" s="298">
        <f>AE168/(AD168/100)^2</f>
        <v>15.015759659679517</v>
      </c>
      <c r="AG168" s="299">
        <v>6</v>
      </c>
      <c r="AH168" s="299">
        <v>19</v>
      </c>
      <c r="AI168" s="299">
        <v>9.6999999999999993</v>
      </c>
      <c r="AJ168" s="301">
        <v>0</v>
      </c>
      <c r="AK168" s="301">
        <v>3</v>
      </c>
      <c r="AL168" s="305">
        <v>0</v>
      </c>
      <c r="AM168" s="305">
        <v>2</v>
      </c>
      <c r="AN168" s="307">
        <v>1</v>
      </c>
    </row>
    <row r="169" spans="1:40" ht="16">
      <c r="A169" s="2" t="s">
        <v>690</v>
      </c>
      <c r="B169" s="2">
        <v>22108457</v>
      </c>
      <c r="C169" s="2" t="s">
        <v>691</v>
      </c>
      <c r="D169" s="2" t="s">
        <v>692</v>
      </c>
      <c r="E169" s="2">
        <v>1</v>
      </c>
      <c r="F169" s="23">
        <v>44406</v>
      </c>
      <c r="G169" s="44">
        <v>44406</v>
      </c>
      <c r="H169" s="23">
        <v>44406</v>
      </c>
      <c r="I169" s="2">
        <v>38</v>
      </c>
      <c r="J169" s="4">
        <v>2970</v>
      </c>
      <c r="K169" s="27" t="s">
        <v>693</v>
      </c>
      <c r="L169" s="20" t="s">
        <v>2215</v>
      </c>
      <c r="M169" s="240" t="e">
        <f t="shared" si="20"/>
        <v>#VALUE!</v>
      </c>
      <c r="N169" s="20" t="s">
        <v>2215</v>
      </c>
      <c r="O169" s="240" t="e">
        <f t="shared" si="21"/>
        <v>#VALUE!</v>
      </c>
      <c r="P169" s="20" t="s">
        <v>2215</v>
      </c>
      <c r="Q169" s="240" t="e">
        <f t="shared" si="22"/>
        <v>#VALUE!</v>
      </c>
      <c r="R169" s="20" t="s">
        <v>2215</v>
      </c>
      <c r="S169" s="240" t="e">
        <f t="shared" si="23"/>
        <v>#VALUE!</v>
      </c>
      <c r="T169" s="25" t="s">
        <v>1955</v>
      </c>
      <c r="U169" s="248" t="e">
        <f t="shared" si="24"/>
        <v>#VALUE!</v>
      </c>
      <c r="V169" s="25" t="s">
        <v>1955</v>
      </c>
      <c r="W169" s="248" t="e">
        <f t="shared" si="25"/>
        <v>#VALUE!</v>
      </c>
      <c r="X169" s="25" t="s">
        <v>1955</v>
      </c>
      <c r="Y169" s="248" t="e">
        <f t="shared" si="26"/>
        <v>#VALUE!</v>
      </c>
      <c r="Z169" s="25" t="s">
        <v>1955</v>
      </c>
      <c r="AA169" s="248" t="e">
        <f t="shared" si="27"/>
        <v>#VALUE!</v>
      </c>
      <c r="AB169" s="308">
        <v>0</v>
      </c>
      <c r="AC169" s="309">
        <v>0</v>
      </c>
      <c r="AD169" s="302"/>
      <c r="AE169" s="302"/>
      <c r="AF169" s="303"/>
      <c r="AG169" s="302"/>
      <c r="AH169" s="302"/>
      <c r="AI169" s="302"/>
      <c r="AJ169" s="304"/>
      <c r="AK169" s="304"/>
      <c r="AL169" s="306"/>
      <c r="AM169" s="306"/>
      <c r="AN169" s="307">
        <v>0</v>
      </c>
    </row>
    <row r="170" spans="1:40" ht="16">
      <c r="A170" s="2" t="s">
        <v>694</v>
      </c>
      <c r="B170" s="2">
        <v>22109237</v>
      </c>
      <c r="C170" s="2" t="s">
        <v>695</v>
      </c>
      <c r="D170" s="2" t="s">
        <v>696</v>
      </c>
      <c r="E170" s="2">
        <v>1</v>
      </c>
      <c r="F170" s="23">
        <v>44496</v>
      </c>
      <c r="G170" s="23">
        <v>44509</v>
      </c>
      <c r="H170" s="23">
        <v>44496</v>
      </c>
      <c r="I170" s="2" t="s">
        <v>697</v>
      </c>
      <c r="J170" s="4">
        <v>3350</v>
      </c>
      <c r="K170" s="56" t="s">
        <v>698</v>
      </c>
      <c r="L170" s="23">
        <v>44692</v>
      </c>
      <c r="M170" s="238">
        <f t="shared" si="20"/>
        <v>0.53698630136986303</v>
      </c>
      <c r="N170" s="23">
        <v>44692</v>
      </c>
      <c r="O170" s="238">
        <f t="shared" si="21"/>
        <v>0.53698630136986303</v>
      </c>
      <c r="P170" s="23">
        <v>44769</v>
      </c>
      <c r="Q170" s="238">
        <f t="shared" si="22"/>
        <v>0.74794520547945209</v>
      </c>
      <c r="R170" s="23">
        <v>44692</v>
      </c>
      <c r="S170" s="238">
        <f t="shared" si="23"/>
        <v>0.53698630136986303</v>
      </c>
      <c r="T170" s="17"/>
      <c r="U170" s="241">
        <f t="shared" si="24"/>
        <v>-121.9068493150685</v>
      </c>
      <c r="V170" s="40">
        <v>45380</v>
      </c>
      <c r="W170" s="241">
        <f t="shared" si="25"/>
        <v>2.4219178082191779</v>
      </c>
      <c r="X170" s="40">
        <v>45379</v>
      </c>
      <c r="Y170" s="241">
        <f t="shared" si="26"/>
        <v>2.419178082191781</v>
      </c>
      <c r="Z170" s="17"/>
      <c r="AA170" s="241">
        <f t="shared" si="27"/>
        <v>-121.9068493150685</v>
      </c>
      <c r="AB170" s="308">
        <v>0</v>
      </c>
      <c r="AC170">
        <v>0</v>
      </c>
      <c r="AD170" s="299">
        <v>89</v>
      </c>
      <c r="AE170" s="299">
        <v>13</v>
      </c>
      <c r="AF170" s="298">
        <f>AE170/(AD170/100)^2</f>
        <v>16.412069183183942</v>
      </c>
      <c r="AG170" s="299">
        <v>40</v>
      </c>
      <c r="AH170" s="299">
        <v>36.200000000000003</v>
      </c>
      <c r="AI170" s="299">
        <v>52.9</v>
      </c>
      <c r="AJ170" s="301">
        <v>0</v>
      </c>
      <c r="AK170" s="301">
        <v>1</v>
      </c>
      <c r="AL170" s="305">
        <v>2</v>
      </c>
      <c r="AM170" s="305">
        <v>0</v>
      </c>
      <c r="AN170" s="307">
        <v>0</v>
      </c>
    </row>
    <row r="171" spans="1:40" ht="16">
      <c r="A171" s="2" t="s">
        <v>699</v>
      </c>
      <c r="B171" s="2">
        <v>22108488</v>
      </c>
      <c r="C171" s="2" t="s">
        <v>700</v>
      </c>
      <c r="D171" s="2" t="s">
        <v>647</v>
      </c>
      <c r="E171" s="2">
        <v>0</v>
      </c>
      <c r="F171" s="23">
        <v>44408</v>
      </c>
      <c r="G171" s="23">
        <v>44493</v>
      </c>
      <c r="H171" s="23">
        <v>44493</v>
      </c>
      <c r="I171" s="2" t="s">
        <v>701</v>
      </c>
      <c r="J171" s="4">
        <v>680</v>
      </c>
      <c r="K171" s="56" t="s">
        <v>702</v>
      </c>
      <c r="L171" s="23">
        <v>44698</v>
      </c>
      <c r="M171" s="238">
        <f t="shared" si="20"/>
        <v>0.56164383561643838</v>
      </c>
      <c r="N171" s="23">
        <v>44701</v>
      </c>
      <c r="O171" s="238">
        <f t="shared" si="21"/>
        <v>0.56986301369863013</v>
      </c>
      <c r="P171" s="23">
        <v>44696</v>
      </c>
      <c r="Q171" s="238">
        <f t="shared" si="22"/>
        <v>0.55616438356164388</v>
      </c>
      <c r="R171" s="23">
        <v>44698</v>
      </c>
      <c r="S171" s="238">
        <f t="shared" si="23"/>
        <v>0.56164383561643838</v>
      </c>
      <c r="T171" s="17"/>
      <c r="U171" s="241">
        <f t="shared" si="24"/>
        <v>-121.8986301369863</v>
      </c>
      <c r="V171" s="40">
        <v>45237</v>
      </c>
      <c r="W171" s="241">
        <f t="shared" si="25"/>
        <v>2.0383561643835617</v>
      </c>
      <c r="X171" s="40">
        <v>45235</v>
      </c>
      <c r="Y171" s="241">
        <f t="shared" si="26"/>
        <v>2.032876712328767</v>
      </c>
      <c r="Z171" s="40">
        <v>45237</v>
      </c>
      <c r="AA171" s="241">
        <f t="shared" si="27"/>
        <v>2.0383561643835617</v>
      </c>
      <c r="AB171" s="308">
        <v>2</v>
      </c>
      <c r="AC171">
        <v>2</v>
      </c>
      <c r="AD171" s="299">
        <v>79.599999999999994</v>
      </c>
      <c r="AE171" s="299">
        <v>8.5</v>
      </c>
      <c r="AF171" s="298">
        <f>AE171/(AD171/100)^2</f>
        <v>13.415065276129393</v>
      </c>
      <c r="AG171" s="299">
        <v>0</v>
      </c>
      <c r="AH171" s="299">
        <v>4.9000000000000004</v>
      </c>
      <c r="AI171" s="299">
        <v>0.5</v>
      </c>
      <c r="AJ171" s="301">
        <v>1</v>
      </c>
      <c r="AK171" s="301">
        <v>1</v>
      </c>
      <c r="AL171" s="305">
        <v>0</v>
      </c>
      <c r="AM171" s="305">
        <v>0</v>
      </c>
      <c r="AN171" s="307">
        <v>1</v>
      </c>
    </row>
    <row r="172" spans="1:40" ht="16">
      <c r="A172" s="2" t="s">
        <v>703</v>
      </c>
      <c r="B172" s="2">
        <v>22107816</v>
      </c>
      <c r="C172" s="2" t="s">
        <v>704</v>
      </c>
      <c r="D172" s="2" t="s">
        <v>705</v>
      </c>
      <c r="E172" s="2">
        <v>0</v>
      </c>
      <c r="F172" s="23">
        <v>44338</v>
      </c>
      <c r="G172" s="23">
        <v>44338</v>
      </c>
      <c r="H172" s="23">
        <v>44338</v>
      </c>
      <c r="I172" s="2">
        <v>40</v>
      </c>
      <c r="J172" s="4">
        <v>3040</v>
      </c>
      <c r="K172" s="56" t="s">
        <v>706</v>
      </c>
      <c r="L172" s="40">
        <v>44565</v>
      </c>
      <c r="M172" s="241">
        <f t="shared" si="20"/>
        <v>0.62191780821917808</v>
      </c>
      <c r="N172" s="17"/>
      <c r="O172" s="241">
        <f t="shared" si="21"/>
        <v>-121.47397260273972</v>
      </c>
      <c r="P172" s="40">
        <v>44573</v>
      </c>
      <c r="Q172" s="241">
        <f t="shared" si="22"/>
        <v>0.64383561643835618</v>
      </c>
      <c r="R172" s="40">
        <v>44565</v>
      </c>
      <c r="S172" s="241">
        <f t="shared" si="23"/>
        <v>0.62191780821917808</v>
      </c>
      <c r="T172" s="95">
        <v>45069</v>
      </c>
      <c r="U172" s="246">
        <f t="shared" si="24"/>
        <v>2.0027397260273974</v>
      </c>
      <c r="V172" s="95">
        <v>45131</v>
      </c>
      <c r="W172" s="246">
        <f t="shared" si="25"/>
        <v>2.1726027397260275</v>
      </c>
      <c r="X172" s="95">
        <v>45069</v>
      </c>
      <c r="Y172" s="246">
        <f t="shared" si="26"/>
        <v>2.0027397260273974</v>
      </c>
      <c r="Z172" s="95">
        <v>45069</v>
      </c>
      <c r="AA172" s="246">
        <f t="shared" si="27"/>
        <v>2.0027397260273974</v>
      </c>
      <c r="AB172" s="308">
        <v>0</v>
      </c>
      <c r="AC172">
        <v>0</v>
      </c>
      <c r="AD172" s="299">
        <v>85</v>
      </c>
      <c r="AE172" s="299">
        <v>11</v>
      </c>
      <c r="AF172" s="298">
        <f>AE172/(AD172/100)^2</f>
        <v>15.224913494809691</v>
      </c>
      <c r="AG172" s="299">
        <v>18</v>
      </c>
      <c r="AH172" s="299">
        <v>47.9</v>
      </c>
      <c r="AI172" s="299">
        <v>18</v>
      </c>
      <c r="AJ172" s="301">
        <v>0</v>
      </c>
      <c r="AK172" s="301">
        <v>1</v>
      </c>
      <c r="AL172" s="305">
        <v>0</v>
      </c>
      <c r="AM172" s="305">
        <v>2</v>
      </c>
      <c r="AN172" s="307">
        <v>0</v>
      </c>
    </row>
    <row r="173" spans="1:40" ht="16">
      <c r="A173" s="2" t="s">
        <v>707</v>
      </c>
      <c r="B173" s="2">
        <v>22109442</v>
      </c>
      <c r="C173" s="2" t="s">
        <v>708</v>
      </c>
      <c r="D173" s="2" t="s">
        <v>709</v>
      </c>
      <c r="E173" s="2">
        <v>1</v>
      </c>
      <c r="F173" s="23">
        <v>44388</v>
      </c>
      <c r="G173" s="23">
        <v>44472</v>
      </c>
      <c r="H173" s="23">
        <v>44472</v>
      </c>
      <c r="I173" s="2">
        <v>28</v>
      </c>
      <c r="J173" s="4">
        <v>955</v>
      </c>
      <c r="K173" s="56" t="s">
        <v>710</v>
      </c>
      <c r="L173" s="23">
        <v>44662</v>
      </c>
      <c r="M173" s="238">
        <f t="shared" si="20"/>
        <v>0.52054794520547942</v>
      </c>
      <c r="N173" s="23">
        <v>44662</v>
      </c>
      <c r="O173" s="238">
        <f t="shared" si="21"/>
        <v>0.52054794520547942</v>
      </c>
      <c r="P173" s="23">
        <v>44659</v>
      </c>
      <c r="Q173" s="238">
        <f t="shared" si="22"/>
        <v>0.51232876712328768</v>
      </c>
      <c r="R173" s="23">
        <v>44657</v>
      </c>
      <c r="S173" s="238">
        <f t="shared" si="23"/>
        <v>0.50684931506849318</v>
      </c>
      <c r="T173" s="25" t="s">
        <v>2545</v>
      </c>
      <c r="U173" s="248" t="e">
        <f t="shared" si="24"/>
        <v>#VALUE!</v>
      </c>
      <c r="V173" s="25" t="s">
        <v>2545</v>
      </c>
      <c r="W173" s="248" t="e">
        <f t="shared" si="25"/>
        <v>#VALUE!</v>
      </c>
      <c r="X173" s="25" t="s">
        <v>2545</v>
      </c>
      <c r="Y173" s="248" t="e">
        <f t="shared" si="26"/>
        <v>#VALUE!</v>
      </c>
      <c r="Z173" s="25" t="s">
        <v>2545</v>
      </c>
      <c r="AA173" s="248" t="e">
        <f t="shared" si="27"/>
        <v>#VALUE!</v>
      </c>
      <c r="AB173" s="308">
        <v>2</v>
      </c>
      <c r="AC173">
        <v>2</v>
      </c>
      <c r="AD173" s="302"/>
      <c r="AE173" s="302"/>
      <c r="AF173" s="303"/>
      <c r="AG173" s="302"/>
      <c r="AH173" s="302"/>
      <c r="AI173" s="302"/>
      <c r="AJ173" s="304"/>
      <c r="AK173" s="304"/>
      <c r="AL173" s="306"/>
      <c r="AM173" s="306"/>
      <c r="AN173" s="307">
        <v>0</v>
      </c>
    </row>
    <row r="174" spans="1:40" ht="16">
      <c r="A174" s="2" t="s">
        <v>711</v>
      </c>
      <c r="B174" s="2">
        <v>22109297</v>
      </c>
      <c r="C174" s="2" t="s">
        <v>712</v>
      </c>
      <c r="D174" s="2" t="s">
        <v>465</v>
      </c>
      <c r="E174" s="2">
        <v>1</v>
      </c>
      <c r="F174" s="23">
        <v>44501</v>
      </c>
      <c r="G174" s="23">
        <v>44512</v>
      </c>
      <c r="H174" s="23">
        <v>44501</v>
      </c>
      <c r="I174" s="2" t="s">
        <v>658</v>
      </c>
      <c r="J174" s="4">
        <v>3120</v>
      </c>
      <c r="K174" s="56" t="s">
        <v>713</v>
      </c>
      <c r="L174" s="23">
        <v>44692</v>
      </c>
      <c r="M174" s="238">
        <f t="shared" si="20"/>
        <v>0.52328767123287667</v>
      </c>
      <c r="N174" s="23">
        <v>44692</v>
      </c>
      <c r="O174" s="238">
        <f t="shared" si="21"/>
        <v>0.52328767123287667</v>
      </c>
      <c r="P174" s="23">
        <v>44691</v>
      </c>
      <c r="Q174" s="238">
        <f t="shared" si="22"/>
        <v>0.52054794520547942</v>
      </c>
      <c r="R174" s="23">
        <v>44692</v>
      </c>
      <c r="S174" s="238">
        <f t="shared" si="23"/>
        <v>0.52328767123287667</v>
      </c>
      <c r="T174" s="95">
        <v>45224</v>
      </c>
      <c r="U174" s="246">
        <f t="shared" si="24"/>
        <v>1.9808219178082191</v>
      </c>
      <c r="V174" s="95">
        <v>45224</v>
      </c>
      <c r="W174" s="246">
        <f t="shared" si="25"/>
        <v>1.9808219178082191</v>
      </c>
      <c r="X174" s="95">
        <v>45224</v>
      </c>
      <c r="Y174" s="246">
        <f t="shared" si="26"/>
        <v>1.9808219178082191</v>
      </c>
      <c r="Z174" s="95">
        <v>45224</v>
      </c>
      <c r="AA174" s="246">
        <f t="shared" si="27"/>
        <v>1.9808219178082191</v>
      </c>
      <c r="AB174" s="308">
        <v>0</v>
      </c>
      <c r="AC174">
        <v>0</v>
      </c>
      <c r="AD174" s="299">
        <v>86.8</v>
      </c>
      <c r="AE174" s="299">
        <v>11.3</v>
      </c>
      <c r="AF174" s="298">
        <f>AE174/(AD174/100)^2</f>
        <v>14.998194907515558</v>
      </c>
      <c r="AG174" s="299">
        <v>15</v>
      </c>
      <c r="AH174" s="299">
        <v>47</v>
      </c>
      <c r="AI174" s="299">
        <v>8.6999999999999993</v>
      </c>
      <c r="AJ174" s="301">
        <v>0</v>
      </c>
      <c r="AK174" s="301">
        <v>1</v>
      </c>
      <c r="AL174" s="305">
        <v>0</v>
      </c>
      <c r="AM174" s="305">
        <v>2</v>
      </c>
      <c r="AN174" s="307">
        <v>0</v>
      </c>
    </row>
    <row r="175" spans="1:40" ht="16">
      <c r="A175" s="2" t="s">
        <v>714</v>
      </c>
      <c r="B175" s="2">
        <v>22103382</v>
      </c>
      <c r="C175" s="2" t="s">
        <v>715</v>
      </c>
      <c r="D175" s="2" t="s">
        <v>716</v>
      </c>
      <c r="E175" s="2">
        <v>1</v>
      </c>
      <c r="F175" s="23">
        <v>43897</v>
      </c>
      <c r="G175" s="23">
        <v>43910</v>
      </c>
      <c r="H175" s="23">
        <v>43897</v>
      </c>
      <c r="I175" s="2" t="s">
        <v>697</v>
      </c>
      <c r="J175" s="4">
        <v>3620</v>
      </c>
      <c r="K175" s="56" t="s">
        <v>717</v>
      </c>
      <c r="L175" s="16" t="s">
        <v>1995</v>
      </c>
      <c r="M175" s="239" t="e">
        <f t="shared" si="20"/>
        <v>#VALUE!</v>
      </c>
      <c r="N175" s="16" t="s">
        <v>1995</v>
      </c>
      <c r="O175" s="239" t="e">
        <f t="shared" si="21"/>
        <v>#VALUE!</v>
      </c>
      <c r="P175" s="16" t="s">
        <v>1995</v>
      </c>
      <c r="Q175" s="239" t="e">
        <f t="shared" si="22"/>
        <v>#VALUE!</v>
      </c>
      <c r="R175" s="16" t="s">
        <v>1995</v>
      </c>
      <c r="S175" s="239" t="e">
        <f t="shared" si="23"/>
        <v>#VALUE!</v>
      </c>
      <c r="T175" s="97">
        <v>44726</v>
      </c>
      <c r="U175" s="251">
        <f t="shared" si="24"/>
        <v>2.2712328767123289</v>
      </c>
      <c r="V175" s="97">
        <v>44725</v>
      </c>
      <c r="W175" s="251">
        <f t="shared" si="25"/>
        <v>2.2684931506849315</v>
      </c>
      <c r="X175" s="97">
        <v>44725</v>
      </c>
      <c r="Y175" s="251">
        <f t="shared" si="26"/>
        <v>2.2684931506849315</v>
      </c>
      <c r="Z175" s="97">
        <v>44726</v>
      </c>
      <c r="AA175" s="251">
        <f t="shared" si="27"/>
        <v>2.2712328767123289</v>
      </c>
      <c r="AB175" s="308">
        <v>0</v>
      </c>
      <c r="AC175">
        <v>0</v>
      </c>
      <c r="AD175" s="299">
        <v>90.6</v>
      </c>
      <c r="AE175" s="299">
        <v>12.7</v>
      </c>
      <c r="AF175" s="310">
        <f>AE175/(AD175/100)^2</f>
        <v>15.472030953808069</v>
      </c>
      <c r="AG175" s="299">
        <v>38.200000000000003</v>
      </c>
      <c r="AH175" s="299">
        <v>67.2</v>
      </c>
      <c r="AI175" s="317">
        <v>21.3</v>
      </c>
      <c r="AJ175" s="301">
        <v>0</v>
      </c>
      <c r="AK175" s="301">
        <v>3</v>
      </c>
      <c r="AL175" s="305">
        <v>2</v>
      </c>
      <c r="AM175" s="305">
        <v>0</v>
      </c>
      <c r="AN175" s="307">
        <v>0</v>
      </c>
    </row>
    <row r="176" spans="1:40" ht="16">
      <c r="A176" s="2" t="s">
        <v>718</v>
      </c>
      <c r="B176" s="2">
        <v>22103953</v>
      </c>
      <c r="C176" s="2" t="s">
        <v>719</v>
      </c>
      <c r="D176" s="2" t="s">
        <v>720</v>
      </c>
      <c r="E176" s="2">
        <v>1</v>
      </c>
      <c r="F176" s="23">
        <v>43961</v>
      </c>
      <c r="G176" s="44">
        <v>43961</v>
      </c>
      <c r="H176" s="23">
        <v>43961</v>
      </c>
      <c r="I176" s="2" t="s">
        <v>39</v>
      </c>
      <c r="J176" s="4">
        <v>3340</v>
      </c>
      <c r="K176" s="56" t="s">
        <v>721</v>
      </c>
      <c r="L176" s="16" t="s">
        <v>1995</v>
      </c>
      <c r="M176" s="239" t="e">
        <f t="shared" si="20"/>
        <v>#VALUE!</v>
      </c>
      <c r="N176" s="16" t="s">
        <v>1995</v>
      </c>
      <c r="O176" s="239" t="e">
        <f t="shared" si="21"/>
        <v>#VALUE!</v>
      </c>
      <c r="P176" s="16" t="s">
        <v>1995</v>
      </c>
      <c r="Q176" s="239" t="e">
        <f t="shared" si="22"/>
        <v>#VALUE!</v>
      </c>
      <c r="R176" s="16" t="s">
        <v>1995</v>
      </c>
      <c r="S176" s="239" t="e">
        <f t="shared" si="23"/>
        <v>#VALUE!</v>
      </c>
      <c r="T176" s="97">
        <v>44791</v>
      </c>
      <c r="U176" s="251">
        <f t="shared" si="24"/>
        <v>2.2739726027397262</v>
      </c>
      <c r="V176" s="97">
        <v>44791</v>
      </c>
      <c r="W176" s="251">
        <f t="shared" si="25"/>
        <v>2.2739726027397262</v>
      </c>
      <c r="X176" s="97">
        <v>44788</v>
      </c>
      <c r="Y176" s="251">
        <f t="shared" si="26"/>
        <v>2.2657534246575342</v>
      </c>
      <c r="Z176" s="97">
        <v>44791</v>
      </c>
      <c r="AA176" s="251">
        <f t="shared" si="27"/>
        <v>2.2739726027397262</v>
      </c>
      <c r="AB176" s="308">
        <v>0</v>
      </c>
      <c r="AC176">
        <v>0</v>
      </c>
      <c r="AD176" s="299">
        <v>86</v>
      </c>
      <c r="AE176" s="299">
        <v>12.1</v>
      </c>
      <c r="AF176" s="298">
        <f>AE176/(AD176/100)^2</f>
        <v>16.360194699837752</v>
      </c>
      <c r="AG176" s="299">
        <v>22.6</v>
      </c>
      <c r="AH176" s="299">
        <v>20.399999999999999</v>
      </c>
      <c r="AI176" s="299">
        <v>48.6</v>
      </c>
      <c r="AJ176" s="301">
        <v>0</v>
      </c>
      <c r="AK176" s="301">
        <v>1</v>
      </c>
      <c r="AL176" s="305">
        <v>2</v>
      </c>
      <c r="AM176" s="305">
        <v>0</v>
      </c>
      <c r="AN176" s="307">
        <v>0</v>
      </c>
    </row>
    <row r="177" spans="1:40" ht="16">
      <c r="A177" s="2" t="s">
        <v>722</v>
      </c>
      <c r="B177" s="2">
        <v>22109329</v>
      </c>
      <c r="C177" s="2" t="s">
        <v>723</v>
      </c>
      <c r="D177" s="2" t="s">
        <v>724</v>
      </c>
      <c r="E177" s="2">
        <v>0</v>
      </c>
      <c r="F177" s="23">
        <v>44505</v>
      </c>
      <c r="G177" s="23">
        <v>44516</v>
      </c>
      <c r="H177" s="23">
        <v>44505</v>
      </c>
      <c r="I177" s="2" t="s">
        <v>658</v>
      </c>
      <c r="J177" s="4">
        <v>2660</v>
      </c>
      <c r="K177" s="56" t="s">
        <v>725</v>
      </c>
      <c r="L177" s="23">
        <v>44726</v>
      </c>
      <c r="M177" s="238">
        <f t="shared" si="20"/>
        <v>0.60547945205479448</v>
      </c>
      <c r="N177" s="23">
        <v>44698</v>
      </c>
      <c r="O177" s="238">
        <f t="shared" si="21"/>
        <v>0.52876712328767128</v>
      </c>
      <c r="P177" s="23">
        <v>44697</v>
      </c>
      <c r="Q177" s="238">
        <f t="shared" si="22"/>
        <v>0.52602739726027392</v>
      </c>
      <c r="R177" s="23">
        <v>44698</v>
      </c>
      <c r="S177" s="238">
        <f t="shared" si="23"/>
        <v>0.52876712328767128</v>
      </c>
      <c r="T177" s="97">
        <v>45342</v>
      </c>
      <c r="U177" s="251">
        <f t="shared" si="24"/>
        <v>2.2931506849315069</v>
      </c>
      <c r="V177" s="97">
        <v>45342</v>
      </c>
      <c r="W177" s="251">
        <f t="shared" si="25"/>
        <v>2.2931506849315069</v>
      </c>
      <c r="X177" s="97">
        <v>45339</v>
      </c>
      <c r="Y177" s="251">
        <f t="shared" si="26"/>
        <v>2.2849315068493152</v>
      </c>
      <c r="Z177" s="287">
        <v>45342</v>
      </c>
      <c r="AA177" s="251">
        <f t="shared" si="27"/>
        <v>2.2931506849315069</v>
      </c>
      <c r="AB177" s="308">
        <v>0</v>
      </c>
      <c r="AC177">
        <v>0</v>
      </c>
      <c r="AD177" s="299">
        <v>87.5</v>
      </c>
      <c r="AE177" s="299">
        <v>13.1</v>
      </c>
      <c r="AF177" s="298">
        <f>AE177/(AD177/100)^2</f>
        <v>17.110204081632652</v>
      </c>
      <c r="AG177" s="299">
        <v>63.8</v>
      </c>
      <c r="AH177" s="299">
        <v>44.8</v>
      </c>
      <c r="AI177" s="299">
        <v>74.099999999999994</v>
      </c>
      <c r="AJ177" s="301">
        <v>0</v>
      </c>
      <c r="AK177" s="301">
        <v>1</v>
      </c>
      <c r="AL177" s="305">
        <v>2</v>
      </c>
      <c r="AM177" s="305">
        <v>0</v>
      </c>
      <c r="AN177" s="307">
        <v>0</v>
      </c>
    </row>
    <row r="178" spans="1:40" ht="16">
      <c r="A178" s="2" t="s">
        <v>726</v>
      </c>
      <c r="B178" s="2">
        <v>22108528</v>
      </c>
      <c r="C178" s="2" t="s">
        <v>727</v>
      </c>
      <c r="D178" s="2" t="s">
        <v>327</v>
      </c>
      <c r="E178" s="2">
        <v>0</v>
      </c>
      <c r="F178" s="23">
        <v>44413</v>
      </c>
      <c r="G178" s="23">
        <v>44418</v>
      </c>
      <c r="H178" s="23">
        <v>44413</v>
      </c>
      <c r="I178" s="2" t="s">
        <v>110</v>
      </c>
      <c r="J178" s="4">
        <v>2660</v>
      </c>
      <c r="K178" s="56" t="s">
        <v>728</v>
      </c>
      <c r="L178" s="23">
        <v>44601</v>
      </c>
      <c r="M178" s="238">
        <f t="shared" si="20"/>
        <v>0.51506849315068493</v>
      </c>
      <c r="N178" s="23">
        <v>44601</v>
      </c>
      <c r="O178" s="238">
        <f t="shared" si="21"/>
        <v>0.51506849315068493</v>
      </c>
      <c r="P178" s="23">
        <v>44599</v>
      </c>
      <c r="Q178" s="238">
        <f t="shared" si="22"/>
        <v>0.50958904109589043</v>
      </c>
      <c r="R178" s="23">
        <v>44601</v>
      </c>
      <c r="S178" s="238">
        <f t="shared" si="23"/>
        <v>0.51506849315068493</v>
      </c>
      <c r="T178" s="97">
        <v>45252</v>
      </c>
      <c r="U178" s="251">
        <f t="shared" si="24"/>
        <v>2.2986301369863016</v>
      </c>
      <c r="V178" s="97">
        <v>45252</v>
      </c>
      <c r="W178" s="251">
        <f t="shared" si="25"/>
        <v>2.2986301369863016</v>
      </c>
      <c r="X178" s="97">
        <v>45251</v>
      </c>
      <c r="Y178" s="251">
        <f t="shared" si="26"/>
        <v>2.2958904109589042</v>
      </c>
      <c r="Z178" s="97">
        <v>45252</v>
      </c>
      <c r="AA178" s="251">
        <f t="shared" si="27"/>
        <v>2.2986301369863016</v>
      </c>
      <c r="AB178" s="308">
        <v>0</v>
      </c>
      <c r="AC178">
        <v>0</v>
      </c>
      <c r="AD178" s="299">
        <v>87</v>
      </c>
      <c r="AE178" s="299">
        <v>12</v>
      </c>
      <c r="AF178" s="298">
        <f>AE178/(AD178/100)^2</f>
        <v>15.854141894569956</v>
      </c>
      <c r="AG178" s="299">
        <v>32.299999999999997</v>
      </c>
      <c r="AH178" s="299">
        <v>38.4</v>
      </c>
      <c r="AI178" s="299">
        <v>40</v>
      </c>
      <c r="AJ178" s="301">
        <v>0</v>
      </c>
      <c r="AK178" s="301">
        <v>1</v>
      </c>
      <c r="AL178" s="305">
        <v>0</v>
      </c>
      <c r="AM178" s="305">
        <v>0</v>
      </c>
      <c r="AN178" s="307">
        <v>0</v>
      </c>
    </row>
    <row r="179" spans="1:40" ht="16">
      <c r="A179" s="2" t="s">
        <v>729</v>
      </c>
      <c r="B179" s="2">
        <v>22108317</v>
      </c>
      <c r="C179" s="2" t="s">
        <v>730</v>
      </c>
      <c r="D179" s="2" t="s">
        <v>731</v>
      </c>
      <c r="E179" s="2">
        <v>1</v>
      </c>
      <c r="F179" s="23">
        <v>44391</v>
      </c>
      <c r="G179" s="23">
        <v>44497</v>
      </c>
      <c r="H179" s="23">
        <v>44497</v>
      </c>
      <c r="I179" s="2" t="s">
        <v>732</v>
      </c>
      <c r="J179" s="4">
        <v>770</v>
      </c>
      <c r="K179" s="56" t="s">
        <v>733</v>
      </c>
      <c r="L179" s="23">
        <v>44677</v>
      </c>
      <c r="M179" s="238">
        <f t="shared" si="20"/>
        <v>0.49315068493150682</v>
      </c>
      <c r="N179" s="23">
        <v>44705</v>
      </c>
      <c r="O179" s="238">
        <f t="shared" si="21"/>
        <v>0.56986301369863013</v>
      </c>
      <c r="P179" s="23">
        <v>44676</v>
      </c>
      <c r="Q179" s="238">
        <f t="shared" si="22"/>
        <v>0.49041095890410957</v>
      </c>
      <c r="R179" s="23">
        <v>44677</v>
      </c>
      <c r="S179" s="238">
        <f t="shared" si="23"/>
        <v>0.49315068493150682</v>
      </c>
      <c r="T179" s="66" t="s">
        <v>2399</v>
      </c>
      <c r="U179" s="252" t="e">
        <f t="shared" si="24"/>
        <v>#VALUE!</v>
      </c>
      <c r="V179" s="66" t="s">
        <v>2398</v>
      </c>
      <c r="W179" s="252" t="e">
        <f t="shared" si="25"/>
        <v>#VALUE!</v>
      </c>
      <c r="X179" s="66" t="s">
        <v>2398</v>
      </c>
      <c r="Y179" s="252" t="e">
        <f t="shared" si="26"/>
        <v>#VALUE!</v>
      </c>
      <c r="Z179" s="66" t="s">
        <v>2398</v>
      </c>
      <c r="AA179" s="252" t="e">
        <f t="shared" si="27"/>
        <v>#VALUE!</v>
      </c>
      <c r="AB179" s="308">
        <v>2</v>
      </c>
      <c r="AC179">
        <v>1</v>
      </c>
      <c r="AD179" s="302"/>
      <c r="AE179" s="302"/>
      <c r="AF179" s="303"/>
      <c r="AG179" s="302"/>
      <c r="AH179" s="302"/>
      <c r="AI179" s="302"/>
      <c r="AJ179" s="304"/>
      <c r="AK179" s="304"/>
      <c r="AL179" s="306"/>
      <c r="AM179" s="306"/>
      <c r="AN179" s="307">
        <v>1</v>
      </c>
    </row>
    <row r="180" spans="1:40" ht="16">
      <c r="A180" s="2" t="s">
        <v>734</v>
      </c>
      <c r="B180" s="2">
        <v>22104263</v>
      </c>
      <c r="C180" s="53" t="s">
        <v>735</v>
      </c>
      <c r="D180" s="2" t="s">
        <v>238</v>
      </c>
      <c r="E180" s="2">
        <v>0</v>
      </c>
      <c r="F180" s="23">
        <v>43993</v>
      </c>
      <c r="G180" s="44">
        <v>43993</v>
      </c>
      <c r="H180" s="23">
        <v>43993</v>
      </c>
      <c r="I180" s="2" t="s">
        <v>39</v>
      </c>
      <c r="J180" s="4">
        <v>3060</v>
      </c>
      <c r="K180" s="27" t="s">
        <v>736</v>
      </c>
      <c r="L180" s="20" t="s">
        <v>2215</v>
      </c>
      <c r="M180" s="240" t="e">
        <f t="shared" si="20"/>
        <v>#VALUE!</v>
      </c>
      <c r="N180" s="20" t="s">
        <v>2215</v>
      </c>
      <c r="O180" s="240" t="e">
        <f t="shared" si="21"/>
        <v>#VALUE!</v>
      </c>
      <c r="P180" s="20" t="s">
        <v>2215</v>
      </c>
      <c r="Q180" s="240" t="e">
        <f t="shared" si="22"/>
        <v>#VALUE!</v>
      </c>
      <c r="R180" s="20" t="s">
        <v>2215</v>
      </c>
      <c r="S180" s="240" t="e">
        <f t="shared" si="23"/>
        <v>#VALUE!</v>
      </c>
      <c r="T180" s="65" t="s">
        <v>1955</v>
      </c>
      <c r="U180" s="252" t="e">
        <f t="shared" si="24"/>
        <v>#VALUE!</v>
      </c>
      <c r="V180" s="65" t="s">
        <v>1955</v>
      </c>
      <c r="W180" s="252" t="e">
        <f t="shared" si="25"/>
        <v>#VALUE!</v>
      </c>
      <c r="X180" s="65" t="s">
        <v>1955</v>
      </c>
      <c r="Y180" s="252" t="e">
        <f t="shared" si="26"/>
        <v>#VALUE!</v>
      </c>
      <c r="Z180" s="65" t="s">
        <v>1955</v>
      </c>
      <c r="AA180" s="252" t="e">
        <f t="shared" si="27"/>
        <v>#VALUE!</v>
      </c>
      <c r="AB180" s="308">
        <v>0</v>
      </c>
      <c r="AC180" s="309">
        <v>0</v>
      </c>
      <c r="AD180" s="302"/>
      <c r="AE180" s="302"/>
      <c r="AF180" s="303"/>
      <c r="AG180" s="302"/>
      <c r="AH180" s="302"/>
      <c r="AI180" s="302"/>
      <c r="AJ180" s="304"/>
      <c r="AK180" s="304"/>
      <c r="AL180" s="306"/>
      <c r="AM180" s="306"/>
      <c r="AN180" s="307">
        <v>0</v>
      </c>
    </row>
    <row r="181" spans="1:40" ht="16">
      <c r="A181" s="2" t="s">
        <v>737</v>
      </c>
      <c r="B181" s="2">
        <v>22109759</v>
      </c>
      <c r="C181" s="53" t="s">
        <v>738</v>
      </c>
      <c r="D181" s="2" t="s">
        <v>739</v>
      </c>
      <c r="E181" s="2">
        <v>1</v>
      </c>
      <c r="F181" s="23">
        <v>44552</v>
      </c>
      <c r="G181" s="23">
        <v>44572</v>
      </c>
      <c r="H181" s="23">
        <v>44552</v>
      </c>
      <c r="I181" s="2" t="s">
        <v>740</v>
      </c>
      <c r="J181" s="4">
        <v>3340</v>
      </c>
      <c r="K181" s="56" t="s">
        <v>741</v>
      </c>
      <c r="L181" s="23">
        <v>44727</v>
      </c>
      <c r="M181" s="238">
        <f t="shared" si="20"/>
        <v>0.47945205479452052</v>
      </c>
      <c r="N181" s="23">
        <v>44747</v>
      </c>
      <c r="O181" s="238">
        <f t="shared" si="21"/>
        <v>0.53424657534246578</v>
      </c>
      <c r="P181" s="23">
        <v>44724</v>
      </c>
      <c r="Q181" s="238">
        <f t="shared" si="22"/>
        <v>0.47123287671232877</v>
      </c>
      <c r="R181" s="23">
        <v>44727</v>
      </c>
      <c r="S181" s="238">
        <f t="shared" si="23"/>
        <v>0.47945205479452052</v>
      </c>
      <c r="T181" s="97">
        <v>45425</v>
      </c>
      <c r="U181" s="251">
        <f t="shared" si="24"/>
        <v>2.3917808219178083</v>
      </c>
      <c r="V181" s="97">
        <v>45416</v>
      </c>
      <c r="W181" s="251">
        <f t="shared" si="25"/>
        <v>2.3671232876712329</v>
      </c>
      <c r="X181" s="97">
        <v>45421</v>
      </c>
      <c r="Y181" s="251">
        <f t="shared" si="26"/>
        <v>2.3808219178082193</v>
      </c>
      <c r="Z181" s="97">
        <v>45425</v>
      </c>
      <c r="AA181" s="251">
        <f t="shared" si="27"/>
        <v>2.3917808219178083</v>
      </c>
      <c r="AB181" s="308">
        <v>0</v>
      </c>
      <c r="AC181">
        <v>0</v>
      </c>
      <c r="AD181" s="299">
        <v>89.5</v>
      </c>
      <c r="AE181" s="299">
        <v>12.6</v>
      </c>
      <c r="AF181" s="298">
        <f>AE181/(AD181/100)^2</f>
        <v>15.729846134639992</v>
      </c>
      <c r="AG181" s="299">
        <v>31.3</v>
      </c>
      <c r="AH181" s="299">
        <v>46</v>
      </c>
      <c r="AI181" s="299">
        <v>30.3</v>
      </c>
      <c r="AJ181" s="301">
        <v>0</v>
      </c>
      <c r="AK181" s="301">
        <v>1</v>
      </c>
      <c r="AL181" s="305">
        <v>2</v>
      </c>
      <c r="AM181" s="305">
        <v>0</v>
      </c>
      <c r="AN181" s="307">
        <v>0</v>
      </c>
    </row>
    <row r="182" spans="1:40" ht="16">
      <c r="A182" s="2" t="s">
        <v>742</v>
      </c>
      <c r="B182" s="2">
        <v>16903095</v>
      </c>
      <c r="C182" s="53" t="s">
        <v>743</v>
      </c>
      <c r="D182" s="2" t="s">
        <v>744</v>
      </c>
      <c r="E182" s="2">
        <v>0</v>
      </c>
      <c r="F182" s="23">
        <v>44523</v>
      </c>
      <c r="G182" s="23">
        <v>44526</v>
      </c>
      <c r="H182" s="23">
        <v>44523</v>
      </c>
      <c r="I182" s="2" t="s">
        <v>745</v>
      </c>
      <c r="J182" s="4">
        <v>3485</v>
      </c>
      <c r="K182" s="56" t="s">
        <v>746</v>
      </c>
      <c r="L182" s="23">
        <v>44719</v>
      </c>
      <c r="M182" s="238">
        <f t="shared" si="20"/>
        <v>0.53698630136986303</v>
      </c>
      <c r="N182" s="23">
        <v>44719</v>
      </c>
      <c r="O182" s="238">
        <f t="shared" si="21"/>
        <v>0.53698630136986303</v>
      </c>
      <c r="P182" s="23">
        <v>44718</v>
      </c>
      <c r="Q182" s="238">
        <f t="shared" si="22"/>
        <v>0.53424657534246578</v>
      </c>
      <c r="R182" s="23">
        <v>44719</v>
      </c>
      <c r="S182" s="238">
        <f t="shared" si="23"/>
        <v>0.53698630136986303</v>
      </c>
      <c r="T182" s="66" t="s">
        <v>2637</v>
      </c>
      <c r="U182" s="252" t="e">
        <f t="shared" si="24"/>
        <v>#VALUE!</v>
      </c>
      <c r="V182" s="66" t="s">
        <v>2637</v>
      </c>
      <c r="W182" s="252" t="e">
        <f t="shared" si="25"/>
        <v>#VALUE!</v>
      </c>
      <c r="X182" s="66" t="s">
        <v>2637</v>
      </c>
      <c r="Y182" s="252" t="e">
        <f t="shared" si="26"/>
        <v>#VALUE!</v>
      </c>
      <c r="Z182" s="66" t="s">
        <v>2637</v>
      </c>
      <c r="AA182" s="252" t="e">
        <f t="shared" si="27"/>
        <v>#VALUE!</v>
      </c>
      <c r="AB182" s="308">
        <v>0</v>
      </c>
      <c r="AC182">
        <v>0</v>
      </c>
      <c r="AD182" s="302"/>
      <c r="AE182" s="302"/>
      <c r="AF182" s="303"/>
      <c r="AG182" s="302"/>
      <c r="AH182" s="302"/>
      <c r="AI182" s="302"/>
      <c r="AJ182" s="304"/>
      <c r="AK182" s="304"/>
      <c r="AL182" s="306"/>
      <c r="AM182" s="306"/>
      <c r="AN182" s="307">
        <v>0</v>
      </c>
    </row>
    <row r="183" spans="1:40" ht="16">
      <c r="A183" s="2" t="s">
        <v>747</v>
      </c>
      <c r="B183" s="2">
        <v>22109538</v>
      </c>
      <c r="C183" s="53" t="s">
        <v>748</v>
      </c>
      <c r="D183" s="2" t="s">
        <v>749</v>
      </c>
      <c r="E183" s="2">
        <v>0</v>
      </c>
      <c r="F183" s="23">
        <v>44526</v>
      </c>
      <c r="G183" s="23">
        <v>44541</v>
      </c>
      <c r="H183" s="23">
        <v>44526</v>
      </c>
      <c r="I183" s="2" t="s">
        <v>750</v>
      </c>
      <c r="J183" s="4">
        <v>2830</v>
      </c>
      <c r="K183" s="56" t="s">
        <v>751</v>
      </c>
      <c r="L183" s="23">
        <v>44732</v>
      </c>
      <c r="M183" s="238">
        <f t="shared" si="20"/>
        <v>0.56438356164383563</v>
      </c>
      <c r="N183" s="23">
        <v>44732</v>
      </c>
      <c r="O183" s="238">
        <f t="shared" si="21"/>
        <v>0.56438356164383563</v>
      </c>
      <c r="P183" s="23">
        <v>44730</v>
      </c>
      <c r="Q183" s="238">
        <f t="shared" si="22"/>
        <v>0.55890410958904113</v>
      </c>
      <c r="R183" s="23">
        <v>44732</v>
      </c>
      <c r="S183" s="238">
        <f t="shared" si="23"/>
        <v>0.56438356164383563</v>
      </c>
      <c r="T183" s="25"/>
      <c r="U183" s="248">
        <f t="shared" si="24"/>
        <v>-121.98904109589041</v>
      </c>
      <c r="V183" s="25"/>
      <c r="W183" s="248">
        <f t="shared" si="25"/>
        <v>-121.98904109589041</v>
      </c>
      <c r="X183" s="25"/>
      <c r="Y183" s="248">
        <f t="shared" si="26"/>
        <v>-121.98904109589041</v>
      </c>
      <c r="Z183" s="25"/>
      <c r="AA183" s="248">
        <f t="shared" si="27"/>
        <v>-121.98904109589041</v>
      </c>
      <c r="AB183" s="308">
        <v>0</v>
      </c>
      <c r="AC183">
        <v>0</v>
      </c>
      <c r="AD183" s="302"/>
      <c r="AE183" s="302"/>
      <c r="AF183" s="303"/>
      <c r="AG183" s="302"/>
      <c r="AH183" s="302"/>
      <c r="AI183" s="302"/>
      <c r="AJ183" s="304"/>
      <c r="AK183" s="304"/>
      <c r="AL183" s="306"/>
      <c r="AM183" s="306"/>
      <c r="AN183" s="307">
        <v>1</v>
      </c>
    </row>
    <row r="184" spans="1:40" ht="16">
      <c r="A184" s="2" t="s">
        <v>752</v>
      </c>
      <c r="B184" s="2">
        <v>22109793</v>
      </c>
      <c r="C184" s="53" t="s">
        <v>753</v>
      </c>
      <c r="D184" s="2" t="s">
        <v>754</v>
      </c>
      <c r="E184" s="2">
        <v>1</v>
      </c>
      <c r="F184" s="23">
        <v>44555</v>
      </c>
      <c r="G184" s="23">
        <v>44561</v>
      </c>
      <c r="H184" s="23">
        <v>44555</v>
      </c>
      <c r="I184" s="2" t="s">
        <v>110</v>
      </c>
      <c r="J184" s="4">
        <v>3690</v>
      </c>
      <c r="K184" s="56" t="s">
        <v>755</v>
      </c>
      <c r="L184" s="23">
        <v>44741</v>
      </c>
      <c r="M184" s="238">
        <f t="shared" si="20"/>
        <v>0.50958904109589043</v>
      </c>
      <c r="N184" s="23">
        <v>44741</v>
      </c>
      <c r="O184" s="238">
        <f t="shared" si="21"/>
        <v>0.50958904109589043</v>
      </c>
      <c r="P184" s="23">
        <v>44739</v>
      </c>
      <c r="Q184" s="238">
        <f t="shared" si="22"/>
        <v>0.50410958904109593</v>
      </c>
      <c r="R184" s="23">
        <v>44741</v>
      </c>
      <c r="S184" s="238">
        <f t="shared" si="23"/>
        <v>0.50958904109589043</v>
      </c>
      <c r="T184" s="17"/>
      <c r="U184" s="241">
        <f t="shared" si="24"/>
        <v>-122.06849315068493</v>
      </c>
      <c r="V184" s="40">
        <v>45274</v>
      </c>
      <c r="W184" s="241">
        <f t="shared" si="25"/>
        <v>1.9698630136986301</v>
      </c>
      <c r="X184" s="40">
        <v>45261</v>
      </c>
      <c r="Y184" s="241">
        <f t="shared" si="26"/>
        <v>1.9342465753424658</v>
      </c>
      <c r="Z184" s="17"/>
      <c r="AA184" s="241">
        <f t="shared" si="27"/>
        <v>-122.06849315068493</v>
      </c>
      <c r="AB184" s="308">
        <v>0</v>
      </c>
      <c r="AC184">
        <v>0</v>
      </c>
      <c r="AD184" s="299">
        <v>90</v>
      </c>
      <c r="AE184" s="299">
        <v>16</v>
      </c>
      <c r="AF184" s="298">
        <f>AE184/(AD184/100)^2</f>
        <v>19.753086419753085</v>
      </c>
      <c r="AG184" s="299">
        <v>98</v>
      </c>
      <c r="AH184" s="299">
        <v>81</v>
      </c>
      <c r="AI184" s="299">
        <v>96.8</v>
      </c>
      <c r="AJ184" s="301">
        <v>0</v>
      </c>
      <c r="AK184" s="301">
        <v>2</v>
      </c>
      <c r="AL184" s="305">
        <v>2</v>
      </c>
      <c r="AM184" s="305">
        <v>0</v>
      </c>
      <c r="AN184" s="307">
        <v>0</v>
      </c>
    </row>
    <row r="185" spans="1:40" ht="16">
      <c r="A185" s="2" t="s">
        <v>756</v>
      </c>
      <c r="B185" s="2">
        <v>22109501</v>
      </c>
      <c r="C185" s="53" t="s">
        <v>757</v>
      </c>
      <c r="D185" s="2" t="s">
        <v>298</v>
      </c>
      <c r="E185" s="2">
        <v>1</v>
      </c>
      <c r="F185" s="23">
        <v>44523</v>
      </c>
      <c r="G185" s="23">
        <v>44581</v>
      </c>
      <c r="H185" s="23">
        <v>44581</v>
      </c>
      <c r="I185" s="2" t="s">
        <v>119</v>
      </c>
      <c r="J185" s="4">
        <v>1370</v>
      </c>
      <c r="K185" s="27" t="s">
        <v>758</v>
      </c>
      <c r="L185" s="20" t="s">
        <v>2215</v>
      </c>
      <c r="M185" s="240" t="e">
        <f t="shared" si="20"/>
        <v>#VALUE!</v>
      </c>
      <c r="N185" s="20" t="s">
        <v>2215</v>
      </c>
      <c r="O185" s="240" t="e">
        <f t="shared" si="21"/>
        <v>#VALUE!</v>
      </c>
      <c r="P185" s="20" t="s">
        <v>2215</v>
      </c>
      <c r="Q185" s="240" t="e">
        <f t="shared" si="22"/>
        <v>#VALUE!</v>
      </c>
      <c r="R185" s="20" t="s">
        <v>2215</v>
      </c>
      <c r="S185" s="240" t="e">
        <f t="shared" si="23"/>
        <v>#VALUE!</v>
      </c>
      <c r="T185" s="25" t="s">
        <v>1955</v>
      </c>
      <c r="U185" s="248" t="e">
        <f t="shared" si="24"/>
        <v>#VALUE!</v>
      </c>
      <c r="V185" s="25" t="s">
        <v>1955</v>
      </c>
      <c r="W185" s="248" t="e">
        <f t="shared" si="25"/>
        <v>#VALUE!</v>
      </c>
      <c r="X185" s="25" t="s">
        <v>1955</v>
      </c>
      <c r="Y185" s="248" t="e">
        <f t="shared" si="26"/>
        <v>#VALUE!</v>
      </c>
      <c r="Z185" s="25" t="s">
        <v>1955</v>
      </c>
      <c r="AA185" s="248" t="e">
        <f t="shared" si="27"/>
        <v>#VALUE!</v>
      </c>
      <c r="AB185" s="308">
        <v>1</v>
      </c>
      <c r="AC185" s="308">
        <v>1</v>
      </c>
      <c r="AD185" s="302"/>
      <c r="AE185" s="302"/>
      <c r="AF185" s="303"/>
      <c r="AG185" s="302"/>
      <c r="AH185" s="302"/>
      <c r="AI185" s="302"/>
      <c r="AJ185" s="304"/>
      <c r="AK185" s="304"/>
      <c r="AL185" s="306"/>
      <c r="AM185" s="306"/>
      <c r="AN185" s="307">
        <v>1</v>
      </c>
    </row>
    <row r="186" spans="1:40" ht="16">
      <c r="A186" s="2" t="s">
        <v>759</v>
      </c>
      <c r="B186" s="2">
        <v>22109705</v>
      </c>
      <c r="C186" s="53" t="s">
        <v>760</v>
      </c>
      <c r="D186" s="2" t="s">
        <v>539</v>
      </c>
      <c r="E186" s="2">
        <v>0</v>
      </c>
      <c r="F186" s="23">
        <v>44545</v>
      </c>
      <c r="G186" s="23">
        <v>44558</v>
      </c>
      <c r="H186" s="23">
        <v>44545</v>
      </c>
      <c r="I186" s="2" t="s">
        <v>697</v>
      </c>
      <c r="J186" s="4">
        <v>3050</v>
      </c>
      <c r="K186" s="56" t="s">
        <v>761</v>
      </c>
      <c r="L186" s="23">
        <v>44757</v>
      </c>
      <c r="M186" s="238">
        <f t="shared" si="20"/>
        <v>0.58082191780821912</v>
      </c>
      <c r="N186" s="23">
        <v>44757</v>
      </c>
      <c r="O186" s="238">
        <f t="shared" si="21"/>
        <v>0.58082191780821912</v>
      </c>
      <c r="P186" s="23">
        <v>44768</v>
      </c>
      <c r="Q186" s="238">
        <f t="shared" si="22"/>
        <v>0.61095890410958908</v>
      </c>
      <c r="R186" s="23">
        <v>44757</v>
      </c>
      <c r="S186" s="238">
        <f t="shared" si="23"/>
        <v>0.58082191780821912</v>
      </c>
      <c r="T186" s="25" t="s">
        <v>1955</v>
      </c>
      <c r="U186" s="248" t="e">
        <f t="shared" si="24"/>
        <v>#VALUE!</v>
      </c>
      <c r="V186" s="25" t="s">
        <v>1955</v>
      </c>
      <c r="W186" s="248" t="e">
        <f t="shared" si="25"/>
        <v>#VALUE!</v>
      </c>
      <c r="X186" s="25" t="s">
        <v>1955</v>
      </c>
      <c r="Y186" s="248" t="e">
        <f t="shared" si="26"/>
        <v>#VALUE!</v>
      </c>
      <c r="Z186" s="25" t="s">
        <v>1955</v>
      </c>
      <c r="AA186" s="248" t="e">
        <f t="shared" si="27"/>
        <v>#VALUE!</v>
      </c>
      <c r="AB186" s="308">
        <v>0</v>
      </c>
      <c r="AC186">
        <v>0</v>
      </c>
      <c r="AD186" s="302"/>
      <c r="AE186" s="302"/>
      <c r="AF186" s="303"/>
      <c r="AG186" s="302"/>
      <c r="AH186" s="302"/>
      <c r="AI186" s="302"/>
      <c r="AJ186" s="304"/>
      <c r="AK186" s="304"/>
      <c r="AL186" s="306"/>
      <c r="AM186" s="306"/>
      <c r="AN186" s="307">
        <v>0</v>
      </c>
    </row>
    <row r="187" spans="1:40" ht="16">
      <c r="A187" s="2" t="s">
        <v>762</v>
      </c>
      <c r="B187" s="2">
        <v>22109441</v>
      </c>
      <c r="C187" s="53" t="s">
        <v>763</v>
      </c>
      <c r="D187" s="2" t="s">
        <v>764</v>
      </c>
      <c r="E187" s="2">
        <v>0</v>
      </c>
      <c r="F187" s="23">
        <v>44517</v>
      </c>
      <c r="G187" s="23">
        <v>44604</v>
      </c>
      <c r="H187" s="23">
        <v>44604</v>
      </c>
      <c r="I187" s="2" t="s">
        <v>144</v>
      </c>
      <c r="J187" s="4">
        <v>680</v>
      </c>
      <c r="K187" s="27" t="s">
        <v>765</v>
      </c>
      <c r="L187" s="40">
        <v>44789</v>
      </c>
      <c r="M187" s="241">
        <f t="shared" si="20"/>
        <v>0.50684931506849318</v>
      </c>
      <c r="N187" s="17"/>
      <c r="O187" s="241">
        <f t="shared" si="21"/>
        <v>-122.2027397260274</v>
      </c>
      <c r="P187" s="40">
        <v>44787</v>
      </c>
      <c r="Q187" s="241">
        <f t="shared" si="22"/>
        <v>0.50136986301369868</v>
      </c>
      <c r="R187" s="40">
        <v>44789</v>
      </c>
      <c r="S187" s="241">
        <f t="shared" si="23"/>
        <v>0.50684931506849318</v>
      </c>
      <c r="T187" s="60" t="s">
        <v>2217</v>
      </c>
      <c r="U187" s="253" t="e">
        <f t="shared" si="24"/>
        <v>#VALUE!</v>
      </c>
      <c r="V187" s="60" t="s">
        <v>2217</v>
      </c>
      <c r="W187" s="253" t="e">
        <f t="shared" si="25"/>
        <v>#VALUE!</v>
      </c>
      <c r="X187" s="60" t="s">
        <v>2217</v>
      </c>
      <c r="Y187" s="253" t="e">
        <f t="shared" si="26"/>
        <v>#VALUE!</v>
      </c>
      <c r="Z187" s="60" t="s">
        <v>2217</v>
      </c>
      <c r="AA187" s="253" t="e">
        <f t="shared" si="27"/>
        <v>#VALUE!</v>
      </c>
      <c r="AB187" s="308">
        <v>2</v>
      </c>
      <c r="AC187">
        <v>2</v>
      </c>
      <c r="AD187" s="302"/>
      <c r="AE187" s="302"/>
      <c r="AF187" s="303"/>
      <c r="AG187" s="302"/>
      <c r="AH187" s="302"/>
      <c r="AI187" s="302"/>
      <c r="AJ187" s="304"/>
      <c r="AK187" s="304"/>
      <c r="AL187" s="306"/>
      <c r="AM187" s="306"/>
      <c r="AN187" s="307">
        <v>0</v>
      </c>
    </row>
    <row r="188" spans="1:40" ht="16">
      <c r="A188" s="2" t="s">
        <v>766</v>
      </c>
      <c r="B188" s="2">
        <v>22108398</v>
      </c>
      <c r="C188" s="53" t="s">
        <v>767</v>
      </c>
      <c r="D188" s="2" t="s">
        <v>768</v>
      </c>
      <c r="E188" s="2">
        <v>0</v>
      </c>
      <c r="F188" s="23">
        <v>44398</v>
      </c>
      <c r="G188" s="23">
        <v>44486</v>
      </c>
      <c r="H188" s="23">
        <v>44486</v>
      </c>
      <c r="I188" s="2" t="s">
        <v>461</v>
      </c>
      <c r="J188" s="4">
        <v>1350</v>
      </c>
      <c r="K188" s="56" t="s">
        <v>769</v>
      </c>
      <c r="L188" s="23">
        <v>44679</v>
      </c>
      <c r="M188" s="238">
        <f t="shared" si="20"/>
        <v>0.52876712328767128</v>
      </c>
      <c r="N188" s="23">
        <v>44679</v>
      </c>
      <c r="O188" s="238">
        <f t="shared" si="21"/>
        <v>0.52876712328767128</v>
      </c>
      <c r="P188" s="23">
        <v>44675</v>
      </c>
      <c r="Q188" s="238">
        <f t="shared" si="22"/>
        <v>0.51780821917808217</v>
      </c>
      <c r="R188" s="23">
        <v>44679</v>
      </c>
      <c r="S188" s="238">
        <f t="shared" si="23"/>
        <v>0.52876712328767128</v>
      </c>
      <c r="T188" s="95">
        <v>45222</v>
      </c>
      <c r="U188" s="246">
        <f t="shared" si="24"/>
        <v>2.0164383561643837</v>
      </c>
      <c r="V188" s="95">
        <v>45222</v>
      </c>
      <c r="W188" s="246">
        <f t="shared" si="25"/>
        <v>2.0164383561643837</v>
      </c>
      <c r="X188" s="95">
        <v>45221</v>
      </c>
      <c r="Y188" s="246">
        <f t="shared" si="26"/>
        <v>2.0136986301369864</v>
      </c>
      <c r="Z188" s="95">
        <v>45222</v>
      </c>
      <c r="AA188" s="246">
        <f t="shared" si="27"/>
        <v>2.0164383561643837</v>
      </c>
      <c r="AB188" s="308">
        <v>2</v>
      </c>
      <c r="AC188">
        <v>1</v>
      </c>
      <c r="AD188" s="299">
        <v>88</v>
      </c>
      <c r="AE188" s="299">
        <v>12.8</v>
      </c>
      <c r="AF188" s="298">
        <f>AE188/(AD188/100)^2</f>
        <v>16.528925619834713</v>
      </c>
      <c r="AG188" s="299">
        <v>69.2</v>
      </c>
      <c r="AH188" s="299">
        <v>78.2</v>
      </c>
      <c r="AI188" s="299">
        <v>53.8</v>
      </c>
      <c r="AJ188" s="301">
        <v>0</v>
      </c>
      <c r="AK188" s="301">
        <v>1</v>
      </c>
      <c r="AL188" s="305">
        <v>2</v>
      </c>
      <c r="AM188" s="305">
        <v>0</v>
      </c>
      <c r="AN188" s="307">
        <v>0</v>
      </c>
    </row>
    <row r="189" spans="1:40" ht="16">
      <c r="A189" s="2" t="s">
        <v>770</v>
      </c>
      <c r="B189" s="2">
        <v>22109053</v>
      </c>
      <c r="C189" s="53" t="s">
        <v>771</v>
      </c>
      <c r="D189" s="2" t="s">
        <v>268</v>
      </c>
      <c r="E189" s="2">
        <v>0</v>
      </c>
      <c r="F189" s="23">
        <v>44476</v>
      </c>
      <c r="G189" s="23">
        <v>44568</v>
      </c>
      <c r="H189" s="23">
        <v>44568</v>
      </c>
      <c r="I189" s="2" t="s">
        <v>165</v>
      </c>
      <c r="J189" s="4">
        <v>1060</v>
      </c>
      <c r="K189" s="56" t="s">
        <v>772</v>
      </c>
      <c r="L189" s="23">
        <v>44763</v>
      </c>
      <c r="M189" s="238">
        <f t="shared" si="20"/>
        <v>0.53424657534246578</v>
      </c>
      <c r="N189" s="23">
        <v>44763</v>
      </c>
      <c r="O189" s="238">
        <f t="shared" si="21"/>
        <v>0.53424657534246578</v>
      </c>
      <c r="P189" s="23">
        <v>44763</v>
      </c>
      <c r="Q189" s="238">
        <f t="shared" si="22"/>
        <v>0.53424657534246578</v>
      </c>
      <c r="R189" s="23">
        <v>44763</v>
      </c>
      <c r="S189" s="238">
        <f t="shared" si="23"/>
        <v>0.53424657534246578</v>
      </c>
      <c r="T189" s="17"/>
      <c r="U189" s="241">
        <f t="shared" si="24"/>
        <v>-122.1041095890411</v>
      </c>
      <c r="V189" s="17"/>
      <c r="W189" s="241">
        <f t="shared" si="25"/>
        <v>-122.1041095890411</v>
      </c>
      <c r="X189" s="40">
        <v>45309</v>
      </c>
      <c r="Y189" s="241">
        <f t="shared" si="26"/>
        <v>2.0301369863013701</v>
      </c>
      <c r="Z189" s="40">
        <v>45309</v>
      </c>
      <c r="AA189" s="241">
        <f t="shared" si="27"/>
        <v>2.0301369863013701</v>
      </c>
      <c r="AB189" s="308">
        <v>2</v>
      </c>
      <c r="AC189">
        <v>1</v>
      </c>
      <c r="AD189" s="299">
        <v>79.8</v>
      </c>
      <c r="AE189" s="299">
        <v>9.9</v>
      </c>
      <c r="AF189" s="298">
        <f>AE189/(AD189/100)^2</f>
        <v>15.546384758889708</v>
      </c>
      <c r="AG189" s="299">
        <v>2</v>
      </c>
      <c r="AH189" s="299">
        <v>4</v>
      </c>
      <c r="AI189" s="299">
        <v>26.2</v>
      </c>
      <c r="AJ189" s="301">
        <v>0</v>
      </c>
      <c r="AK189" s="301">
        <v>1</v>
      </c>
      <c r="AL189" s="305">
        <v>0</v>
      </c>
      <c r="AM189" s="305">
        <v>2</v>
      </c>
      <c r="AN189" s="307">
        <v>0</v>
      </c>
    </row>
    <row r="190" spans="1:40" ht="16">
      <c r="A190" s="2" t="s">
        <v>773</v>
      </c>
      <c r="B190" s="2">
        <v>22108554</v>
      </c>
      <c r="C190" s="53" t="s">
        <v>774</v>
      </c>
      <c r="D190" s="2" t="s">
        <v>621</v>
      </c>
      <c r="E190" s="2">
        <v>1</v>
      </c>
      <c r="F190" s="23">
        <v>44416</v>
      </c>
      <c r="G190" s="23">
        <v>44426</v>
      </c>
      <c r="H190" s="23">
        <v>44416</v>
      </c>
      <c r="I190" s="2" t="s">
        <v>391</v>
      </c>
      <c r="J190" s="4">
        <v>3410</v>
      </c>
      <c r="K190" s="56" t="s">
        <v>775</v>
      </c>
      <c r="L190" s="23">
        <v>44615</v>
      </c>
      <c r="M190" s="238">
        <f t="shared" si="20"/>
        <v>0.54520547945205478</v>
      </c>
      <c r="N190" s="23">
        <v>44615</v>
      </c>
      <c r="O190" s="238">
        <f t="shared" si="21"/>
        <v>0.54520547945205478</v>
      </c>
      <c r="P190" s="23">
        <v>44631</v>
      </c>
      <c r="Q190" s="238">
        <f t="shared" si="22"/>
        <v>0.58904109589041098</v>
      </c>
      <c r="R190" s="23">
        <v>44615</v>
      </c>
      <c r="S190" s="238">
        <f t="shared" si="23"/>
        <v>0.54520547945205478</v>
      </c>
      <c r="T190" s="95">
        <v>45262</v>
      </c>
      <c r="U190" s="246">
        <f t="shared" si="24"/>
        <v>2.3178082191780822</v>
      </c>
      <c r="V190" s="95">
        <v>45262</v>
      </c>
      <c r="W190" s="246">
        <f t="shared" si="25"/>
        <v>2.3178082191780822</v>
      </c>
      <c r="X190" s="95">
        <v>45257</v>
      </c>
      <c r="Y190" s="246">
        <f t="shared" si="26"/>
        <v>2.3041095890410959</v>
      </c>
      <c r="Z190" s="95">
        <v>45262</v>
      </c>
      <c r="AA190" s="246">
        <f t="shared" si="27"/>
        <v>2.3178082191780822</v>
      </c>
      <c r="AB190" s="308">
        <v>0</v>
      </c>
      <c r="AC190">
        <v>0</v>
      </c>
      <c r="AD190" s="299">
        <v>89.5</v>
      </c>
      <c r="AE190" s="299">
        <v>12.6</v>
      </c>
      <c r="AF190" s="298">
        <f>AE190/(AD190/100)^2</f>
        <v>15.729846134639992</v>
      </c>
      <c r="AG190" s="299">
        <v>33.299999999999997</v>
      </c>
      <c r="AH190" s="299">
        <v>50.8</v>
      </c>
      <c r="AI190" s="299">
        <v>29.5</v>
      </c>
      <c r="AJ190" s="301">
        <v>0</v>
      </c>
      <c r="AK190" s="301">
        <v>1</v>
      </c>
      <c r="AL190" s="305">
        <v>2</v>
      </c>
      <c r="AM190" s="305">
        <v>0</v>
      </c>
      <c r="AN190" s="307">
        <v>0</v>
      </c>
    </row>
    <row r="191" spans="1:40" ht="16">
      <c r="A191" s="2" t="s">
        <v>776</v>
      </c>
      <c r="B191" s="2">
        <v>22108696</v>
      </c>
      <c r="C191" s="53" t="s">
        <v>777</v>
      </c>
      <c r="D191" s="2" t="s">
        <v>778</v>
      </c>
      <c r="E191" s="2">
        <v>0</v>
      </c>
      <c r="F191" s="23">
        <v>44433</v>
      </c>
      <c r="G191" s="23">
        <v>44448</v>
      </c>
      <c r="H191" s="23">
        <v>44433</v>
      </c>
      <c r="I191" s="2" t="s">
        <v>750</v>
      </c>
      <c r="J191" s="4">
        <v>3300</v>
      </c>
      <c r="K191" s="56" t="s">
        <v>779</v>
      </c>
      <c r="L191" s="23">
        <v>44638</v>
      </c>
      <c r="M191" s="238">
        <f t="shared" si="20"/>
        <v>0.56164383561643838</v>
      </c>
      <c r="N191" s="23">
        <v>44638</v>
      </c>
      <c r="O191" s="238">
        <f t="shared" si="21"/>
        <v>0.56164383561643838</v>
      </c>
      <c r="P191" s="23">
        <v>44636</v>
      </c>
      <c r="Q191" s="238">
        <f t="shared" si="22"/>
        <v>0.55616438356164388</v>
      </c>
      <c r="R191" s="23">
        <v>44638</v>
      </c>
      <c r="S191" s="238">
        <f t="shared" si="23"/>
        <v>0.56164383561643838</v>
      </c>
      <c r="T191" s="95">
        <v>45196</v>
      </c>
      <c r="U191" s="246">
        <f t="shared" si="24"/>
        <v>2.0904109589041098</v>
      </c>
      <c r="V191" s="95">
        <v>45196</v>
      </c>
      <c r="W191" s="246">
        <f t="shared" si="25"/>
        <v>2.0904109589041098</v>
      </c>
      <c r="X191" s="95">
        <v>45195</v>
      </c>
      <c r="Y191" s="246">
        <f t="shared" si="26"/>
        <v>2.0876712328767124</v>
      </c>
      <c r="Z191" s="95">
        <v>45196</v>
      </c>
      <c r="AA191" s="246">
        <f t="shared" si="27"/>
        <v>2.0904109589041098</v>
      </c>
      <c r="AB191" s="308">
        <v>0</v>
      </c>
      <c r="AC191">
        <v>0</v>
      </c>
      <c r="AD191" s="299">
        <v>91</v>
      </c>
      <c r="AE191" s="299">
        <v>13</v>
      </c>
      <c r="AF191" s="298">
        <f>AE191/(AD191/100)^2</f>
        <v>15.698587127158554</v>
      </c>
      <c r="AG191" s="299">
        <v>71.099999999999994</v>
      </c>
      <c r="AH191" s="299">
        <v>92.6</v>
      </c>
      <c r="AI191" s="299">
        <v>31.3</v>
      </c>
      <c r="AJ191" s="301">
        <v>0</v>
      </c>
      <c r="AK191" s="301">
        <v>1</v>
      </c>
      <c r="AL191" s="305">
        <v>2</v>
      </c>
      <c r="AM191" s="305">
        <v>0</v>
      </c>
      <c r="AN191" s="307">
        <v>0</v>
      </c>
    </row>
    <row r="192" spans="1:40" ht="16">
      <c r="A192" s="2" t="s">
        <v>2622</v>
      </c>
      <c r="B192" s="2">
        <v>22109754</v>
      </c>
      <c r="C192" s="53" t="s">
        <v>781</v>
      </c>
      <c r="D192" s="2" t="s">
        <v>782</v>
      </c>
      <c r="E192" s="2">
        <v>0</v>
      </c>
      <c r="F192" s="23">
        <v>44552</v>
      </c>
      <c r="G192" s="23">
        <v>44564</v>
      </c>
      <c r="H192" s="23">
        <v>44552</v>
      </c>
      <c r="I192" s="2" t="s">
        <v>75</v>
      </c>
      <c r="J192" s="4">
        <v>2750</v>
      </c>
      <c r="K192" s="56" t="s">
        <v>783</v>
      </c>
      <c r="L192" s="17"/>
      <c r="M192" s="241">
        <f t="shared" si="20"/>
        <v>-122.06027397260274</v>
      </c>
      <c r="N192" s="40">
        <v>44747</v>
      </c>
      <c r="O192" s="241">
        <f t="shared" si="21"/>
        <v>0.53424657534246578</v>
      </c>
      <c r="P192" s="40">
        <v>44745</v>
      </c>
      <c r="Q192" s="241">
        <f t="shared" si="22"/>
        <v>0.52876712328767128</v>
      </c>
      <c r="R192" s="17"/>
      <c r="S192" s="241">
        <f t="shared" si="23"/>
        <v>-122.06027397260274</v>
      </c>
      <c r="T192" s="25" t="s">
        <v>2498</v>
      </c>
      <c r="U192" s="248" t="e">
        <f t="shared" si="24"/>
        <v>#VALUE!</v>
      </c>
      <c r="V192" s="25" t="s">
        <v>2444</v>
      </c>
      <c r="W192" s="248" t="e">
        <f t="shared" si="25"/>
        <v>#VALUE!</v>
      </c>
      <c r="X192" s="25" t="s">
        <v>2444</v>
      </c>
      <c r="Y192" s="248" t="e">
        <f t="shared" si="26"/>
        <v>#VALUE!</v>
      </c>
      <c r="Z192" s="25" t="s">
        <v>2444</v>
      </c>
      <c r="AA192" s="248" t="e">
        <f t="shared" si="27"/>
        <v>#VALUE!</v>
      </c>
      <c r="AB192" s="308">
        <v>0</v>
      </c>
      <c r="AC192">
        <v>0</v>
      </c>
      <c r="AD192" s="302"/>
      <c r="AE192" s="302"/>
      <c r="AF192" s="303"/>
      <c r="AG192" s="302"/>
      <c r="AH192" s="302"/>
      <c r="AI192" s="302"/>
      <c r="AJ192" s="304"/>
      <c r="AK192" s="304"/>
      <c r="AL192" s="306"/>
      <c r="AM192" s="306"/>
      <c r="AN192" s="307">
        <v>0</v>
      </c>
    </row>
    <row r="193" spans="1:40" ht="16">
      <c r="A193" s="2" t="s">
        <v>784</v>
      </c>
      <c r="B193" s="2">
        <v>22109131</v>
      </c>
      <c r="C193" s="53" t="s">
        <v>785</v>
      </c>
      <c r="D193" s="2" t="s">
        <v>786</v>
      </c>
      <c r="E193" s="2">
        <v>1</v>
      </c>
      <c r="F193" s="23">
        <v>44483</v>
      </c>
      <c r="G193" s="23">
        <v>44490</v>
      </c>
      <c r="H193" s="23">
        <v>44483</v>
      </c>
      <c r="I193" s="2">
        <v>39</v>
      </c>
      <c r="J193" s="4">
        <v>3450</v>
      </c>
      <c r="K193" s="56" t="s">
        <v>787</v>
      </c>
      <c r="L193" s="23">
        <v>44852</v>
      </c>
      <c r="M193" s="238">
        <f t="shared" si="20"/>
        <v>1.010958904109589</v>
      </c>
      <c r="N193" s="23">
        <v>44684</v>
      </c>
      <c r="O193" s="238">
        <f t="shared" si="21"/>
        <v>0.55068493150684927</v>
      </c>
      <c r="P193" s="23">
        <v>44683</v>
      </c>
      <c r="Q193" s="238">
        <f t="shared" si="22"/>
        <v>0.54794520547945202</v>
      </c>
      <c r="R193" s="23">
        <v>44684</v>
      </c>
      <c r="S193" s="238">
        <f t="shared" si="23"/>
        <v>0.55068493150684927</v>
      </c>
      <c r="T193" s="17" t="s">
        <v>2464</v>
      </c>
      <c r="U193" s="241" t="e">
        <f t="shared" si="24"/>
        <v>#VALUE!</v>
      </c>
      <c r="V193" s="40">
        <v>45232</v>
      </c>
      <c r="W193" s="241">
        <f t="shared" si="25"/>
        <v>2.0520547945205481</v>
      </c>
      <c r="X193" s="40">
        <v>45231</v>
      </c>
      <c r="Y193" s="241">
        <f t="shared" si="26"/>
        <v>2.0493150684931507</v>
      </c>
      <c r="Z193" s="17" t="s">
        <v>2464</v>
      </c>
      <c r="AA193" s="241" t="e">
        <f t="shared" si="27"/>
        <v>#VALUE!</v>
      </c>
      <c r="AB193" s="308">
        <v>0</v>
      </c>
      <c r="AC193">
        <v>0</v>
      </c>
      <c r="AD193" s="299">
        <v>84</v>
      </c>
      <c r="AE193" s="299">
        <v>10</v>
      </c>
      <c r="AF193" s="298">
        <f>AE193/(AD193/100)^2</f>
        <v>14.172335600907031</v>
      </c>
      <c r="AG193" s="299">
        <v>1</v>
      </c>
      <c r="AH193" s="299">
        <v>20.100000000000001</v>
      </c>
      <c r="AI193" s="299">
        <v>1.2</v>
      </c>
      <c r="AJ193" s="301">
        <v>0</v>
      </c>
      <c r="AK193" s="301">
        <v>0</v>
      </c>
      <c r="AL193" s="305">
        <v>2</v>
      </c>
      <c r="AM193" s="305">
        <v>0</v>
      </c>
      <c r="AN193" s="307">
        <v>0</v>
      </c>
    </row>
    <row r="194" spans="1:40" ht="16">
      <c r="A194" s="2" t="s">
        <v>788</v>
      </c>
      <c r="B194" s="2">
        <v>22108366</v>
      </c>
      <c r="C194" s="53" t="s">
        <v>789</v>
      </c>
      <c r="D194" s="2" t="s">
        <v>790</v>
      </c>
      <c r="E194" s="2">
        <v>0</v>
      </c>
      <c r="F194" s="23">
        <v>44397</v>
      </c>
      <c r="G194" s="23">
        <v>44463</v>
      </c>
      <c r="H194" s="23">
        <v>44463</v>
      </c>
      <c r="I194" s="2" t="s">
        <v>304</v>
      </c>
      <c r="J194" s="4">
        <v>1600</v>
      </c>
      <c r="K194" s="56" t="s">
        <v>791</v>
      </c>
      <c r="L194" s="23">
        <v>44649</v>
      </c>
      <c r="M194" s="238">
        <f t="shared" ref="M194:M207" si="29">(L194-H194)/365</f>
        <v>0.50958904109589043</v>
      </c>
      <c r="N194" s="23">
        <v>44649</v>
      </c>
      <c r="O194" s="238">
        <f t="shared" ref="O194:O207" si="30">(N194-H194)/365</f>
        <v>0.50958904109589043</v>
      </c>
      <c r="P194" s="23">
        <v>44645</v>
      </c>
      <c r="Q194" s="238">
        <f t="shared" ref="Q194:Q207" si="31">(P194-H194)/365</f>
        <v>0.49863013698630138</v>
      </c>
      <c r="R194" s="23">
        <v>44649</v>
      </c>
      <c r="S194" s="238">
        <f t="shared" ref="S194:S207" si="32">(R194-H194)/365</f>
        <v>0.50958904109589043</v>
      </c>
      <c r="T194" s="95">
        <v>45204</v>
      </c>
      <c r="U194" s="246">
        <f t="shared" ref="U194:U207" si="33">(T194-H194)/365</f>
        <v>2.0301369863013701</v>
      </c>
      <c r="V194" s="95">
        <v>45204</v>
      </c>
      <c r="W194" s="246">
        <f t="shared" ref="W194:W207" si="34">(V194-H194)/365</f>
        <v>2.0301369863013701</v>
      </c>
      <c r="X194" s="95">
        <v>45202</v>
      </c>
      <c r="Y194" s="246">
        <f t="shared" ref="Y194:Y207" si="35">(X194-H194)/365</f>
        <v>2.0246575342465754</v>
      </c>
      <c r="Z194" s="95">
        <v>45204</v>
      </c>
      <c r="AA194" s="246">
        <f t="shared" ref="AA194:AA207" si="36">(Z194-H194)/365</f>
        <v>2.0301369863013701</v>
      </c>
      <c r="AB194" s="308">
        <v>1</v>
      </c>
      <c r="AC194">
        <v>1</v>
      </c>
      <c r="AD194" s="299">
        <v>84.5</v>
      </c>
      <c r="AE194" s="299">
        <v>10.8</v>
      </c>
      <c r="AF194" s="298">
        <f>AE194/(AD194/100)^2</f>
        <v>15.125520815097513</v>
      </c>
      <c r="AG194" s="299">
        <v>13.3</v>
      </c>
      <c r="AH194" s="299">
        <v>41.1</v>
      </c>
      <c r="AI194" s="299">
        <v>16.3</v>
      </c>
      <c r="AJ194" s="301">
        <v>0</v>
      </c>
      <c r="AK194" s="301">
        <v>1</v>
      </c>
      <c r="AL194" s="305">
        <v>0</v>
      </c>
      <c r="AM194" s="305">
        <v>0</v>
      </c>
      <c r="AN194" s="307">
        <v>0</v>
      </c>
    </row>
    <row r="195" spans="1:40" ht="16">
      <c r="A195" s="2" t="s">
        <v>792</v>
      </c>
      <c r="B195" s="2">
        <v>22109864</v>
      </c>
      <c r="C195" s="53" t="s">
        <v>793</v>
      </c>
      <c r="D195" s="2" t="s">
        <v>794</v>
      </c>
      <c r="E195" s="2">
        <v>0</v>
      </c>
      <c r="F195" s="23">
        <v>44562</v>
      </c>
      <c r="G195" s="23">
        <v>44566</v>
      </c>
      <c r="H195" s="23">
        <v>44562</v>
      </c>
      <c r="I195" s="2" t="s">
        <v>19</v>
      </c>
      <c r="J195" s="4">
        <v>2500</v>
      </c>
      <c r="K195" s="56" t="s">
        <v>795</v>
      </c>
      <c r="L195" s="23">
        <v>44855</v>
      </c>
      <c r="M195" s="238">
        <f t="shared" si="29"/>
        <v>0.80273972602739729</v>
      </c>
      <c r="N195" s="23">
        <v>44750</v>
      </c>
      <c r="O195" s="238">
        <f t="shared" si="30"/>
        <v>0.51506849315068493</v>
      </c>
      <c r="P195" s="23">
        <v>44746</v>
      </c>
      <c r="Q195" s="238">
        <f t="shared" si="31"/>
        <v>0.50410958904109593</v>
      </c>
      <c r="R195" s="23">
        <v>44750</v>
      </c>
      <c r="S195" s="238">
        <f t="shared" si="32"/>
        <v>0.51506849315068493</v>
      </c>
      <c r="T195" s="95">
        <v>45583</v>
      </c>
      <c r="U195" s="246">
        <f t="shared" si="33"/>
        <v>2.7972602739726029</v>
      </c>
      <c r="V195" s="95">
        <v>45583</v>
      </c>
      <c r="W195" s="246">
        <f t="shared" si="34"/>
        <v>2.7972602739726029</v>
      </c>
      <c r="X195" s="95">
        <v>45610</v>
      </c>
      <c r="Y195" s="246">
        <f t="shared" si="35"/>
        <v>2.871232876712329</v>
      </c>
      <c r="Z195" s="95">
        <v>45583</v>
      </c>
      <c r="AA195" s="246">
        <f t="shared" si="36"/>
        <v>2.7972602739726029</v>
      </c>
      <c r="AB195" s="308">
        <v>0</v>
      </c>
      <c r="AC195">
        <v>0</v>
      </c>
      <c r="AD195" s="299">
        <v>88.6</v>
      </c>
      <c r="AE195" s="299">
        <v>11.3</v>
      </c>
      <c r="AF195" s="298">
        <f>AE195/(AD195/100)^2</f>
        <v>14.394977808804125</v>
      </c>
      <c r="AG195" s="299">
        <v>4.7</v>
      </c>
      <c r="AH195" s="299">
        <v>15.8</v>
      </c>
      <c r="AI195" s="299">
        <v>9.4</v>
      </c>
      <c r="AJ195" s="301">
        <v>0</v>
      </c>
      <c r="AK195" s="301">
        <v>1</v>
      </c>
      <c r="AL195" s="305">
        <v>0</v>
      </c>
      <c r="AM195" s="305">
        <v>0</v>
      </c>
      <c r="AN195" s="307">
        <v>0</v>
      </c>
    </row>
    <row r="196" spans="1:40" ht="16">
      <c r="A196" s="2" t="s">
        <v>796</v>
      </c>
      <c r="B196" s="2">
        <v>22109794</v>
      </c>
      <c r="C196" s="53" t="s">
        <v>797</v>
      </c>
      <c r="D196" s="2" t="s">
        <v>798</v>
      </c>
      <c r="E196" s="2">
        <v>0</v>
      </c>
      <c r="F196" s="23">
        <v>44555</v>
      </c>
      <c r="G196" s="23">
        <v>44616</v>
      </c>
      <c r="H196" s="23">
        <v>44616</v>
      </c>
      <c r="I196" s="2" t="s">
        <v>66</v>
      </c>
      <c r="J196" s="4">
        <v>1125</v>
      </c>
      <c r="K196" s="56" t="s">
        <v>799</v>
      </c>
      <c r="L196" s="17"/>
      <c r="M196" s="241">
        <f t="shared" si="29"/>
        <v>-122.23561643835616</v>
      </c>
      <c r="N196" s="40">
        <v>44789</v>
      </c>
      <c r="O196" s="241">
        <f t="shared" si="30"/>
        <v>0.47397260273972602</v>
      </c>
      <c r="P196" s="40">
        <v>44788</v>
      </c>
      <c r="Q196" s="241">
        <f t="shared" si="31"/>
        <v>0.47123287671232877</v>
      </c>
      <c r="R196" s="40">
        <v>44789</v>
      </c>
      <c r="S196" s="241">
        <f t="shared" si="32"/>
        <v>0.47397260273972602</v>
      </c>
      <c r="T196" s="25"/>
      <c r="U196" s="248">
        <f t="shared" si="33"/>
        <v>-122.23561643835616</v>
      </c>
      <c r="V196" s="25"/>
      <c r="W196" s="248">
        <f t="shared" si="34"/>
        <v>-122.23561643835616</v>
      </c>
      <c r="X196" s="25"/>
      <c r="Y196" s="248">
        <f t="shared" si="35"/>
        <v>-122.23561643835616</v>
      </c>
      <c r="Z196" s="25"/>
      <c r="AA196" s="248">
        <f t="shared" si="36"/>
        <v>-122.23561643835616</v>
      </c>
      <c r="AB196" s="308">
        <v>1</v>
      </c>
      <c r="AC196" s="308">
        <v>2</v>
      </c>
      <c r="AD196" s="302"/>
      <c r="AE196" s="302"/>
      <c r="AF196" s="303"/>
      <c r="AG196" s="302"/>
      <c r="AH196" s="302"/>
      <c r="AI196" s="302"/>
      <c r="AJ196" s="304"/>
      <c r="AK196" s="304"/>
      <c r="AL196" s="306"/>
      <c r="AM196" s="306"/>
      <c r="AN196" s="307">
        <v>0</v>
      </c>
    </row>
    <row r="197" spans="1:40" ht="16">
      <c r="A197" s="6" t="s">
        <v>800</v>
      </c>
      <c r="B197" s="6">
        <v>37900814</v>
      </c>
      <c r="C197" s="54" t="s">
        <v>801</v>
      </c>
      <c r="D197" s="6" t="s">
        <v>802</v>
      </c>
      <c r="E197" s="6">
        <v>0</v>
      </c>
      <c r="F197" s="42">
        <v>44500</v>
      </c>
      <c r="G197" s="47">
        <v>44500</v>
      </c>
      <c r="H197" s="42">
        <v>44500</v>
      </c>
      <c r="I197" s="6">
        <v>39</v>
      </c>
      <c r="J197" s="7">
        <v>2335</v>
      </c>
      <c r="K197" s="57" t="s">
        <v>803</v>
      </c>
      <c r="L197" s="20" t="s">
        <v>2215</v>
      </c>
      <c r="M197" s="240" t="e">
        <f t="shared" si="29"/>
        <v>#VALUE!</v>
      </c>
      <c r="N197" s="20" t="s">
        <v>2215</v>
      </c>
      <c r="O197" s="240" t="e">
        <f t="shared" si="30"/>
        <v>#VALUE!</v>
      </c>
      <c r="P197" s="20" t="s">
        <v>2215</v>
      </c>
      <c r="Q197" s="240" t="e">
        <f t="shared" si="31"/>
        <v>#VALUE!</v>
      </c>
      <c r="R197" s="20" t="s">
        <v>2215</v>
      </c>
      <c r="S197" s="240" t="e">
        <f t="shared" si="32"/>
        <v>#VALUE!</v>
      </c>
      <c r="T197" s="61" t="s">
        <v>2368</v>
      </c>
      <c r="U197" s="247" t="e">
        <f t="shared" si="33"/>
        <v>#VALUE!</v>
      </c>
      <c r="V197" s="61" t="s">
        <v>2369</v>
      </c>
      <c r="W197" s="247" t="e">
        <f t="shared" si="34"/>
        <v>#VALUE!</v>
      </c>
      <c r="X197" s="61" t="s">
        <v>2370</v>
      </c>
      <c r="Y197" s="247" t="e">
        <f t="shared" si="35"/>
        <v>#VALUE!</v>
      </c>
      <c r="Z197" s="61" t="s">
        <v>2371</v>
      </c>
      <c r="AA197" s="247" t="e">
        <f t="shared" si="36"/>
        <v>#VALUE!</v>
      </c>
      <c r="AB197" s="308">
        <v>0</v>
      </c>
      <c r="AC197" s="309">
        <v>0</v>
      </c>
      <c r="AD197" s="302"/>
      <c r="AE197" s="302"/>
      <c r="AF197" s="303"/>
      <c r="AG197" s="302"/>
      <c r="AH197" s="302"/>
      <c r="AI197" s="302"/>
      <c r="AJ197" s="304"/>
      <c r="AK197" s="304"/>
      <c r="AL197" s="306"/>
      <c r="AM197" s="306"/>
      <c r="AN197" s="307">
        <v>0</v>
      </c>
    </row>
    <row r="198" spans="1:40" ht="16">
      <c r="A198" s="2" t="s">
        <v>804</v>
      </c>
      <c r="B198" s="2">
        <v>22108914</v>
      </c>
      <c r="C198" s="53" t="s">
        <v>805</v>
      </c>
      <c r="D198" s="2" t="s">
        <v>424</v>
      </c>
      <c r="E198" s="2">
        <v>0</v>
      </c>
      <c r="F198" s="23">
        <v>44458</v>
      </c>
      <c r="G198" s="23">
        <v>44463</v>
      </c>
      <c r="H198" s="23">
        <v>44458</v>
      </c>
      <c r="I198" s="2" t="s">
        <v>452</v>
      </c>
      <c r="J198" s="4">
        <v>3370</v>
      </c>
      <c r="K198" s="56" t="s">
        <v>806</v>
      </c>
      <c r="L198" s="23">
        <v>44642</v>
      </c>
      <c r="M198" s="238">
        <f t="shared" si="29"/>
        <v>0.50410958904109593</v>
      </c>
      <c r="N198" s="23">
        <v>44743</v>
      </c>
      <c r="O198" s="238">
        <f t="shared" si="30"/>
        <v>0.78082191780821919</v>
      </c>
      <c r="P198" s="23">
        <v>44742</v>
      </c>
      <c r="Q198" s="238">
        <f t="shared" si="31"/>
        <v>0.77808219178082194</v>
      </c>
      <c r="R198" s="23">
        <v>44642</v>
      </c>
      <c r="S198" s="238">
        <f t="shared" si="32"/>
        <v>0.50410958904109593</v>
      </c>
      <c r="T198" s="95">
        <v>45289</v>
      </c>
      <c r="U198" s="246">
        <f t="shared" si="33"/>
        <v>2.2767123287671232</v>
      </c>
      <c r="V198" s="95">
        <v>45289</v>
      </c>
      <c r="W198" s="246">
        <f t="shared" si="34"/>
        <v>2.2767123287671232</v>
      </c>
      <c r="X198" s="95">
        <v>45284</v>
      </c>
      <c r="Y198" s="246">
        <f t="shared" si="35"/>
        <v>2.2630136986301368</v>
      </c>
      <c r="Z198" s="95">
        <v>45289</v>
      </c>
      <c r="AA198" s="246">
        <f t="shared" si="36"/>
        <v>2.2767123287671232</v>
      </c>
      <c r="AB198" s="308">
        <v>0</v>
      </c>
      <c r="AC198">
        <v>0</v>
      </c>
      <c r="AD198" s="299">
        <v>91</v>
      </c>
      <c r="AE198" s="299">
        <v>14.5</v>
      </c>
      <c r="AF198" s="298">
        <f>AE198/(AD198/100)^2</f>
        <v>17.509962564907617</v>
      </c>
      <c r="AG198" s="299">
        <v>88.9</v>
      </c>
      <c r="AH198" s="299">
        <v>80.400000000000006</v>
      </c>
      <c r="AI198" s="299">
        <v>81.5</v>
      </c>
      <c r="AJ198" s="301">
        <v>0</v>
      </c>
      <c r="AK198" s="301">
        <v>1</v>
      </c>
      <c r="AL198" s="305">
        <v>2</v>
      </c>
      <c r="AM198" s="305">
        <v>0</v>
      </c>
      <c r="AN198" s="307">
        <v>0</v>
      </c>
    </row>
    <row r="199" spans="1:40" ht="16">
      <c r="A199" s="2" t="s">
        <v>807</v>
      </c>
      <c r="B199" s="2">
        <v>22108784</v>
      </c>
      <c r="C199" s="53" t="s">
        <v>808</v>
      </c>
      <c r="D199" s="2" t="s">
        <v>809</v>
      </c>
      <c r="E199" s="2">
        <v>1</v>
      </c>
      <c r="F199" s="23">
        <v>44444</v>
      </c>
      <c r="G199" s="23">
        <v>44511</v>
      </c>
      <c r="H199" s="23">
        <v>44511</v>
      </c>
      <c r="I199" s="2" t="s">
        <v>139</v>
      </c>
      <c r="J199" s="4">
        <v>1040</v>
      </c>
      <c r="K199" s="56" t="s">
        <v>810</v>
      </c>
      <c r="L199" s="23">
        <v>44684</v>
      </c>
      <c r="M199" s="238">
        <f t="shared" si="29"/>
        <v>0.47397260273972602</v>
      </c>
      <c r="N199" s="23">
        <v>44684</v>
      </c>
      <c r="O199" s="238">
        <f t="shared" si="30"/>
        <v>0.47397260273972602</v>
      </c>
      <c r="P199" s="23">
        <v>44682</v>
      </c>
      <c r="Q199" s="238">
        <f t="shared" si="31"/>
        <v>0.46849315068493153</v>
      </c>
      <c r="R199" s="23">
        <v>44684</v>
      </c>
      <c r="S199" s="238">
        <f t="shared" si="32"/>
        <v>0.47397260273972602</v>
      </c>
      <c r="T199" s="95">
        <v>45272</v>
      </c>
      <c r="U199" s="246">
        <f t="shared" si="33"/>
        <v>2.0849315068493151</v>
      </c>
      <c r="V199" s="95">
        <v>45272</v>
      </c>
      <c r="W199" s="246">
        <f t="shared" si="34"/>
        <v>2.0849315068493151</v>
      </c>
      <c r="X199" s="95">
        <v>45269</v>
      </c>
      <c r="Y199" s="246">
        <f t="shared" si="35"/>
        <v>2.0767123287671234</v>
      </c>
      <c r="Z199" s="95">
        <v>45272</v>
      </c>
      <c r="AA199" s="246">
        <f t="shared" si="36"/>
        <v>2.0849315068493151</v>
      </c>
      <c r="AB199" s="308">
        <v>1</v>
      </c>
      <c r="AC199">
        <v>2</v>
      </c>
      <c r="AD199" s="299">
        <v>87.6</v>
      </c>
      <c r="AE199" s="299">
        <v>11.2</v>
      </c>
      <c r="AF199" s="298">
        <f>AE199/(AD199/100)^2</f>
        <v>14.59519192677384</v>
      </c>
      <c r="AG199" s="299">
        <v>10.4</v>
      </c>
      <c r="AH199" s="299">
        <v>54.2</v>
      </c>
      <c r="AI199" s="299">
        <v>4</v>
      </c>
      <c r="AJ199" s="301">
        <v>0</v>
      </c>
      <c r="AK199" s="301">
        <v>1</v>
      </c>
      <c r="AL199" s="305">
        <v>0</v>
      </c>
      <c r="AM199" s="305">
        <v>0</v>
      </c>
      <c r="AN199" s="307">
        <v>1</v>
      </c>
    </row>
    <row r="200" spans="1:40" ht="16">
      <c r="A200" s="2" t="s">
        <v>811</v>
      </c>
      <c r="B200" s="2">
        <v>22109526</v>
      </c>
      <c r="C200" s="53" t="s">
        <v>812</v>
      </c>
      <c r="D200" s="2" t="s">
        <v>813</v>
      </c>
      <c r="E200" s="2">
        <v>1</v>
      </c>
      <c r="F200" s="23">
        <v>44525</v>
      </c>
      <c r="G200" s="23">
        <v>44527</v>
      </c>
      <c r="H200" s="23">
        <v>44525</v>
      </c>
      <c r="I200" s="2" t="s">
        <v>745</v>
      </c>
      <c r="J200" s="4">
        <v>3130</v>
      </c>
      <c r="K200" s="56" t="s">
        <v>814</v>
      </c>
      <c r="L200" s="23">
        <v>44712</v>
      </c>
      <c r="M200" s="238">
        <f t="shared" si="29"/>
        <v>0.51232876712328768</v>
      </c>
      <c r="N200" s="23">
        <v>44712</v>
      </c>
      <c r="O200" s="238">
        <f t="shared" si="30"/>
        <v>0.51232876712328768</v>
      </c>
      <c r="P200" s="23">
        <v>44710</v>
      </c>
      <c r="Q200" s="238">
        <f t="shared" si="31"/>
        <v>0.50684931506849318</v>
      </c>
      <c r="R200" s="23">
        <v>44712</v>
      </c>
      <c r="S200" s="238">
        <f t="shared" si="32"/>
        <v>0.51232876712328768</v>
      </c>
      <c r="T200" s="40">
        <v>45426</v>
      </c>
      <c r="U200" s="241">
        <f t="shared" si="33"/>
        <v>2.4684931506849317</v>
      </c>
      <c r="V200" s="40">
        <v>45425</v>
      </c>
      <c r="W200" s="241">
        <f t="shared" si="34"/>
        <v>2.4657534246575343</v>
      </c>
      <c r="X200" s="40">
        <v>45424</v>
      </c>
      <c r="Y200" s="241">
        <f t="shared" si="35"/>
        <v>2.463013698630137</v>
      </c>
      <c r="Z200" s="17"/>
      <c r="AA200" s="241">
        <f t="shared" si="36"/>
        <v>-121.98630136986301</v>
      </c>
      <c r="AB200" s="308">
        <v>0</v>
      </c>
      <c r="AC200">
        <v>0</v>
      </c>
      <c r="AD200" s="299">
        <v>87.5</v>
      </c>
      <c r="AE200" s="299">
        <v>14.1</v>
      </c>
      <c r="AF200" s="298">
        <f>AE200/(AD200/100)^2</f>
        <v>18.416326530612245</v>
      </c>
      <c r="AG200" s="299">
        <v>67.099999999999994</v>
      </c>
      <c r="AH200" s="299">
        <v>19.600000000000001</v>
      </c>
      <c r="AI200" s="299">
        <v>92.7</v>
      </c>
      <c r="AJ200" s="301">
        <v>0</v>
      </c>
      <c r="AK200" s="301">
        <v>1</v>
      </c>
      <c r="AL200" s="305">
        <v>2</v>
      </c>
      <c r="AM200" s="305">
        <v>0</v>
      </c>
      <c r="AN200" s="307">
        <v>0</v>
      </c>
    </row>
    <row r="201" spans="1:40" ht="16">
      <c r="A201" s="2" t="s">
        <v>815</v>
      </c>
      <c r="B201" s="2">
        <v>22109482</v>
      </c>
      <c r="C201" s="53" t="s">
        <v>816</v>
      </c>
      <c r="D201" s="2" t="s">
        <v>346</v>
      </c>
      <c r="E201" s="2">
        <v>1</v>
      </c>
      <c r="F201" s="23">
        <v>44520</v>
      </c>
      <c r="G201" s="23">
        <v>44522</v>
      </c>
      <c r="H201" s="23">
        <v>44520</v>
      </c>
      <c r="I201" s="2" t="s">
        <v>745</v>
      </c>
      <c r="J201" s="4">
        <v>3130</v>
      </c>
      <c r="K201" s="56" t="s">
        <v>817</v>
      </c>
      <c r="L201" s="23">
        <v>44705</v>
      </c>
      <c r="M201" s="238">
        <f t="shared" si="29"/>
        <v>0.50684931506849318</v>
      </c>
      <c r="N201" s="23">
        <v>44705</v>
      </c>
      <c r="O201" s="238">
        <f t="shared" si="30"/>
        <v>0.50684931506849318</v>
      </c>
      <c r="P201" s="23">
        <v>44701</v>
      </c>
      <c r="Q201" s="238">
        <f t="shared" si="31"/>
        <v>0.49589041095890413</v>
      </c>
      <c r="R201" s="23">
        <v>44705</v>
      </c>
      <c r="S201" s="238">
        <f t="shared" si="32"/>
        <v>0.50684931506849318</v>
      </c>
      <c r="T201" s="25" t="s">
        <v>2499</v>
      </c>
      <c r="U201" s="248" t="e">
        <f t="shared" si="33"/>
        <v>#VALUE!</v>
      </c>
      <c r="V201" s="25" t="s">
        <v>2445</v>
      </c>
      <c r="W201" s="248" t="e">
        <f t="shared" si="34"/>
        <v>#VALUE!</v>
      </c>
      <c r="X201" s="25" t="s">
        <v>2445</v>
      </c>
      <c r="Y201" s="248" t="e">
        <f t="shared" si="35"/>
        <v>#VALUE!</v>
      </c>
      <c r="Z201" s="25" t="s">
        <v>2445</v>
      </c>
      <c r="AA201" s="248" t="e">
        <f t="shared" si="36"/>
        <v>#VALUE!</v>
      </c>
      <c r="AB201" s="308">
        <v>0</v>
      </c>
      <c r="AC201">
        <v>0</v>
      </c>
      <c r="AD201" s="302"/>
      <c r="AE201" s="302"/>
      <c r="AF201" s="303"/>
      <c r="AG201" s="302"/>
      <c r="AH201" s="302"/>
      <c r="AI201" s="302"/>
      <c r="AJ201" s="304"/>
      <c r="AK201" s="304"/>
      <c r="AL201" s="306"/>
      <c r="AM201" s="306"/>
      <c r="AN201" s="307">
        <v>0</v>
      </c>
    </row>
    <row r="202" spans="1:40" ht="16">
      <c r="A202" s="2" t="s">
        <v>818</v>
      </c>
      <c r="B202" s="2">
        <v>22109057</v>
      </c>
      <c r="C202" s="53" t="s">
        <v>819</v>
      </c>
      <c r="D202" s="2" t="s">
        <v>778</v>
      </c>
      <c r="E202" s="2">
        <v>0</v>
      </c>
      <c r="F202" s="23">
        <v>44476</v>
      </c>
      <c r="G202" s="23">
        <v>44575</v>
      </c>
      <c r="H202" s="23">
        <v>44575</v>
      </c>
      <c r="I202" s="2" t="s">
        <v>820</v>
      </c>
      <c r="J202" s="4">
        <v>798</v>
      </c>
      <c r="K202" s="56" t="s">
        <v>821</v>
      </c>
      <c r="L202" s="40">
        <v>44792</v>
      </c>
      <c r="M202" s="241">
        <f t="shared" si="29"/>
        <v>0.59452054794520548</v>
      </c>
      <c r="N202" s="17" t="s">
        <v>1770</v>
      </c>
      <c r="O202" s="241" t="e">
        <f t="shared" si="30"/>
        <v>#VALUE!</v>
      </c>
      <c r="P202" s="40">
        <v>44790</v>
      </c>
      <c r="Q202" s="241">
        <f t="shared" si="31"/>
        <v>0.58904109589041098</v>
      </c>
      <c r="R202" s="40">
        <v>44792</v>
      </c>
      <c r="S202" s="241">
        <f t="shared" si="32"/>
        <v>0.59452054794520548</v>
      </c>
      <c r="T202" s="95">
        <v>45285</v>
      </c>
      <c r="U202" s="246">
        <f t="shared" si="33"/>
        <v>1.9452054794520548</v>
      </c>
      <c r="V202" s="95">
        <v>45286</v>
      </c>
      <c r="W202" s="246">
        <f t="shared" si="34"/>
        <v>1.9479452054794522</v>
      </c>
      <c r="X202" s="95">
        <v>45283</v>
      </c>
      <c r="Y202" s="246">
        <f t="shared" si="35"/>
        <v>1.9397260273972603</v>
      </c>
      <c r="Z202" s="95">
        <v>45285</v>
      </c>
      <c r="AA202" s="246">
        <f t="shared" si="36"/>
        <v>1.9452054794520548</v>
      </c>
      <c r="AB202" s="308">
        <v>2</v>
      </c>
      <c r="AC202">
        <v>2</v>
      </c>
      <c r="AD202" s="299">
        <v>82</v>
      </c>
      <c r="AE202" s="299">
        <v>10.4</v>
      </c>
      <c r="AF202" s="298">
        <f>AE202/(AD202/100)^2</f>
        <v>15.466983938132067</v>
      </c>
      <c r="AG202" s="299">
        <v>9</v>
      </c>
      <c r="AH202" s="299">
        <v>18</v>
      </c>
      <c r="AI202" s="299">
        <v>23.9</v>
      </c>
      <c r="AJ202" s="301">
        <v>1</v>
      </c>
      <c r="AK202" s="301">
        <v>1</v>
      </c>
      <c r="AL202" s="305">
        <v>0</v>
      </c>
      <c r="AM202" s="305">
        <v>0</v>
      </c>
      <c r="AN202" s="314" t="s">
        <v>2739</v>
      </c>
    </row>
    <row r="203" spans="1:40" ht="16.5" customHeight="1">
      <c r="A203" s="2" t="s">
        <v>822</v>
      </c>
      <c r="B203" s="2">
        <v>22109404</v>
      </c>
      <c r="C203" s="53" t="s">
        <v>823</v>
      </c>
      <c r="D203" s="2" t="s">
        <v>764</v>
      </c>
      <c r="E203" s="2">
        <v>1</v>
      </c>
      <c r="F203" s="23">
        <v>44512</v>
      </c>
      <c r="G203" s="23">
        <v>44515</v>
      </c>
      <c r="H203" s="23">
        <v>44512</v>
      </c>
      <c r="I203" s="2" t="s">
        <v>560</v>
      </c>
      <c r="J203" s="4">
        <v>2860</v>
      </c>
      <c r="K203" s="56" t="s">
        <v>824</v>
      </c>
      <c r="L203" s="23">
        <v>44729</v>
      </c>
      <c r="M203" s="238">
        <f t="shared" si="29"/>
        <v>0.59452054794520548</v>
      </c>
      <c r="N203" s="23">
        <v>44729</v>
      </c>
      <c r="O203" s="238">
        <f t="shared" si="30"/>
        <v>0.59452054794520548</v>
      </c>
      <c r="P203" s="23">
        <v>44726</v>
      </c>
      <c r="Q203" s="238">
        <f t="shared" si="31"/>
        <v>0.58630136986301373</v>
      </c>
      <c r="R203" s="23">
        <v>44729</v>
      </c>
      <c r="S203" s="238">
        <f t="shared" si="32"/>
        <v>0.59452054794520548</v>
      </c>
      <c r="T203" s="25" t="s">
        <v>2561</v>
      </c>
      <c r="U203" s="248" t="e">
        <f t="shared" si="33"/>
        <v>#VALUE!</v>
      </c>
      <c r="V203" s="25" t="s">
        <v>2561</v>
      </c>
      <c r="W203" s="248" t="e">
        <f t="shared" si="34"/>
        <v>#VALUE!</v>
      </c>
      <c r="X203" s="25" t="s">
        <v>2561</v>
      </c>
      <c r="Y203" s="248" t="e">
        <f t="shared" si="35"/>
        <v>#VALUE!</v>
      </c>
      <c r="Z203" s="25" t="s">
        <v>2561</v>
      </c>
      <c r="AA203" s="248" t="e">
        <f t="shared" si="36"/>
        <v>#VALUE!</v>
      </c>
      <c r="AB203" s="308">
        <v>0</v>
      </c>
      <c r="AC203" s="309">
        <v>0</v>
      </c>
      <c r="AD203" s="302"/>
      <c r="AE203" s="302"/>
      <c r="AF203" s="303"/>
      <c r="AG203" s="302"/>
      <c r="AH203" s="302"/>
      <c r="AI203" s="302"/>
      <c r="AJ203" s="304"/>
      <c r="AK203" s="304"/>
      <c r="AL203" s="306"/>
      <c r="AM203" s="306"/>
      <c r="AN203" s="307">
        <v>0</v>
      </c>
    </row>
    <row r="204" spans="1:40" ht="16.5" customHeight="1">
      <c r="A204" s="2" t="s">
        <v>825</v>
      </c>
      <c r="B204" s="2">
        <v>22107380</v>
      </c>
      <c r="C204" s="53" t="s">
        <v>826</v>
      </c>
      <c r="D204" s="2" t="s">
        <v>827</v>
      </c>
      <c r="E204" s="2">
        <v>1</v>
      </c>
      <c r="F204" s="23">
        <v>44293</v>
      </c>
      <c r="G204" s="23">
        <v>44392</v>
      </c>
      <c r="H204" s="23">
        <v>44392</v>
      </c>
      <c r="I204" s="2" t="s">
        <v>820</v>
      </c>
      <c r="J204" s="4">
        <v>913</v>
      </c>
      <c r="K204" s="56" t="s">
        <v>828</v>
      </c>
      <c r="L204" s="20" t="s">
        <v>2215</v>
      </c>
      <c r="M204" s="240" t="e">
        <f t="shared" si="29"/>
        <v>#VALUE!</v>
      </c>
      <c r="N204" s="20" t="s">
        <v>2215</v>
      </c>
      <c r="O204" s="240" t="e">
        <f t="shared" si="30"/>
        <v>#VALUE!</v>
      </c>
      <c r="P204" s="20" t="s">
        <v>2215</v>
      </c>
      <c r="Q204" s="240" t="e">
        <f t="shared" si="31"/>
        <v>#VALUE!</v>
      </c>
      <c r="R204" s="20" t="s">
        <v>2215</v>
      </c>
      <c r="S204" s="240" t="e">
        <f t="shared" si="32"/>
        <v>#VALUE!</v>
      </c>
      <c r="T204" s="25" t="s">
        <v>1955</v>
      </c>
      <c r="U204" s="248" t="e">
        <f t="shared" si="33"/>
        <v>#VALUE!</v>
      </c>
      <c r="V204" s="25" t="s">
        <v>1955</v>
      </c>
      <c r="W204" s="248" t="e">
        <f t="shared" si="34"/>
        <v>#VALUE!</v>
      </c>
      <c r="X204" s="25" t="s">
        <v>1955</v>
      </c>
      <c r="Y204" s="248" t="e">
        <f t="shared" si="35"/>
        <v>#VALUE!</v>
      </c>
      <c r="Z204" s="25" t="s">
        <v>1955</v>
      </c>
      <c r="AA204" s="248" t="e">
        <f t="shared" si="36"/>
        <v>#VALUE!</v>
      </c>
      <c r="AB204" s="308">
        <v>2</v>
      </c>
      <c r="AC204" s="308">
        <v>2</v>
      </c>
      <c r="AD204" s="302"/>
      <c r="AE204" s="302"/>
      <c r="AF204" s="303"/>
      <c r="AG204" s="302"/>
      <c r="AH204" s="302"/>
      <c r="AI204" s="302"/>
      <c r="AJ204" s="304"/>
      <c r="AK204" s="304"/>
      <c r="AL204" s="306"/>
      <c r="AM204" s="306"/>
      <c r="AN204" s="307">
        <v>1</v>
      </c>
    </row>
    <row r="205" spans="1:40" ht="16">
      <c r="A205" s="2" t="s">
        <v>829</v>
      </c>
      <c r="B205" s="2">
        <v>22108775</v>
      </c>
      <c r="C205" s="53" t="s">
        <v>830</v>
      </c>
      <c r="D205" s="2" t="s">
        <v>831</v>
      </c>
      <c r="E205" s="2">
        <v>0</v>
      </c>
      <c r="F205" s="23">
        <v>44443</v>
      </c>
      <c r="G205" s="23">
        <v>44506</v>
      </c>
      <c r="H205" s="23">
        <v>44506</v>
      </c>
      <c r="I205" s="2" t="s">
        <v>66</v>
      </c>
      <c r="J205" s="4">
        <v>1585</v>
      </c>
      <c r="K205" s="56" t="s">
        <v>832</v>
      </c>
      <c r="L205" s="23">
        <v>44686</v>
      </c>
      <c r="M205" s="238">
        <f t="shared" si="29"/>
        <v>0.49315068493150682</v>
      </c>
      <c r="N205" s="23">
        <v>44699</v>
      </c>
      <c r="O205" s="238">
        <f t="shared" si="30"/>
        <v>0.52876712328767128</v>
      </c>
      <c r="P205" s="23">
        <v>44699</v>
      </c>
      <c r="Q205" s="238">
        <f t="shared" si="31"/>
        <v>0.52876712328767128</v>
      </c>
      <c r="R205" s="23">
        <v>44686</v>
      </c>
      <c r="S205" s="238">
        <f t="shared" si="32"/>
        <v>0.49315068493150682</v>
      </c>
      <c r="T205" s="95">
        <v>45349</v>
      </c>
      <c r="U205" s="246">
        <f t="shared" si="33"/>
        <v>2.3095890410958906</v>
      </c>
      <c r="V205" s="95">
        <v>45349</v>
      </c>
      <c r="W205" s="246">
        <f t="shared" si="34"/>
        <v>2.3095890410958906</v>
      </c>
      <c r="X205" s="95">
        <v>45348</v>
      </c>
      <c r="Y205" s="246">
        <f t="shared" si="35"/>
        <v>2.3068493150684932</v>
      </c>
      <c r="Z205" s="95">
        <v>45349</v>
      </c>
      <c r="AA205" s="246">
        <f t="shared" si="36"/>
        <v>2.3095890410958906</v>
      </c>
      <c r="AB205" s="308">
        <v>1</v>
      </c>
      <c r="AC205">
        <v>1</v>
      </c>
      <c r="AD205" s="299">
        <v>93</v>
      </c>
      <c r="AE205" s="299">
        <v>18.5</v>
      </c>
      <c r="AF205" s="298">
        <f>AE205/(AD205/100)^2</f>
        <v>21.389756041160826</v>
      </c>
      <c r="AG205" s="299">
        <v>99.8</v>
      </c>
      <c r="AH205" s="299">
        <v>90.6</v>
      </c>
      <c r="AI205" s="299">
        <v>99.8</v>
      </c>
      <c r="AJ205" s="301">
        <v>0</v>
      </c>
      <c r="AK205" s="301">
        <v>1</v>
      </c>
      <c r="AL205" s="305">
        <v>2</v>
      </c>
      <c r="AM205" s="305">
        <v>0</v>
      </c>
      <c r="AN205" s="307">
        <v>0</v>
      </c>
    </row>
    <row r="206" spans="1:40" ht="16">
      <c r="A206" s="2" t="s">
        <v>833</v>
      </c>
      <c r="B206" s="2">
        <v>22103595</v>
      </c>
      <c r="C206" s="53" t="s">
        <v>834</v>
      </c>
      <c r="D206" s="2" t="s">
        <v>835</v>
      </c>
      <c r="E206" s="2">
        <v>1</v>
      </c>
      <c r="F206" s="23">
        <v>43922</v>
      </c>
      <c r="G206" s="23">
        <v>44016</v>
      </c>
      <c r="H206" s="23">
        <v>44016</v>
      </c>
      <c r="I206" s="2" t="s">
        <v>836</v>
      </c>
      <c r="J206" s="4">
        <v>780</v>
      </c>
      <c r="K206" s="56" t="s">
        <v>837</v>
      </c>
      <c r="L206" s="16" t="s">
        <v>1995</v>
      </c>
      <c r="M206" s="239" t="e">
        <f t="shared" si="29"/>
        <v>#VALUE!</v>
      </c>
      <c r="N206" s="16" t="s">
        <v>1995</v>
      </c>
      <c r="O206" s="239" t="e">
        <f t="shared" si="30"/>
        <v>#VALUE!</v>
      </c>
      <c r="P206" s="16" t="s">
        <v>1995</v>
      </c>
      <c r="Q206" s="239" t="e">
        <f t="shared" si="31"/>
        <v>#VALUE!</v>
      </c>
      <c r="R206" s="16" t="s">
        <v>1995</v>
      </c>
      <c r="S206" s="239" t="e">
        <f t="shared" si="32"/>
        <v>#VALUE!</v>
      </c>
      <c r="T206" s="95">
        <v>44790</v>
      </c>
      <c r="U206" s="246">
        <f t="shared" si="33"/>
        <v>2.1205479452054794</v>
      </c>
      <c r="V206" s="95">
        <v>44790</v>
      </c>
      <c r="W206" s="246">
        <f t="shared" si="34"/>
        <v>2.1205479452054794</v>
      </c>
      <c r="X206" s="95">
        <v>44789</v>
      </c>
      <c r="Y206" s="246">
        <f t="shared" si="35"/>
        <v>2.117808219178082</v>
      </c>
      <c r="Z206" s="95">
        <v>44750</v>
      </c>
      <c r="AA206" s="246">
        <f t="shared" si="36"/>
        <v>2.010958904109589</v>
      </c>
      <c r="AB206" s="308">
        <v>2</v>
      </c>
      <c r="AC206">
        <v>2</v>
      </c>
      <c r="AD206" s="299">
        <v>88.5</v>
      </c>
      <c r="AE206" s="299">
        <v>11.2</v>
      </c>
      <c r="AF206" s="298">
        <f>AE206/(AD206/100)^2</f>
        <v>14.299849979252448</v>
      </c>
      <c r="AG206" s="299">
        <v>9.6</v>
      </c>
      <c r="AH206" s="299">
        <v>59.9</v>
      </c>
      <c r="AI206" s="299">
        <v>1.9</v>
      </c>
      <c r="AJ206" s="301">
        <v>0</v>
      </c>
      <c r="AK206" s="301">
        <v>1</v>
      </c>
      <c r="AL206" s="305">
        <v>2</v>
      </c>
      <c r="AM206" s="305">
        <v>2</v>
      </c>
      <c r="AN206" s="307">
        <v>1</v>
      </c>
    </row>
    <row r="207" spans="1:40" ht="16">
      <c r="A207" s="2" t="s">
        <v>838</v>
      </c>
      <c r="B207" s="2">
        <v>22109382</v>
      </c>
      <c r="C207" s="53" t="s">
        <v>839</v>
      </c>
      <c r="D207" s="2" t="s">
        <v>264</v>
      </c>
      <c r="E207" s="2">
        <v>0</v>
      </c>
      <c r="F207" s="23">
        <v>44511</v>
      </c>
      <c r="G207" s="23">
        <v>44516</v>
      </c>
      <c r="H207" s="23">
        <v>44511</v>
      </c>
      <c r="I207" s="2" t="s">
        <v>452</v>
      </c>
      <c r="J207" s="4">
        <v>2630</v>
      </c>
      <c r="K207" s="56" t="s">
        <v>840</v>
      </c>
      <c r="L207" s="23">
        <v>44887</v>
      </c>
      <c r="M207" s="238">
        <f t="shared" si="29"/>
        <v>1.0301369863013699</v>
      </c>
      <c r="N207" s="23">
        <v>44886</v>
      </c>
      <c r="O207" s="238">
        <f t="shared" si="30"/>
        <v>1.0273972602739727</v>
      </c>
      <c r="P207" s="23">
        <v>44772</v>
      </c>
      <c r="Q207" s="238">
        <f t="shared" si="31"/>
        <v>0.71506849315068488</v>
      </c>
      <c r="R207" s="23">
        <v>44887</v>
      </c>
      <c r="S207" s="238">
        <f t="shared" si="32"/>
        <v>1.0301369863013699</v>
      </c>
      <c r="T207" s="95">
        <v>45257</v>
      </c>
      <c r="U207" s="246">
        <f t="shared" si="33"/>
        <v>2.043835616438356</v>
      </c>
      <c r="V207" s="95">
        <v>45256</v>
      </c>
      <c r="W207" s="246">
        <f t="shared" si="34"/>
        <v>2.0410958904109591</v>
      </c>
      <c r="X207" s="95">
        <v>45253</v>
      </c>
      <c r="Y207" s="246">
        <f t="shared" si="35"/>
        <v>2.032876712328767</v>
      </c>
      <c r="Z207" s="95">
        <v>45257</v>
      </c>
      <c r="AA207" s="246">
        <f t="shared" si="36"/>
        <v>2.043835616438356</v>
      </c>
      <c r="AB207" s="308">
        <v>0</v>
      </c>
      <c r="AC207">
        <v>0</v>
      </c>
      <c r="AD207" s="299">
        <v>79.8</v>
      </c>
      <c r="AE207" s="299">
        <v>10.6</v>
      </c>
      <c r="AF207" s="298">
        <f>AE207/(AD207/100)^2</f>
        <v>16.645624085275848</v>
      </c>
      <c r="AG207" s="299">
        <v>9.4</v>
      </c>
      <c r="AH207" s="299">
        <v>5.5</v>
      </c>
      <c r="AI207" s="299">
        <v>57.3</v>
      </c>
      <c r="AJ207" s="301">
        <v>0</v>
      </c>
      <c r="AK207" s="301">
        <v>1</v>
      </c>
      <c r="AL207" s="305">
        <v>0</v>
      </c>
      <c r="AM207" s="305">
        <v>0</v>
      </c>
      <c r="AN207" s="307">
        <v>0</v>
      </c>
    </row>
    <row r="208" spans="1:40" ht="16">
      <c r="A208" s="2"/>
      <c r="B208" s="23"/>
      <c r="C208" s="23"/>
      <c r="D208" s="2"/>
      <c r="E208" s="2"/>
      <c r="F208" s="2"/>
      <c r="G208" s="2"/>
      <c r="H208" s="2"/>
      <c r="I208" s="2"/>
      <c r="J208" s="4"/>
      <c r="K208" s="27"/>
    </row>
    <row r="209" spans="1:32" ht="16">
      <c r="A209" s="2"/>
      <c r="B209" s="2"/>
      <c r="C209" s="2"/>
      <c r="D209" s="2"/>
      <c r="E209" s="2"/>
      <c r="F209" s="2"/>
      <c r="G209" s="2"/>
      <c r="H209" s="2"/>
      <c r="I209" s="2"/>
      <c r="J209" s="4"/>
      <c r="K209" s="27"/>
    </row>
    <row r="210" spans="1:32" ht="16">
      <c r="AD210" s="300"/>
      <c r="AF210" s="106"/>
    </row>
    <row r="211" spans="1:32" ht="16">
      <c r="AD211" s="300"/>
      <c r="AF211" s="106"/>
    </row>
    <row r="212" spans="1:32" ht="16">
      <c r="D212" s="259"/>
      <c r="AD212" s="300"/>
      <c r="AF212" s="106"/>
    </row>
    <row r="213" spans="1:32" ht="16">
      <c r="AD213" s="300"/>
      <c r="AF213" s="106"/>
    </row>
    <row r="214" spans="1:32" ht="16">
      <c r="AD214" s="300"/>
      <c r="AF214" s="106"/>
    </row>
    <row r="215" spans="1:32" ht="16">
      <c r="AD215" s="300"/>
      <c r="AF215" s="106"/>
    </row>
    <row r="216" spans="1:32" ht="16">
      <c r="AD216" s="300"/>
      <c r="AE216" s="300"/>
      <c r="AF216" s="106"/>
    </row>
    <row r="217" spans="1:32" ht="16">
      <c r="AD217" s="300"/>
      <c r="AE217" s="300"/>
      <c r="AF217" s="106"/>
    </row>
    <row r="218" spans="1:32" ht="16">
      <c r="AD218" s="300"/>
      <c r="AE218" s="300"/>
      <c r="AF218" s="106"/>
    </row>
    <row r="219" spans="1:32" ht="16">
      <c r="AD219" s="300"/>
      <c r="AE219" s="300"/>
      <c r="AF219" s="106"/>
    </row>
    <row r="220" spans="1:32" ht="16">
      <c r="AD220" s="300"/>
      <c r="AE220" s="300"/>
      <c r="AF220" s="106"/>
    </row>
    <row r="221" spans="1:32" ht="16">
      <c r="AD221" s="300"/>
      <c r="AE221" s="300"/>
      <c r="AF221" s="106"/>
    </row>
    <row r="222" spans="1:32" ht="16">
      <c r="AD222" s="300"/>
      <c r="AE222" s="300"/>
      <c r="AF222" s="106"/>
    </row>
    <row r="223" spans="1:32" ht="16">
      <c r="AD223" s="300"/>
      <c r="AE223" s="300"/>
      <c r="AF223" s="106"/>
    </row>
    <row r="224" spans="1:32" ht="16">
      <c r="AD224" s="300"/>
      <c r="AE224" s="300"/>
      <c r="AF224" s="106"/>
    </row>
    <row r="225" spans="30:32" ht="16">
      <c r="AD225" s="300"/>
      <c r="AE225" s="300"/>
      <c r="AF225" s="106"/>
    </row>
    <row r="226" spans="30:32" ht="16">
      <c r="AD226" s="300"/>
      <c r="AE226" s="300"/>
      <c r="AF226" s="106"/>
    </row>
    <row r="227" spans="30:32" ht="16">
      <c r="AD227" s="300"/>
      <c r="AE227" s="300"/>
      <c r="AF227" s="106"/>
    </row>
    <row r="228" spans="30:32" ht="16">
      <c r="AD228" s="300"/>
      <c r="AE228" s="300"/>
      <c r="AF228" s="106"/>
    </row>
    <row r="229" spans="30:32" ht="16">
      <c r="AD229" s="300"/>
      <c r="AE229" s="300"/>
      <c r="AF229" s="106"/>
    </row>
    <row r="230" spans="30:32" ht="16">
      <c r="AD230" s="300"/>
      <c r="AE230" s="300"/>
      <c r="AF230" s="106"/>
    </row>
    <row r="231" spans="30:32" ht="16">
      <c r="AD231" s="300"/>
      <c r="AE231" s="300"/>
      <c r="AF231" s="106"/>
    </row>
    <row r="232" spans="30:32" ht="16">
      <c r="AD232" s="300"/>
      <c r="AE232" s="300"/>
      <c r="AF232" s="106"/>
    </row>
  </sheetData>
  <autoFilter ref="A1:AN207" xr:uid="{00000000-0009-0000-0000-000000000000}"/>
  <phoneticPr fontId="3" type="noConversion"/>
  <pageMargins left="0.7" right="0.7" top="0.75" bottom="0.75" header="0.3" footer="0.3"/>
  <pageSetup paperSize="9" scale="1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B1048576"/>
  <sheetViews>
    <sheetView zoomScale="130" zoomScaleNormal="130" workbookViewId="0">
      <pane xSplit="3" ySplit="1" topLeftCell="AG2" activePane="bottomRight" state="frozen"/>
      <selection pane="topRight" activeCell="D1" sqref="D1"/>
      <selection pane="bottomLeft" activeCell="A2" sqref="A2"/>
      <selection pane="bottomRight" activeCell="E27" sqref="E27"/>
    </sheetView>
  </sheetViews>
  <sheetFormatPr baseColWidth="10" defaultColWidth="11.5" defaultRowHeight="16"/>
  <cols>
    <col min="1" max="1" width="7.6640625" style="1" bestFit="1" customWidth="1"/>
    <col min="2" max="2" width="10.6640625" style="1"/>
    <col min="3" max="3" width="10" style="1" customWidth="1"/>
    <col min="4" max="4" width="12.1640625" style="1" customWidth="1"/>
    <col min="5" max="6" width="10.6640625" style="1"/>
    <col min="7" max="7" width="10.6640625" style="106"/>
    <col min="8" max="19" width="10.6640625" style="1"/>
    <col min="20" max="20" width="15.6640625" style="1" bestFit="1" customWidth="1"/>
    <col min="21" max="21" width="10.5" style="1" bestFit="1" customWidth="1"/>
    <col min="22" max="34" width="10.6640625" style="1"/>
    <col min="35" max="35" width="16.1640625" style="1" bestFit="1" customWidth="1"/>
    <col min="36" max="77" width="10.6640625" style="1"/>
    <col min="78" max="78" width="14.5" style="1" bestFit="1" customWidth="1"/>
    <col min="79" max="79" width="21.83203125" style="1" bestFit="1" customWidth="1"/>
    <col min="80" max="89" width="10.6640625" style="1"/>
    <col min="90" max="90" width="11.1640625" style="1" bestFit="1" customWidth="1"/>
    <col min="91" max="105" width="10.6640625" style="1"/>
  </cols>
  <sheetData>
    <row r="1" spans="1:105" ht="18">
      <c r="A1" s="1" t="s">
        <v>0</v>
      </c>
      <c r="B1" s="1" t="s">
        <v>1</v>
      </c>
      <c r="C1" s="1" t="s">
        <v>2</v>
      </c>
      <c r="D1" s="227" t="s">
        <v>1790</v>
      </c>
      <c r="E1" s="288" t="s">
        <v>1791</v>
      </c>
      <c r="F1" s="288" t="s">
        <v>1792</v>
      </c>
      <c r="G1" s="289" t="s">
        <v>1793</v>
      </c>
      <c r="H1" s="1" t="s">
        <v>1794</v>
      </c>
      <c r="I1" s="1" t="s">
        <v>1795</v>
      </c>
      <c r="J1" s="1" t="s">
        <v>1796</v>
      </c>
      <c r="K1" s="1" t="s">
        <v>1797</v>
      </c>
      <c r="L1" s="1" t="s">
        <v>1798</v>
      </c>
      <c r="M1" s="1" t="s">
        <v>1799</v>
      </c>
      <c r="N1" s="1" t="s">
        <v>1800</v>
      </c>
      <c r="O1" s="1" t="s">
        <v>1801</v>
      </c>
      <c r="P1" s="1" t="s">
        <v>1802</v>
      </c>
      <c r="Q1" s="1" t="s">
        <v>1803</v>
      </c>
      <c r="R1" s="1" t="s">
        <v>1804</v>
      </c>
      <c r="S1" s="1" t="s">
        <v>1805</v>
      </c>
      <c r="T1" s="1" t="s">
        <v>1806</v>
      </c>
      <c r="U1" s="1" t="s">
        <v>1807</v>
      </c>
      <c r="V1" s="1" t="s">
        <v>11</v>
      </c>
      <c r="W1" s="1" t="s">
        <v>1808</v>
      </c>
      <c r="X1" s="1" t="s">
        <v>1809</v>
      </c>
      <c r="Y1" s="1" t="s">
        <v>1810</v>
      </c>
      <c r="Z1" s="1" t="s">
        <v>1811</v>
      </c>
      <c r="AA1" s="1" t="s">
        <v>1812</v>
      </c>
      <c r="AB1" s="1" t="s">
        <v>1813</v>
      </c>
      <c r="AC1" s="1" t="s">
        <v>1814</v>
      </c>
      <c r="AD1" s="1" t="s">
        <v>1815</v>
      </c>
      <c r="AE1" s="1" t="s">
        <v>1816</v>
      </c>
      <c r="AF1" s="1" t="s">
        <v>1817</v>
      </c>
      <c r="AG1" s="1" t="s">
        <v>1818</v>
      </c>
      <c r="AH1" s="1" t="s">
        <v>1816</v>
      </c>
      <c r="AI1" s="1" t="s">
        <v>1819</v>
      </c>
      <c r="AJ1" s="1" t="s">
        <v>1820</v>
      </c>
      <c r="AK1" s="1" t="s">
        <v>1821</v>
      </c>
      <c r="AL1" s="1" t="s">
        <v>1822</v>
      </c>
      <c r="AM1" s="1" t="s">
        <v>1823</v>
      </c>
      <c r="AN1" s="1" t="s">
        <v>1824</v>
      </c>
      <c r="AO1" s="1" t="s">
        <v>1825</v>
      </c>
      <c r="AP1" s="1" t="s">
        <v>1826</v>
      </c>
      <c r="AQ1" s="1" t="s">
        <v>1827</v>
      </c>
      <c r="AR1" s="1" t="s">
        <v>887</v>
      </c>
      <c r="AS1" s="1" t="s">
        <v>1828</v>
      </c>
      <c r="AT1" s="1" t="s">
        <v>1829</v>
      </c>
      <c r="AU1" s="1" t="s">
        <v>1830</v>
      </c>
      <c r="AV1" s="1" t="s">
        <v>1831</v>
      </c>
      <c r="AW1" s="1" t="s">
        <v>1832</v>
      </c>
      <c r="AX1" s="1" t="s">
        <v>1833</v>
      </c>
      <c r="AY1" s="1" t="s">
        <v>1834</v>
      </c>
      <c r="AZ1" s="1" t="s">
        <v>1835</v>
      </c>
      <c r="BA1" s="1" t="s">
        <v>1836</v>
      </c>
      <c r="BB1" s="1" t="s">
        <v>1837</v>
      </c>
      <c r="BC1" s="1" t="s">
        <v>1838</v>
      </c>
      <c r="BD1" s="1" t="s">
        <v>1839</v>
      </c>
      <c r="BE1" s="1" t="s">
        <v>1840</v>
      </c>
      <c r="BF1" s="1" t="s">
        <v>1841</v>
      </c>
      <c r="BG1" s="1" t="s">
        <v>1842</v>
      </c>
      <c r="BH1" s="1" t="s">
        <v>1843</v>
      </c>
      <c r="BI1" s="1" t="s">
        <v>1844</v>
      </c>
      <c r="BJ1" s="1" t="s">
        <v>1845</v>
      </c>
      <c r="BK1" s="1" t="s">
        <v>1846</v>
      </c>
      <c r="BL1" s="1" t="s">
        <v>1847</v>
      </c>
      <c r="BM1" s="1" t="s">
        <v>1848</v>
      </c>
      <c r="BN1" s="1" t="s">
        <v>1849</v>
      </c>
      <c r="BO1" s="1" t="s">
        <v>1850</v>
      </c>
      <c r="BP1" s="1" t="s">
        <v>1851</v>
      </c>
      <c r="BQ1" s="1" t="s">
        <v>1852</v>
      </c>
      <c r="BR1" s="1" t="s">
        <v>1853</v>
      </c>
      <c r="BS1" s="1" t="s">
        <v>1854</v>
      </c>
      <c r="BT1" s="1" t="s">
        <v>1855</v>
      </c>
      <c r="BU1" s="1" t="s">
        <v>1856</v>
      </c>
      <c r="BV1" s="1" t="s">
        <v>1857</v>
      </c>
      <c r="BW1" s="1" t="s">
        <v>1858</v>
      </c>
      <c r="BX1" s="1" t="s">
        <v>1859</v>
      </c>
      <c r="BY1" s="1" t="s">
        <v>919</v>
      </c>
      <c r="BZ1" s="1" t="s">
        <v>1860</v>
      </c>
      <c r="CA1" s="1" t="s">
        <v>1861</v>
      </c>
      <c r="CB1" s="1" t="s">
        <v>1862</v>
      </c>
      <c r="CC1" s="1" t="s">
        <v>1863</v>
      </c>
      <c r="CD1" s="1" t="s">
        <v>1864</v>
      </c>
      <c r="CE1" s="1" t="s">
        <v>1865</v>
      </c>
      <c r="CF1" s="1" t="s">
        <v>1866</v>
      </c>
      <c r="CG1" s="1" t="s">
        <v>1867</v>
      </c>
      <c r="CH1" s="1" t="s">
        <v>1868</v>
      </c>
      <c r="CI1" s="1" t="s">
        <v>1869</v>
      </c>
      <c r="CJ1" s="1" t="s">
        <v>1870</v>
      </c>
      <c r="CK1" s="1" t="s">
        <v>1871</v>
      </c>
      <c r="CL1" s="1" t="s">
        <v>1872</v>
      </c>
      <c r="CM1" s="1" t="s">
        <v>1873</v>
      </c>
      <c r="CN1" s="1" t="s">
        <v>1874</v>
      </c>
      <c r="CO1" s="1" t="s">
        <v>1875</v>
      </c>
      <c r="CP1" s="1" t="s">
        <v>1876</v>
      </c>
      <c r="CQ1" s="1" t="s">
        <v>1877</v>
      </c>
      <c r="CR1" s="1" t="s">
        <v>935</v>
      </c>
      <c r="CS1" s="1" t="s">
        <v>936</v>
      </c>
      <c r="CT1" s="1" t="s">
        <v>937</v>
      </c>
      <c r="CU1" s="1" t="s">
        <v>1878</v>
      </c>
      <c r="CV1" s="1" t="s">
        <v>1879</v>
      </c>
      <c r="CW1" s="1" t="s">
        <v>1880</v>
      </c>
      <c r="CX1" s="1" t="s">
        <v>1881</v>
      </c>
      <c r="CY1" s="1" t="s">
        <v>1882</v>
      </c>
      <c r="CZ1" s="1" t="s">
        <v>1883</v>
      </c>
      <c r="DA1" s="1" t="s">
        <v>1884</v>
      </c>
    </row>
    <row r="2" spans="1:105" s="110" customFormat="1">
      <c r="A2" s="107" t="s">
        <v>15</v>
      </c>
      <c r="B2" s="107">
        <v>22104031</v>
      </c>
      <c r="C2" s="107" t="s">
        <v>16</v>
      </c>
      <c r="D2" s="108">
        <v>44917</v>
      </c>
      <c r="E2" s="107">
        <v>91</v>
      </c>
      <c r="F2" s="107">
        <v>12.4</v>
      </c>
      <c r="G2" s="109">
        <f>F2/(E2/100)^2</f>
        <v>14.974036952058929</v>
      </c>
      <c r="H2" s="107">
        <v>49.5</v>
      </c>
      <c r="I2" s="107"/>
      <c r="J2" s="107"/>
      <c r="K2" s="107"/>
      <c r="L2" s="107"/>
      <c r="M2" s="107"/>
      <c r="N2" s="107"/>
      <c r="O2" s="107"/>
      <c r="P2" s="107"/>
      <c r="Q2" s="107"/>
      <c r="R2" s="107"/>
      <c r="S2" s="107"/>
      <c r="T2" s="108"/>
      <c r="U2" s="109" t="e">
        <f>YEARFRAC(T2,#REF!)</f>
        <v>#REF!</v>
      </c>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7"/>
      <c r="CN2" s="107"/>
      <c r="CO2" s="107"/>
      <c r="CP2" s="107"/>
      <c r="CQ2" s="107"/>
      <c r="CR2" s="107"/>
      <c r="CS2" s="107"/>
      <c r="CT2" s="107"/>
      <c r="CU2" s="107"/>
      <c r="CV2" s="107"/>
      <c r="CW2" s="107"/>
      <c r="CX2" s="107"/>
      <c r="CY2" s="107"/>
      <c r="CZ2" s="107"/>
      <c r="DA2" s="107"/>
    </row>
    <row r="3" spans="1:105" s="189" customFormat="1">
      <c r="A3" s="185" t="s">
        <v>21</v>
      </c>
      <c r="B3" s="185">
        <v>22103764</v>
      </c>
      <c r="C3" s="216" t="s">
        <v>1659</v>
      </c>
      <c r="D3" s="228">
        <v>44873</v>
      </c>
      <c r="E3" s="185">
        <v>82.7</v>
      </c>
      <c r="F3" s="185">
        <v>11.3</v>
      </c>
      <c r="G3" s="229">
        <f>F3/(E3/100)^2</f>
        <v>16.522182858162175</v>
      </c>
      <c r="H3" s="185">
        <v>48.5</v>
      </c>
      <c r="I3" s="185"/>
      <c r="J3" s="185"/>
      <c r="K3" s="185"/>
      <c r="L3" s="185"/>
      <c r="M3" s="185"/>
      <c r="N3" s="185"/>
      <c r="O3" s="185"/>
      <c r="P3" s="185"/>
      <c r="Q3" s="185"/>
      <c r="R3" s="185"/>
      <c r="S3" s="185"/>
      <c r="T3" s="228"/>
      <c r="U3" s="229" t="e">
        <f>YEARFRAC(T3,#REF!)</f>
        <v>#REF!</v>
      </c>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5"/>
      <c r="BP3" s="185"/>
      <c r="BQ3" s="185"/>
      <c r="BR3" s="185"/>
      <c r="BS3" s="185"/>
      <c r="BT3" s="185"/>
      <c r="BU3" s="185"/>
      <c r="BV3" s="185"/>
      <c r="BW3" s="185"/>
      <c r="BX3" s="185"/>
      <c r="BY3" s="185"/>
      <c r="BZ3" s="185"/>
      <c r="CA3" s="185"/>
      <c r="CB3" s="185"/>
      <c r="CC3" s="185"/>
      <c r="CD3" s="185"/>
      <c r="CE3" s="185"/>
      <c r="CF3" s="185"/>
      <c r="CG3" s="185"/>
      <c r="CH3" s="185"/>
      <c r="CI3" s="185"/>
      <c r="CJ3" s="185"/>
      <c r="CK3" s="185"/>
      <c r="CL3" s="185"/>
      <c r="CM3" s="185"/>
      <c r="CN3" s="185"/>
      <c r="CO3" s="185"/>
      <c r="CP3" s="185"/>
      <c r="CQ3" s="185"/>
      <c r="CR3" s="185"/>
      <c r="CS3" s="185"/>
      <c r="CT3" s="185"/>
      <c r="CU3" s="185"/>
      <c r="CV3" s="185"/>
      <c r="CW3" s="185"/>
      <c r="CX3" s="185"/>
      <c r="CY3" s="185"/>
      <c r="CZ3" s="185"/>
      <c r="DA3" s="185"/>
    </row>
    <row r="4" spans="1:105" s="189" customFormat="1">
      <c r="A4" s="185" t="s">
        <v>26</v>
      </c>
      <c r="B4" s="185">
        <v>22103833</v>
      </c>
      <c r="C4" s="185" t="s">
        <v>27</v>
      </c>
      <c r="D4" s="228">
        <v>44776</v>
      </c>
      <c r="E4" s="185">
        <v>89</v>
      </c>
      <c r="F4" s="185">
        <v>12.5</v>
      </c>
      <c r="G4" s="229">
        <f>F4/(E4/100)^2</f>
        <v>15.780835753061481</v>
      </c>
      <c r="H4" s="185">
        <v>47.8</v>
      </c>
      <c r="I4" s="185">
        <v>40</v>
      </c>
      <c r="J4" s="185">
        <v>2</v>
      </c>
      <c r="K4" s="185">
        <v>0</v>
      </c>
      <c r="L4" s="185">
        <v>1</v>
      </c>
      <c r="M4" s="185">
        <v>0</v>
      </c>
      <c r="N4" s="185">
        <v>9</v>
      </c>
      <c r="O4" s="185">
        <v>10</v>
      </c>
      <c r="P4" s="185">
        <v>3040</v>
      </c>
      <c r="Q4" s="185">
        <v>53</v>
      </c>
      <c r="R4" s="185">
        <v>33.5</v>
      </c>
      <c r="S4" s="185">
        <v>33</v>
      </c>
      <c r="T4" s="228">
        <v>33416</v>
      </c>
      <c r="U4" s="229" t="e">
        <f>YEARFRAC(T4,#REF!)</f>
        <v>#REF!</v>
      </c>
      <c r="V4" s="185">
        <v>2</v>
      </c>
      <c r="W4" s="185">
        <v>0</v>
      </c>
      <c r="X4" s="185">
        <v>0</v>
      </c>
      <c r="Y4" s="185">
        <v>2</v>
      </c>
      <c r="Z4" s="185">
        <v>0</v>
      </c>
      <c r="AA4" s="185">
        <v>0</v>
      </c>
      <c r="AB4" s="185">
        <v>0</v>
      </c>
      <c r="AC4" s="185">
        <v>0</v>
      </c>
      <c r="AD4" s="185">
        <v>0</v>
      </c>
      <c r="AE4" s="185">
        <v>0</v>
      </c>
      <c r="AF4" s="185">
        <v>0</v>
      </c>
      <c r="AG4" s="185">
        <v>0</v>
      </c>
      <c r="AH4" s="185">
        <v>0</v>
      </c>
      <c r="AI4" s="185">
        <v>0</v>
      </c>
      <c r="AJ4" s="185">
        <v>0</v>
      </c>
      <c r="AK4" s="185">
        <v>0</v>
      </c>
      <c r="AL4" s="185">
        <v>0</v>
      </c>
      <c r="AM4" s="185">
        <v>0</v>
      </c>
      <c r="AN4" s="185">
        <v>0</v>
      </c>
      <c r="AO4" s="185">
        <v>0</v>
      </c>
      <c r="AP4" s="185">
        <v>0</v>
      </c>
      <c r="AQ4" s="185">
        <v>0</v>
      </c>
      <c r="AR4" s="185">
        <v>1</v>
      </c>
      <c r="AS4" s="185">
        <v>1</v>
      </c>
      <c r="AT4" s="185">
        <v>0</v>
      </c>
      <c r="AU4" s="185">
        <v>0</v>
      </c>
      <c r="AV4" s="185">
        <v>0</v>
      </c>
      <c r="AW4" s="185">
        <v>0</v>
      </c>
      <c r="AX4" s="230" t="s">
        <v>1885</v>
      </c>
      <c r="AY4" s="185">
        <v>0</v>
      </c>
      <c r="AZ4" s="185">
        <v>0</v>
      </c>
      <c r="BA4" s="185">
        <v>0</v>
      </c>
      <c r="BB4" s="185">
        <v>0</v>
      </c>
      <c r="BC4" s="185">
        <v>0</v>
      </c>
      <c r="BD4" s="185">
        <v>0</v>
      </c>
      <c r="BE4" s="185">
        <v>0</v>
      </c>
      <c r="BF4" s="185">
        <v>0</v>
      </c>
      <c r="BG4" s="185">
        <v>0</v>
      </c>
      <c r="BH4" s="185">
        <v>0</v>
      </c>
      <c r="BI4" s="185">
        <v>0</v>
      </c>
      <c r="BJ4" s="185">
        <v>0</v>
      </c>
      <c r="BK4" s="185">
        <v>0</v>
      </c>
      <c r="BL4" s="185">
        <v>0</v>
      </c>
      <c r="BM4" s="185">
        <v>0</v>
      </c>
      <c r="BN4" s="185">
        <v>0</v>
      </c>
      <c r="BO4" s="185">
        <v>0</v>
      </c>
      <c r="BP4" s="185">
        <v>0</v>
      </c>
      <c r="BQ4" s="185">
        <v>0</v>
      </c>
      <c r="BR4" s="185">
        <v>0</v>
      </c>
      <c r="BS4" s="185">
        <v>0</v>
      </c>
      <c r="BT4" s="185">
        <v>0</v>
      </c>
      <c r="BU4" s="185">
        <v>0</v>
      </c>
      <c r="BV4" s="185">
        <v>0</v>
      </c>
      <c r="BW4" s="185">
        <v>0</v>
      </c>
      <c r="BX4" s="185">
        <v>0</v>
      </c>
      <c r="BY4" s="185">
        <v>0</v>
      </c>
      <c r="BZ4" s="185">
        <v>1</v>
      </c>
      <c r="CA4" s="185" t="s">
        <v>1886</v>
      </c>
      <c r="CB4" s="185">
        <v>0</v>
      </c>
      <c r="CC4" s="185" t="s">
        <v>18</v>
      </c>
      <c r="CD4" s="185">
        <v>1</v>
      </c>
      <c r="CE4" s="185" t="s">
        <v>1887</v>
      </c>
      <c r="CF4" s="230" t="s">
        <v>1888</v>
      </c>
      <c r="CG4" s="185">
        <v>0</v>
      </c>
      <c r="CH4" s="185" t="s">
        <v>18</v>
      </c>
      <c r="CI4" s="185">
        <v>0</v>
      </c>
      <c r="CJ4" s="185" t="s">
        <v>18</v>
      </c>
      <c r="CK4" s="185" t="s">
        <v>18</v>
      </c>
      <c r="CL4" s="185">
        <v>1</v>
      </c>
      <c r="CM4" s="185" t="s">
        <v>1889</v>
      </c>
      <c r="CN4" s="230" t="s">
        <v>1890</v>
      </c>
      <c r="CO4" s="230" t="s">
        <v>1891</v>
      </c>
      <c r="CP4" s="185" t="s">
        <v>1892</v>
      </c>
      <c r="CQ4" s="230" t="s">
        <v>1893</v>
      </c>
      <c r="CR4" s="230" t="s">
        <v>1894</v>
      </c>
      <c r="CS4" s="185" t="s">
        <v>1892</v>
      </c>
      <c r="CT4" s="230" t="s">
        <v>1895</v>
      </c>
      <c r="CU4" s="185">
        <v>0</v>
      </c>
      <c r="CV4" s="185" t="s">
        <v>18</v>
      </c>
      <c r="CW4" s="185" t="s">
        <v>18</v>
      </c>
      <c r="CX4" s="185">
        <v>1</v>
      </c>
      <c r="CY4" s="185" t="s">
        <v>74</v>
      </c>
      <c r="CZ4" s="185">
        <v>2</v>
      </c>
      <c r="DA4" s="185"/>
    </row>
    <row r="5" spans="1:105" s="189" customFormat="1">
      <c r="A5" s="185" t="s">
        <v>31</v>
      </c>
      <c r="B5" s="185">
        <v>21928650</v>
      </c>
      <c r="C5" s="185" t="s">
        <v>32</v>
      </c>
      <c r="D5" s="228">
        <v>44321</v>
      </c>
      <c r="E5" s="185">
        <v>85.8</v>
      </c>
      <c r="F5" s="185">
        <v>10.6</v>
      </c>
      <c r="G5" s="229">
        <f>F5/(E5/100)^2</f>
        <v>14.398965447916497</v>
      </c>
      <c r="H5" s="185">
        <v>45.1</v>
      </c>
      <c r="I5" s="185">
        <v>24</v>
      </c>
      <c r="J5" s="185">
        <v>1</v>
      </c>
      <c r="K5" s="185">
        <v>1</v>
      </c>
      <c r="L5" s="185">
        <v>2</v>
      </c>
      <c r="M5" s="185">
        <v>0</v>
      </c>
      <c r="N5" s="185"/>
      <c r="O5" s="185"/>
      <c r="P5" s="185">
        <v>580</v>
      </c>
      <c r="Q5" s="185">
        <v>28.5</v>
      </c>
      <c r="R5" s="185"/>
      <c r="S5" s="185">
        <v>18.5</v>
      </c>
      <c r="T5" s="228">
        <v>33844</v>
      </c>
      <c r="U5" s="185">
        <v>26.39</v>
      </c>
      <c r="V5" s="185">
        <v>1</v>
      </c>
      <c r="W5" s="185">
        <v>1</v>
      </c>
      <c r="X5" s="185">
        <v>0</v>
      </c>
      <c r="Y5" s="185">
        <v>2</v>
      </c>
      <c r="Z5" s="185">
        <v>0</v>
      </c>
      <c r="AA5" s="185">
        <v>0</v>
      </c>
      <c r="AB5" s="185">
        <v>0</v>
      </c>
      <c r="AC5" s="185">
        <v>1</v>
      </c>
      <c r="AD5" s="185">
        <v>1</v>
      </c>
      <c r="AE5" s="185">
        <v>0</v>
      </c>
      <c r="AF5" s="185">
        <v>0</v>
      </c>
      <c r="AG5" s="185">
        <v>0</v>
      </c>
      <c r="AH5" s="185">
        <v>0</v>
      </c>
      <c r="AI5" s="185">
        <v>1</v>
      </c>
      <c r="AJ5" s="185">
        <v>0</v>
      </c>
      <c r="AK5" s="185">
        <v>0</v>
      </c>
      <c r="AL5" s="185">
        <v>1</v>
      </c>
      <c r="AM5" s="185">
        <v>20</v>
      </c>
      <c r="AN5" s="185">
        <v>0</v>
      </c>
      <c r="AO5" s="185">
        <v>0</v>
      </c>
      <c r="AP5" s="185">
        <v>0</v>
      </c>
      <c r="AQ5" s="185">
        <v>0</v>
      </c>
      <c r="AR5" s="185" t="s">
        <v>1896</v>
      </c>
      <c r="AS5" s="185">
        <v>1</v>
      </c>
      <c r="AT5" s="185">
        <v>0</v>
      </c>
      <c r="AU5" s="185">
        <v>0</v>
      </c>
      <c r="AV5" s="185">
        <v>0</v>
      </c>
      <c r="AW5" s="185">
        <v>0</v>
      </c>
      <c r="AX5" s="185" t="s">
        <v>1897</v>
      </c>
      <c r="AY5" s="185">
        <v>0</v>
      </c>
      <c r="AZ5" s="185">
        <v>0</v>
      </c>
      <c r="BA5" s="185">
        <v>0</v>
      </c>
      <c r="BB5" s="185">
        <v>0</v>
      </c>
      <c r="BC5" s="185">
        <v>0</v>
      </c>
      <c r="BD5" s="185">
        <v>0</v>
      </c>
      <c r="BE5" s="185">
        <v>0</v>
      </c>
      <c r="BF5" s="185">
        <v>0</v>
      </c>
      <c r="BG5" s="185">
        <v>0</v>
      </c>
      <c r="BH5" s="185">
        <v>0</v>
      </c>
      <c r="BI5" s="185">
        <v>0</v>
      </c>
      <c r="BJ5" s="185">
        <v>0</v>
      </c>
      <c r="BK5" s="185">
        <v>1</v>
      </c>
      <c r="BL5" s="185">
        <v>0</v>
      </c>
      <c r="BM5" s="185">
        <v>1</v>
      </c>
      <c r="BN5" s="185">
        <v>0</v>
      </c>
      <c r="BO5" s="185">
        <v>0</v>
      </c>
      <c r="BP5" s="185">
        <v>1</v>
      </c>
      <c r="BQ5" s="185">
        <v>0</v>
      </c>
      <c r="BR5" s="185">
        <v>0</v>
      </c>
      <c r="BS5" s="185">
        <v>0</v>
      </c>
      <c r="BT5" s="185">
        <v>0</v>
      </c>
      <c r="BU5" s="185">
        <v>0</v>
      </c>
      <c r="BV5" s="185">
        <v>0</v>
      </c>
      <c r="BW5" s="185">
        <v>0</v>
      </c>
      <c r="BX5" s="185">
        <v>0</v>
      </c>
      <c r="BY5" s="185">
        <v>0</v>
      </c>
      <c r="BZ5" s="185">
        <v>0</v>
      </c>
      <c r="CA5" s="185" t="s">
        <v>18</v>
      </c>
      <c r="CB5" s="185">
        <v>1</v>
      </c>
      <c r="CC5" s="185" t="s">
        <v>1898</v>
      </c>
      <c r="CD5" s="185">
        <v>1</v>
      </c>
      <c r="CE5" s="185" t="s">
        <v>1887</v>
      </c>
      <c r="CF5" s="185" t="s">
        <v>1899</v>
      </c>
      <c r="CG5" s="185">
        <v>1</v>
      </c>
      <c r="CH5" s="185" t="s">
        <v>1900</v>
      </c>
      <c r="CI5" s="185">
        <v>0</v>
      </c>
      <c r="CJ5" s="185" t="s">
        <v>18</v>
      </c>
      <c r="CK5" s="185" t="s">
        <v>18</v>
      </c>
      <c r="CL5" s="185">
        <v>1</v>
      </c>
      <c r="CM5" s="185" t="s">
        <v>1901</v>
      </c>
      <c r="CN5" s="185"/>
      <c r="CO5" s="185" t="s">
        <v>1902</v>
      </c>
      <c r="CP5" s="185" t="s">
        <v>1887</v>
      </c>
      <c r="CQ5" s="185"/>
      <c r="CR5" s="185">
        <v>0</v>
      </c>
      <c r="CS5" s="185" t="s">
        <v>18</v>
      </c>
      <c r="CT5" s="185" t="s">
        <v>18</v>
      </c>
      <c r="CU5" s="185">
        <v>1</v>
      </c>
      <c r="CV5" s="185"/>
      <c r="CW5" s="185"/>
      <c r="CX5" s="185">
        <v>1</v>
      </c>
      <c r="CY5" s="185" t="s">
        <v>1903</v>
      </c>
      <c r="CZ5" s="185">
        <v>2</v>
      </c>
      <c r="DA5" s="185"/>
    </row>
    <row r="6" spans="1:105" s="110" customFormat="1">
      <c r="A6" s="107" t="s">
        <v>36</v>
      </c>
      <c r="B6" s="107">
        <v>16900804</v>
      </c>
      <c r="C6" s="107" t="s">
        <v>37</v>
      </c>
      <c r="D6" s="108"/>
      <c r="E6" s="107"/>
      <c r="F6" s="107"/>
      <c r="G6" s="109"/>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7"/>
      <c r="CC6" s="107"/>
      <c r="CD6" s="107"/>
      <c r="CE6" s="107"/>
      <c r="CF6" s="107"/>
      <c r="CG6" s="107"/>
      <c r="CH6" s="107"/>
      <c r="CI6" s="107"/>
      <c r="CJ6" s="107"/>
      <c r="CK6" s="107"/>
      <c r="CL6" s="107"/>
      <c r="CM6" s="107"/>
      <c r="CN6" s="107"/>
      <c r="CO6" s="107"/>
      <c r="CP6" s="107"/>
      <c r="CQ6" s="107"/>
      <c r="CR6" s="107"/>
      <c r="CS6" s="107"/>
      <c r="CT6" s="107"/>
      <c r="CU6" s="107"/>
      <c r="CV6" s="107"/>
      <c r="CW6" s="107"/>
      <c r="CX6" s="107"/>
      <c r="CY6" s="107"/>
      <c r="CZ6" s="107"/>
      <c r="DA6" s="107"/>
    </row>
    <row r="7" spans="1:105" s="193" customFormat="1">
      <c r="A7" s="192" t="s">
        <v>41</v>
      </c>
      <c r="B7" s="192">
        <v>21926441</v>
      </c>
      <c r="C7" s="192" t="s">
        <v>42</v>
      </c>
      <c r="D7" s="192"/>
      <c r="E7" s="192"/>
      <c r="F7" s="192"/>
      <c r="G7" s="231"/>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c r="BF7" s="192"/>
      <c r="BG7" s="192"/>
      <c r="BH7" s="192"/>
      <c r="BI7" s="192"/>
      <c r="BJ7" s="192"/>
      <c r="BK7" s="192"/>
      <c r="BL7" s="192"/>
      <c r="BM7" s="192"/>
      <c r="BN7" s="192"/>
      <c r="BO7" s="192"/>
      <c r="BP7" s="192"/>
      <c r="BQ7" s="192"/>
      <c r="BR7" s="192"/>
      <c r="BS7" s="192"/>
      <c r="BT7" s="192"/>
      <c r="BU7" s="192"/>
      <c r="BV7" s="192"/>
      <c r="BW7" s="192"/>
      <c r="BX7" s="192"/>
      <c r="BY7" s="192"/>
      <c r="BZ7" s="192"/>
      <c r="CA7" s="192"/>
      <c r="CB7" s="192"/>
      <c r="CC7" s="192"/>
      <c r="CD7" s="192"/>
      <c r="CE7" s="192"/>
      <c r="CF7" s="192"/>
      <c r="CG7" s="192"/>
      <c r="CH7" s="192"/>
      <c r="CI7" s="192"/>
      <c r="CJ7" s="192"/>
      <c r="CK7" s="192"/>
      <c r="CL7" s="192"/>
      <c r="CM7" s="192"/>
      <c r="CN7" s="192"/>
      <c r="CO7" s="192"/>
      <c r="CP7" s="192"/>
      <c r="CQ7" s="192"/>
      <c r="CR7" s="192"/>
      <c r="CS7" s="192"/>
      <c r="CT7" s="192"/>
      <c r="CU7" s="192"/>
      <c r="CV7" s="192"/>
      <c r="CW7" s="192"/>
      <c r="CX7" s="192"/>
      <c r="CY7" s="192"/>
      <c r="CZ7" s="192"/>
      <c r="DA7" s="192"/>
    </row>
    <row r="8" spans="1:105" s="189" customFormat="1">
      <c r="A8" s="185" t="s">
        <v>46</v>
      </c>
      <c r="B8" s="185">
        <v>21929504</v>
      </c>
      <c r="C8" s="185" t="s">
        <v>47</v>
      </c>
      <c r="D8" s="228">
        <v>44419</v>
      </c>
      <c r="E8" s="185">
        <v>81.5</v>
      </c>
      <c r="F8" s="185">
        <v>9.8000000000000007</v>
      </c>
      <c r="G8" s="229">
        <f>F8/(E8/100)^2</f>
        <v>14.754036659264559</v>
      </c>
      <c r="H8" s="185">
        <v>45</v>
      </c>
      <c r="I8" s="185">
        <v>28</v>
      </c>
      <c r="J8" s="185">
        <v>0</v>
      </c>
      <c r="K8" s="185">
        <v>1</v>
      </c>
      <c r="L8" s="185">
        <v>2</v>
      </c>
      <c r="M8" s="185">
        <v>0</v>
      </c>
      <c r="N8" s="185">
        <v>8</v>
      </c>
      <c r="O8" s="185">
        <v>9</v>
      </c>
      <c r="P8" s="185">
        <v>880</v>
      </c>
      <c r="Q8" s="185">
        <v>34</v>
      </c>
      <c r="R8" s="185">
        <v>23.5</v>
      </c>
      <c r="S8" s="185">
        <v>21</v>
      </c>
      <c r="T8" s="228">
        <v>31172</v>
      </c>
      <c r="U8" s="185">
        <v>33.93</v>
      </c>
      <c r="V8" s="185">
        <v>1</v>
      </c>
      <c r="W8" s="185">
        <v>1</v>
      </c>
      <c r="X8" s="185">
        <v>0</v>
      </c>
      <c r="Y8" s="185">
        <v>3</v>
      </c>
      <c r="Z8" s="185">
        <v>0</v>
      </c>
      <c r="AA8" s="185">
        <v>0</v>
      </c>
      <c r="AB8" s="185">
        <v>0</v>
      </c>
      <c r="AC8" s="185">
        <v>0</v>
      </c>
      <c r="AD8" s="185">
        <v>0</v>
      </c>
      <c r="AE8" s="185">
        <v>0</v>
      </c>
      <c r="AF8" s="185">
        <v>0</v>
      </c>
      <c r="AG8" s="185">
        <v>0</v>
      </c>
      <c r="AH8" s="185">
        <v>0</v>
      </c>
      <c r="AI8" s="185">
        <v>0</v>
      </c>
      <c r="AJ8" s="185">
        <v>0</v>
      </c>
      <c r="AK8" s="185">
        <v>0</v>
      </c>
      <c r="AL8" s="185">
        <v>0</v>
      </c>
      <c r="AM8" s="185">
        <v>0</v>
      </c>
      <c r="AN8" s="185">
        <v>0</v>
      </c>
      <c r="AO8" s="185">
        <v>0</v>
      </c>
      <c r="AP8" s="185">
        <v>0</v>
      </c>
      <c r="AQ8" s="185">
        <v>0</v>
      </c>
      <c r="AR8" s="185">
        <v>1</v>
      </c>
      <c r="AS8" s="185">
        <v>0</v>
      </c>
      <c r="AT8" s="185">
        <v>0</v>
      </c>
      <c r="AU8" s="185">
        <v>0</v>
      </c>
      <c r="AV8" s="185">
        <v>0</v>
      </c>
      <c r="AW8" s="185">
        <v>0</v>
      </c>
      <c r="AX8" s="185">
        <v>0</v>
      </c>
      <c r="AY8" s="185">
        <v>0</v>
      </c>
      <c r="AZ8" s="185">
        <v>0</v>
      </c>
      <c r="BA8" s="185">
        <v>0</v>
      </c>
      <c r="BB8" s="185">
        <v>0</v>
      </c>
      <c r="BC8" s="185">
        <v>0</v>
      </c>
      <c r="BD8" s="185">
        <v>0</v>
      </c>
      <c r="BE8" s="185">
        <v>0</v>
      </c>
      <c r="BF8" s="185">
        <v>0</v>
      </c>
      <c r="BG8" s="185">
        <v>0</v>
      </c>
      <c r="BH8" s="185">
        <v>0</v>
      </c>
      <c r="BI8" s="185">
        <v>0</v>
      </c>
      <c r="BJ8" s="185">
        <v>0</v>
      </c>
      <c r="BK8" s="185">
        <v>1</v>
      </c>
      <c r="BL8" s="185">
        <v>0</v>
      </c>
      <c r="BM8" s="185">
        <v>0</v>
      </c>
      <c r="BN8" s="185">
        <v>0</v>
      </c>
      <c r="BO8" s="185">
        <v>0</v>
      </c>
      <c r="BP8" s="185">
        <v>0</v>
      </c>
      <c r="BQ8" s="185">
        <v>0</v>
      </c>
      <c r="BR8" s="185">
        <v>0</v>
      </c>
      <c r="BS8" s="185">
        <v>1</v>
      </c>
      <c r="BT8" s="185">
        <v>0</v>
      </c>
      <c r="BU8" s="185">
        <v>0</v>
      </c>
      <c r="BV8" s="185">
        <v>0</v>
      </c>
      <c r="BW8" s="185">
        <v>0</v>
      </c>
      <c r="BX8" s="185">
        <v>0</v>
      </c>
      <c r="BY8" s="185">
        <v>0</v>
      </c>
      <c r="BZ8" s="185">
        <v>1</v>
      </c>
      <c r="CA8" s="185" t="s">
        <v>1904</v>
      </c>
      <c r="CB8" s="185">
        <v>0</v>
      </c>
      <c r="CC8" s="185" t="s">
        <v>18</v>
      </c>
      <c r="CD8" s="185">
        <v>1</v>
      </c>
      <c r="CE8" s="185" t="s">
        <v>1887</v>
      </c>
      <c r="CF8" s="185" t="s">
        <v>1905</v>
      </c>
      <c r="CG8" s="185">
        <v>1</v>
      </c>
      <c r="CH8" s="185" t="s">
        <v>1904</v>
      </c>
      <c r="CI8" s="185">
        <v>0</v>
      </c>
      <c r="CJ8" s="185" t="s">
        <v>18</v>
      </c>
      <c r="CK8" s="185" t="s">
        <v>18</v>
      </c>
      <c r="CL8" s="185">
        <v>0</v>
      </c>
      <c r="CM8" s="185" t="s">
        <v>18</v>
      </c>
      <c r="CN8" s="185" t="s">
        <v>18</v>
      </c>
      <c r="CO8" s="185">
        <v>0</v>
      </c>
      <c r="CP8" s="185" t="s">
        <v>18</v>
      </c>
      <c r="CQ8" s="185" t="s">
        <v>18</v>
      </c>
      <c r="CR8" s="185">
        <v>0</v>
      </c>
      <c r="CS8" s="185" t="s">
        <v>18</v>
      </c>
      <c r="CT8" s="185" t="s">
        <v>18</v>
      </c>
      <c r="CU8" s="185">
        <v>0</v>
      </c>
      <c r="CV8" s="185" t="s">
        <v>18</v>
      </c>
      <c r="CW8" s="185" t="s">
        <v>18</v>
      </c>
      <c r="CX8" s="185">
        <v>1</v>
      </c>
      <c r="CY8" s="185" t="s">
        <v>1906</v>
      </c>
      <c r="CZ8" s="185">
        <v>2</v>
      </c>
      <c r="DA8" s="185"/>
    </row>
    <row r="9" spans="1:105" s="189" customFormat="1">
      <c r="A9" s="185" t="s">
        <v>51</v>
      </c>
      <c r="B9" s="185">
        <v>21929505</v>
      </c>
      <c r="C9" s="185" t="s">
        <v>52</v>
      </c>
      <c r="D9" s="228">
        <v>44419</v>
      </c>
      <c r="E9" s="185">
        <v>81.2</v>
      </c>
      <c r="F9" s="185">
        <v>9.1</v>
      </c>
      <c r="G9" s="229">
        <f>F9/(E9/100)^2</f>
        <v>13.801596738576523</v>
      </c>
      <c r="H9" s="185">
        <v>44</v>
      </c>
      <c r="I9" s="185">
        <v>28</v>
      </c>
      <c r="J9" s="185">
        <v>0</v>
      </c>
      <c r="K9" s="185">
        <v>1</v>
      </c>
      <c r="L9" s="185">
        <v>2</v>
      </c>
      <c r="M9" s="185">
        <v>0</v>
      </c>
      <c r="N9" s="185">
        <v>5</v>
      </c>
      <c r="O9" s="185">
        <v>8</v>
      </c>
      <c r="P9" s="185">
        <v>835</v>
      </c>
      <c r="Q9" s="185">
        <v>35</v>
      </c>
      <c r="R9" s="185">
        <v>24</v>
      </c>
      <c r="S9" s="185">
        <v>21</v>
      </c>
      <c r="T9" s="228">
        <v>31172</v>
      </c>
      <c r="U9" s="185">
        <v>33.93</v>
      </c>
      <c r="V9" s="185">
        <v>1</v>
      </c>
      <c r="W9" s="185">
        <v>1</v>
      </c>
      <c r="X9" s="185">
        <v>0</v>
      </c>
      <c r="Y9" s="185">
        <v>3</v>
      </c>
      <c r="Z9" s="185">
        <v>0</v>
      </c>
      <c r="AA9" s="185">
        <v>0</v>
      </c>
      <c r="AB9" s="185">
        <v>0</v>
      </c>
      <c r="AC9" s="185">
        <v>0</v>
      </c>
      <c r="AD9" s="185">
        <v>0</v>
      </c>
      <c r="AE9" s="185">
        <v>0</v>
      </c>
      <c r="AF9" s="185">
        <v>0</v>
      </c>
      <c r="AG9" s="185">
        <v>0</v>
      </c>
      <c r="AH9" s="185">
        <v>0</v>
      </c>
      <c r="AI9" s="185">
        <v>0</v>
      </c>
      <c r="AJ9" s="185">
        <v>0</v>
      </c>
      <c r="AK9" s="185">
        <v>0</v>
      </c>
      <c r="AL9" s="185">
        <v>0</v>
      </c>
      <c r="AM9" s="185">
        <v>0</v>
      </c>
      <c r="AN9" s="185">
        <v>0</v>
      </c>
      <c r="AO9" s="185">
        <v>0</v>
      </c>
      <c r="AP9" s="185">
        <v>0</v>
      </c>
      <c r="AQ9" s="185">
        <v>0</v>
      </c>
      <c r="AR9" s="185">
        <v>1</v>
      </c>
      <c r="AS9" s="185">
        <v>0</v>
      </c>
      <c r="AT9" s="185">
        <v>0</v>
      </c>
      <c r="AU9" s="185">
        <v>0</v>
      </c>
      <c r="AV9" s="185">
        <v>0</v>
      </c>
      <c r="AW9" s="185">
        <v>0</v>
      </c>
      <c r="AX9" s="185">
        <v>0</v>
      </c>
      <c r="AY9" s="185">
        <v>0</v>
      </c>
      <c r="AZ9" s="185">
        <v>0</v>
      </c>
      <c r="BA9" s="185">
        <v>0</v>
      </c>
      <c r="BB9" s="185">
        <v>0</v>
      </c>
      <c r="BC9" s="185">
        <v>0</v>
      </c>
      <c r="BD9" s="185">
        <v>0</v>
      </c>
      <c r="BE9" s="185">
        <v>0</v>
      </c>
      <c r="BF9" s="185">
        <v>0</v>
      </c>
      <c r="BG9" s="185">
        <v>0</v>
      </c>
      <c r="BH9" s="185">
        <v>0</v>
      </c>
      <c r="BI9" s="185">
        <v>0</v>
      </c>
      <c r="BJ9" s="185">
        <v>0</v>
      </c>
      <c r="BK9" s="185">
        <v>1</v>
      </c>
      <c r="BL9" s="185">
        <v>1</v>
      </c>
      <c r="BM9" s="185">
        <v>1</v>
      </c>
      <c r="BN9" s="185">
        <v>0</v>
      </c>
      <c r="BO9" s="185">
        <v>0</v>
      </c>
      <c r="BP9" s="185">
        <v>1</v>
      </c>
      <c r="BQ9" s="185">
        <v>1</v>
      </c>
      <c r="BR9" s="185">
        <v>0</v>
      </c>
      <c r="BS9" s="185">
        <v>1</v>
      </c>
      <c r="BT9" s="185">
        <v>1</v>
      </c>
      <c r="BU9" s="185">
        <v>0</v>
      </c>
      <c r="BV9" s="185">
        <v>0</v>
      </c>
      <c r="BW9" s="185">
        <v>0</v>
      </c>
      <c r="BX9" s="185">
        <v>0</v>
      </c>
      <c r="BY9" s="185">
        <v>0</v>
      </c>
      <c r="BZ9" s="185">
        <v>1</v>
      </c>
      <c r="CA9" s="185" t="s">
        <v>1904</v>
      </c>
      <c r="CB9" s="185">
        <v>0</v>
      </c>
      <c r="CC9" s="185" t="s">
        <v>18</v>
      </c>
      <c r="CD9" s="185">
        <v>1</v>
      </c>
      <c r="CE9" s="185" t="s">
        <v>1887</v>
      </c>
      <c r="CF9" s="185" t="s">
        <v>1905</v>
      </c>
      <c r="CG9" s="185">
        <v>1</v>
      </c>
      <c r="CH9" s="185" t="s">
        <v>1904</v>
      </c>
      <c r="CI9" s="185">
        <v>0</v>
      </c>
      <c r="CJ9" s="185" t="s">
        <v>1904</v>
      </c>
      <c r="CK9" s="185" t="s">
        <v>1907</v>
      </c>
      <c r="CL9" s="185">
        <v>0</v>
      </c>
      <c r="CM9" s="185" t="s">
        <v>18</v>
      </c>
      <c r="CN9" s="185" t="s">
        <v>18</v>
      </c>
      <c r="CO9" s="185">
        <v>0</v>
      </c>
      <c r="CP9" s="185" t="s">
        <v>18</v>
      </c>
      <c r="CQ9" s="185" t="s">
        <v>18</v>
      </c>
      <c r="CR9" s="185">
        <v>0</v>
      </c>
      <c r="CS9" s="185" t="s">
        <v>18</v>
      </c>
      <c r="CT9" s="185" t="s">
        <v>18</v>
      </c>
      <c r="CU9" s="185">
        <v>0</v>
      </c>
      <c r="CV9" s="185" t="s">
        <v>18</v>
      </c>
      <c r="CW9" s="185" t="s">
        <v>18</v>
      </c>
      <c r="CX9" s="185">
        <v>1</v>
      </c>
      <c r="CY9" s="185" t="s">
        <v>1906</v>
      </c>
      <c r="CZ9" s="185">
        <v>2</v>
      </c>
      <c r="DA9" s="185"/>
    </row>
    <row r="10" spans="1:105" s="189" customFormat="1">
      <c r="A10" s="185" t="s">
        <v>54</v>
      </c>
      <c r="B10" s="185">
        <v>22100733</v>
      </c>
      <c r="C10" s="185" t="s">
        <v>55</v>
      </c>
      <c r="D10" s="228">
        <v>44505</v>
      </c>
      <c r="E10" s="185">
        <v>88</v>
      </c>
      <c r="F10" s="185">
        <v>12.6</v>
      </c>
      <c r="G10" s="229">
        <f>F10/(E10/100)^2</f>
        <v>16.270661157024794</v>
      </c>
      <c r="H10" s="185">
        <v>47.2</v>
      </c>
      <c r="I10" s="185">
        <v>40</v>
      </c>
      <c r="J10" s="185">
        <v>5</v>
      </c>
      <c r="K10" s="185">
        <v>0</v>
      </c>
      <c r="L10" s="185">
        <v>1</v>
      </c>
      <c r="M10" s="185">
        <v>0</v>
      </c>
      <c r="N10" s="185">
        <v>9</v>
      </c>
      <c r="O10" s="185">
        <v>10</v>
      </c>
      <c r="P10" s="185">
        <v>3325</v>
      </c>
      <c r="Q10" s="185">
        <v>51</v>
      </c>
      <c r="R10" s="185">
        <v>34</v>
      </c>
      <c r="S10" s="185">
        <v>33</v>
      </c>
      <c r="T10" s="228">
        <v>33346</v>
      </c>
      <c r="U10" s="185">
        <v>28.28</v>
      </c>
      <c r="V10" s="185">
        <v>2</v>
      </c>
      <c r="W10" s="185">
        <v>0</v>
      </c>
      <c r="X10" s="185">
        <v>0</v>
      </c>
      <c r="Y10" s="185">
        <v>2</v>
      </c>
      <c r="Z10" s="185">
        <v>0</v>
      </c>
      <c r="AA10" s="185">
        <v>0</v>
      </c>
      <c r="AB10" s="185">
        <v>0</v>
      </c>
      <c r="AC10" s="185">
        <v>0</v>
      </c>
      <c r="AD10" s="185">
        <v>0</v>
      </c>
      <c r="AE10" s="185">
        <v>0</v>
      </c>
      <c r="AF10" s="185">
        <v>0</v>
      </c>
      <c r="AG10" s="185">
        <v>0</v>
      </c>
      <c r="AH10" s="185">
        <v>0</v>
      </c>
      <c r="AI10" s="185">
        <v>0</v>
      </c>
      <c r="AJ10" s="185">
        <v>0</v>
      </c>
      <c r="AK10" s="185">
        <v>0</v>
      </c>
      <c r="AL10" s="185">
        <v>0</v>
      </c>
      <c r="AM10" s="185">
        <v>0</v>
      </c>
      <c r="AN10" s="185">
        <v>0</v>
      </c>
      <c r="AO10" s="185">
        <v>0</v>
      </c>
      <c r="AP10" s="185">
        <v>0</v>
      </c>
      <c r="AQ10" s="185">
        <v>0</v>
      </c>
      <c r="AR10" s="185">
        <v>1</v>
      </c>
      <c r="AS10" s="185">
        <v>0</v>
      </c>
      <c r="AT10" s="185">
        <v>0</v>
      </c>
      <c r="AU10" s="185">
        <v>0</v>
      </c>
      <c r="AV10" s="185">
        <v>0</v>
      </c>
      <c r="AW10" s="185">
        <v>0</v>
      </c>
      <c r="AX10" s="185">
        <v>0</v>
      </c>
      <c r="AY10" s="185">
        <v>0</v>
      </c>
      <c r="AZ10" s="185">
        <v>0</v>
      </c>
      <c r="BA10" s="185">
        <v>0</v>
      </c>
      <c r="BB10" s="185">
        <v>0</v>
      </c>
      <c r="BC10" s="185">
        <v>0</v>
      </c>
      <c r="BD10" s="185">
        <v>0</v>
      </c>
      <c r="BE10" s="185">
        <v>0</v>
      </c>
      <c r="BF10" s="185">
        <v>0</v>
      </c>
      <c r="BG10" s="185">
        <v>0</v>
      </c>
      <c r="BH10" s="185">
        <v>0</v>
      </c>
      <c r="BI10" s="185">
        <v>0</v>
      </c>
      <c r="BJ10" s="185">
        <v>0</v>
      </c>
      <c r="BK10" s="185">
        <v>0</v>
      </c>
      <c r="BL10" s="185">
        <v>0</v>
      </c>
      <c r="BM10" s="185">
        <v>0</v>
      </c>
      <c r="BN10" s="185">
        <v>0</v>
      </c>
      <c r="BO10" s="185">
        <v>0</v>
      </c>
      <c r="BP10" s="185">
        <v>0</v>
      </c>
      <c r="BQ10" s="185">
        <v>0</v>
      </c>
      <c r="BR10" s="185">
        <v>0</v>
      </c>
      <c r="BS10" s="185">
        <v>0</v>
      </c>
      <c r="BT10" s="185">
        <v>0</v>
      </c>
      <c r="BU10" s="185">
        <v>0</v>
      </c>
      <c r="BV10" s="185">
        <v>0</v>
      </c>
      <c r="BW10" s="185">
        <v>0</v>
      </c>
      <c r="BX10" s="185">
        <v>0</v>
      </c>
      <c r="BY10" s="185">
        <v>0</v>
      </c>
      <c r="BZ10" s="185">
        <v>1</v>
      </c>
      <c r="CA10" s="185" t="s">
        <v>1886</v>
      </c>
      <c r="CB10" s="185">
        <v>0</v>
      </c>
      <c r="CC10" s="185" t="s">
        <v>18</v>
      </c>
      <c r="CD10" s="185">
        <v>1</v>
      </c>
      <c r="CE10" s="185" t="s">
        <v>1908</v>
      </c>
      <c r="CF10" s="185" t="s">
        <v>1909</v>
      </c>
      <c r="CG10" s="185">
        <v>0</v>
      </c>
      <c r="CH10" s="185" t="s">
        <v>18</v>
      </c>
      <c r="CI10" s="185">
        <v>0</v>
      </c>
      <c r="CJ10" s="185" t="s">
        <v>18</v>
      </c>
      <c r="CK10" s="185" t="s">
        <v>18</v>
      </c>
      <c r="CL10" s="185">
        <v>0</v>
      </c>
      <c r="CM10" s="185" t="s">
        <v>18</v>
      </c>
      <c r="CN10" s="185" t="s">
        <v>18</v>
      </c>
      <c r="CO10" s="185">
        <v>0</v>
      </c>
      <c r="CP10" s="185" t="s">
        <v>18</v>
      </c>
      <c r="CQ10" s="185" t="s">
        <v>18</v>
      </c>
      <c r="CR10" s="185">
        <v>0</v>
      </c>
      <c r="CS10" s="185" t="s">
        <v>18</v>
      </c>
      <c r="CT10" s="185" t="s">
        <v>18</v>
      </c>
      <c r="CU10" s="185">
        <v>0</v>
      </c>
      <c r="CV10" s="185" t="s">
        <v>18</v>
      </c>
      <c r="CW10" s="185" t="s">
        <v>18</v>
      </c>
      <c r="CX10" s="185">
        <v>1</v>
      </c>
      <c r="CY10" s="185" t="s">
        <v>1722</v>
      </c>
      <c r="CZ10" s="185">
        <v>2</v>
      </c>
      <c r="DA10" s="185"/>
    </row>
    <row r="11" spans="1:105" s="189" customFormat="1">
      <c r="A11" s="185" t="s">
        <v>59</v>
      </c>
      <c r="B11" s="185">
        <v>22101152</v>
      </c>
      <c r="C11" s="185" t="s">
        <v>60</v>
      </c>
      <c r="D11" s="228">
        <v>44537</v>
      </c>
      <c r="E11" s="185">
        <v>82.6</v>
      </c>
      <c r="F11" s="185">
        <v>11.3</v>
      </c>
      <c r="G11" s="229">
        <f>F11/(E11/100)^2</f>
        <v>16.562212359807472</v>
      </c>
      <c r="H11" s="185">
        <v>47.1</v>
      </c>
      <c r="I11" s="185">
        <v>39</v>
      </c>
      <c r="J11" s="185">
        <v>3</v>
      </c>
      <c r="K11" s="185">
        <v>0</v>
      </c>
      <c r="L11" s="185">
        <v>1</v>
      </c>
      <c r="M11" s="185">
        <v>0</v>
      </c>
      <c r="N11" s="185">
        <v>9</v>
      </c>
      <c r="O11" s="185">
        <v>10</v>
      </c>
      <c r="P11" s="185">
        <v>3440</v>
      </c>
      <c r="Q11" s="185">
        <v>51</v>
      </c>
      <c r="R11" s="185">
        <v>33.5</v>
      </c>
      <c r="S11" s="185">
        <v>51</v>
      </c>
      <c r="T11" s="228">
        <v>31461</v>
      </c>
      <c r="U11" s="185">
        <v>33.54</v>
      </c>
      <c r="V11" s="185">
        <v>2</v>
      </c>
      <c r="W11" s="185">
        <v>0</v>
      </c>
      <c r="X11" s="185">
        <v>0</v>
      </c>
      <c r="Y11" s="185">
        <v>2</v>
      </c>
      <c r="Z11" s="185">
        <v>0</v>
      </c>
      <c r="AA11" s="185">
        <v>0</v>
      </c>
      <c r="AB11" s="185">
        <v>0</v>
      </c>
      <c r="AC11" s="185">
        <v>0</v>
      </c>
      <c r="AD11" s="185">
        <v>0</v>
      </c>
      <c r="AE11" s="185">
        <v>0</v>
      </c>
      <c r="AF11" s="185">
        <v>0</v>
      </c>
      <c r="AG11" s="185">
        <v>1</v>
      </c>
      <c r="AH11" s="185">
        <v>0</v>
      </c>
      <c r="AI11" s="185">
        <v>0</v>
      </c>
      <c r="AJ11" s="185">
        <v>0</v>
      </c>
      <c r="AK11" s="185">
        <v>0</v>
      </c>
      <c r="AL11" s="185">
        <v>0</v>
      </c>
      <c r="AM11" s="185">
        <v>0</v>
      </c>
      <c r="AN11" s="185">
        <v>0</v>
      </c>
      <c r="AO11" s="185">
        <v>0</v>
      </c>
      <c r="AP11" s="185">
        <v>0</v>
      </c>
      <c r="AQ11" s="185">
        <v>0</v>
      </c>
      <c r="AR11" s="185" t="s">
        <v>1910</v>
      </c>
      <c r="AS11" s="185">
        <v>0</v>
      </c>
      <c r="AT11" s="185">
        <v>0</v>
      </c>
      <c r="AU11" s="185">
        <v>0</v>
      </c>
      <c r="AV11" s="185">
        <v>0</v>
      </c>
      <c r="AW11" s="185">
        <v>0</v>
      </c>
      <c r="AX11" s="185">
        <v>0</v>
      </c>
      <c r="AY11" s="185">
        <v>0</v>
      </c>
      <c r="AZ11" s="185">
        <v>0</v>
      </c>
      <c r="BA11" s="185">
        <v>0</v>
      </c>
      <c r="BB11" s="185">
        <v>0</v>
      </c>
      <c r="BC11" s="185">
        <v>0</v>
      </c>
      <c r="BD11" s="185">
        <v>0</v>
      </c>
      <c r="BE11" s="185">
        <v>0</v>
      </c>
      <c r="BF11" s="185">
        <v>0</v>
      </c>
      <c r="BG11" s="185">
        <v>0</v>
      </c>
      <c r="BH11" s="185">
        <v>0</v>
      </c>
      <c r="BI11" s="185">
        <v>0</v>
      </c>
      <c r="BJ11" s="185">
        <v>0</v>
      </c>
      <c r="BK11" s="185">
        <v>0</v>
      </c>
      <c r="BL11" s="185">
        <v>0</v>
      </c>
      <c r="BM11" s="185">
        <v>0</v>
      </c>
      <c r="BN11" s="185">
        <v>0</v>
      </c>
      <c r="BO11" s="185">
        <v>0</v>
      </c>
      <c r="BP11" s="185">
        <v>0</v>
      </c>
      <c r="BQ11" s="185">
        <v>0</v>
      </c>
      <c r="BR11" s="185">
        <v>0</v>
      </c>
      <c r="BS11" s="185">
        <v>0</v>
      </c>
      <c r="BT11" s="185">
        <v>0</v>
      </c>
      <c r="BU11" s="185">
        <v>0</v>
      </c>
      <c r="BV11" s="185">
        <v>0</v>
      </c>
      <c r="BW11" s="185">
        <v>0</v>
      </c>
      <c r="BX11" s="185">
        <v>0</v>
      </c>
      <c r="BY11" s="185">
        <v>0</v>
      </c>
      <c r="BZ11" s="185">
        <v>1</v>
      </c>
      <c r="CA11" s="185" t="s">
        <v>1886</v>
      </c>
      <c r="CB11" s="185">
        <v>0</v>
      </c>
      <c r="CC11" s="185" t="s">
        <v>18</v>
      </c>
      <c r="CD11" s="185">
        <v>1</v>
      </c>
      <c r="CE11" s="185" t="s">
        <v>1911</v>
      </c>
      <c r="CF11" s="185" t="s">
        <v>1912</v>
      </c>
      <c r="CG11" s="185">
        <v>0</v>
      </c>
      <c r="CH11" s="185" t="s">
        <v>18</v>
      </c>
      <c r="CI11" s="185">
        <v>0</v>
      </c>
      <c r="CJ11" s="185" t="s">
        <v>18</v>
      </c>
      <c r="CK11" s="185" t="s">
        <v>18</v>
      </c>
      <c r="CL11" s="185">
        <v>0</v>
      </c>
      <c r="CM11" s="185" t="s">
        <v>18</v>
      </c>
      <c r="CN11" s="185" t="s">
        <v>18</v>
      </c>
      <c r="CO11" s="185">
        <v>0</v>
      </c>
      <c r="CP11" s="185" t="s">
        <v>18</v>
      </c>
      <c r="CQ11" s="185" t="s">
        <v>18</v>
      </c>
      <c r="CR11" s="185">
        <v>0</v>
      </c>
      <c r="CS11" s="185" t="s">
        <v>18</v>
      </c>
      <c r="CT11" s="185" t="s">
        <v>18</v>
      </c>
      <c r="CU11" s="185">
        <v>0</v>
      </c>
      <c r="CV11" s="185" t="s">
        <v>18</v>
      </c>
      <c r="CW11" s="185" t="s">
        <v>18</v>
      </c>
      <c r="CX11" s="185">
        <v>1</v>
      </c>
      <c r="CY11" s="185" t="s">
        <v>1913</v>
      </c>
      <c r="CZ11" s="185">
        <v>2</v>
      </c>
      <c r="DA11" s="185"/>
    </row>
    <row r="12" spans="1:105" s="193" customFormat="1">
      <c r="A12" s="192" t="s">
        <v>63</v>
      </c>
      <c r="B12" s="192">
        <v>22140400</v>
      </c>
      <c r="C12" s="192" t="s">
        <v>64</v>
      </c>
      <c r="D12" s="192"/>
      <c r="E12" s="192"/>
      <c r="F12" s="192"/>
      <c r="G12" s="231"/>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c r="BO12" s="192"/>
      <c r="BP12" s="192"/>
      <c r="BQ12" s="192"/>
      <c r="BR12" s="192"/>
      <c r="BS12" s="192"/>
      <c r="BT12" s="192"/>
      <c r="BU12" s="192"/>
      <c r="BV12" s="192"/>
      <c r="BW12" s="192"/>
      <c r="BX12" s="192"/>
      <c r="BY12" s="192"/>
      <c r="BZ12" s="192"/>
      <c r="CA12" s="192"/>
      <c r="CB12" s="192"/>
      <c r="CC12" s="192"/>
      <c r="CD12" s="192"/>
      <c r="CE12" s="192"/>
      <c r="CF12" s="192"/>
      <c r="CG12" s="192"/>
      <c r="CH12" s="192"/>
      <c r="CI12" s="192"/>
      <c r="CJ12" s="192"/>
      <c r="CK12" s="192"/>
      <c r="CL12" s="192"/>
      <c r="CM12" s="192"/>
      <c r="CN12" s="192"/>
      <c r="CO12" s="192"/>
      <c r="CP12" s="192"/>
      <c r="CQ12" s="192"/>
      <c r="CR12" s="192"/>
      <c r="CS12" s="192"/>
      <c r="CT12" s="192"/>
      <c r="CU12" s="192"/>
      <c r="CV12" s="192"/>
      <c r="CW12" s="192"/>
      <c r="CX12" s="192"/>
      <c r="CY12" s="192"/>
      <c r="CZ12" s="192"/>
      <c r="DA12" s="192"/>
    </row>
    <row r="13" spans="1:105" s="193" customFormat="1">
      <c r="A13" s="192" t="s">
        <v>68</v>
      </c>
      <c r="B13" s="192">
        <v>22140401</v>
      </c>
      <c r="C13" s="192" t="s">
        <v>69</v>
      </c>
      <c r="D13" s="192"/>
      <c r="E13" s="192"/>
      <c r="F13" s="192"/>
      <c r="G13" s="231"/>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c r="BF13" s="192"/>
      <c r="BG13" s="192"/>
      <c r="BH13" s="192"/>
      <c r="BI13" s="192"/>
      <c r="BJ13" s="192"/>
      <c r="BK13" s="192"/>
      <c r="BL13" s="192"/>
      <c r="BM13" s="192"/>
      <c r="BN13" s="192"/>
      <c r="BO13" s="192"/>
      <c r="BP13" s="192"/>
      <c r="BQ13" s="192"/>
      <c r="BR13" s="192"/>
      <c r="BS13" s="192"/>
      <c r="BT13" s="192"/>
      <c r="BU13" s="192"/>
      <c r="BV13" s="192"/>
      <c r="BW13" s="192"/>
      <c r="BX13" s="192"/>
      <c r="BY13" s="192"/>
      <c r="BZ13" s="192"/>
      <c r="CA13" s="192"/>
      <c r="CB13" s="192"/>
      <c r="CC13" s="192"/>
      <c r="CD13" s="192"/>
      <c r="CE13" s="192"/>
      <c r="CF13" s="192"/>
      <c r="CG13" s="192"/>
      <c r="CH13" s="192"/>
      <c r="CI13" s="192"/>
      <c r="CJ13" s="192"/>
      <c r="CK13" s="192"/>
      <c r="CL13" s="192"/>
      <c r="CM13" s="192"/>
      <c r="CN13" s="192"/>
      <c r="CO13" s="192"/>
      <c r="CP13" s="192"/>
      <c r="CQ13" s="192"/>
      <c r="CR13" s="192"/>
      <c r="CS13" s="192"/>
      <c r="CT13" s="192"/>
      <c r="CU13" s="192"/>
      <c r="CV13" s="192"/>
      <c r="CW13" s="192"/>
      <c r="CX13" s="192"/>
      <c r="CY13" s="192"/>
      <c r="CZ13" s="192"/>
      <c r="DA13" s="192"/>
    </row>
    <row r="14" spans="1:105" s="193" customFormat="1">
      <c r="A14" s="194" t="s">
        <v>71</v>
      </c>
      <c r="B14" s="194">
        <v>16900981</v>
      </c>
      <c r="C14" s="194" t="s">
        <v>72</v>
      </c>
      <c r="D14" s="200"/>
      <c r="E14" s="194"/>
      <c r="F14" s="194"/>
      <c r="G14" s="232"/>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K14" s="194"/>
      <c r="BL14" s="194"/>
      <c r="BM14" s="194"/>
      <c r="BN14" s="194"/>
      <c r="BO14" s="194"/>
      <c r="BP14" s="194"/>
      <c r="BQ14" s="194"/>
      <c r="BR14" s="194"/>
      <c r="BS14" s="194"/>
      <c r="BT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row>
    <row r="15" spans="1:105" s="189" customFormat="1">
      <c r="A15" s="185" t="s">
        <v>77</v>
      </c>
      <c r="B15" s="185">
        <v>21928109</v>
      </c>
      <c r="C15" s="185" t="s">
        <v>78</v>
      </c>
      <c r="D15" s="195">
        <v>44272</v>
      </c>
      <c r="E15" s="185">
        <v>83.5</v>
      </c>
      <c r="F15" s="185">
        <v>11.1</v>
      </c>
      <c r="G15" s="229">
        <f>F15/(E15/100)^2</f>
        <v>15.920255297787659</v>
      </c>
      <c r="H15" s="185">
        <v>46.7</v>
      </c>
      <c r="I15" s="185">
        <v>26</v>
      </c>
      <c r="J15" s="185">
        <v>0</v>
      </c>
      <c r="K15" s="185">
        <v>1</v>
      </c>
      <c r="L15" s="185">
        <v>1</v>
      </c>
      <c r="M15" s="185">
        <v>0</v>
      </c>
      <c r="N15" s="185">
        <v>3</v>
      </c>
      <c r="O15" s="185">
        <v>7</v>
      </c>
      <c r="P15" s="185">
        <v>882</v>
      </c>
      <c r="Q15" s="185">
        <v>34</v>
      </c>
      <c r="R15" s="185">
        <v>23</v>
      </c>
      <c r="S15" s="185">
        <v>22.5</v>
      </c>
      <c r="T15" s="228">
        <v>36001</v>
      </c>
      <c r="U15" s="185">
        <v>20.350000000000001</v>
      </c>
      <c r="V15" s="185">
        <v>0</v>
      </c>
      <c r="W15" s="185">
        <v>1</v>
      </c>
      <c r="X15" s="185">
        <v>0</v>
      </c>
      <c r="Y15" s="185">
        <v>1</v>
      </c>
      <c r="Z15" s="185">
        <v>0</v>
      </c>
      <c r="AA15" s="185">
        <v>0</v>
      </c>
      <c r="AB15" s="185">
        <v>0</v>
      </c>
      <c r="AC15" s="185">
        <v>0</v>
      </c>
      <c r="AD15" s="185">
        <v>0</v>
      </c>
      <c r="AE15" s="185">
        <v>0</v>
      </c>
      <c r="AF15" s="185">
        <v>0</v>
      </c>
      <c r="AG15" s="185">
        <v>0</v>
      </c>
      <c r="AH15" s="185">
        <v>0</v>
      </c>
      <c r="AI15" s="185">
        <v>1</v>
      </c>
      <c r="AJ15" s="185">
        <v>0</v>
      </c>
      <c r="AK15" s="185">
        <v>0</v>
      </c>
      <c r="AL15" s="185">
        <v>1</v>
      </c>
      <c r="AM15" s="185">
        <v>10</v>
      </c>
      <c r="AN15" s="185">
        <v>0</v>
      </c>
      <c r="AO15" s="185">
        <v>0</v>
      </c>
      <c r="AP15" s="185">
        <v>0</v>
      </c>
      <c r="AQ15" s="185">
        <v>0</v>
      </c>
      <c r="AR15" s="185">
        <v>1</v>
      </c>
      <c r="AS15" s="185">
        <v>1</v>
      </c>
      <c r="AT15" s="185">
        <v>1</v>
      </c>
      <c r="AU15" s="185">
        <v>1</v>
      </c>
      <c r="AV15" s="185">
        <v>1</v>
      </c>
      <c r="AW15" s="185">
        <v>1</v>
      </c>
      <c r="AX15" s="185">
        <v>0</v>
      </c>
      <c r="AY15" s="185">
        <v>0</v>
      </c>
      <c r="AZ15" s="185">
        <v>0</v>
      </c>
      <c r="BA15" s="185">
        <v>0</v>
      </c>
      <c r="BB15" s="185">
        <v>0</v>
      </c>
      <c r="BC15" s="185">
        <v>0</v>
      </c>
      <c r="BD15" s="185">
        <v>0</v>
      </c>
      <c r="BE15" s="185">
        <v>0</v>
      </c>
      <c r="BF15" s="185">
        <v>0</v>
      </c>
      <c r="BG15" s="185">
        <v>0</v>
      </c>
      <c r="BH15" s="185">
        <v>0</v>
      </c>
      <c r="BI15" s="185">
        <v>0</v>
      </c>
      <c r="BJ15" s="185">
        <v>0</v>
      </c>
      <c r="BK15" s="185">
        <v>1</v>
      </c>
      <c r="BL15" s="185">
        <v>0</v>
      </c>
      <c r="BM15" s="185">
        <v>0</v>
      </c>
      <c r="BN15" s="185">
        <v>0</v>
      </c>
      <c r="BO15" s="185">
        <v>0</v>
      </c>
      <c r="BP15" s="185">
        <v>0</v>
      </c>
      <c r="BQ15" s="185">
        <v>0</v>
      </c>
      <c r="BR15" s="185">
        <v>0</v>
      </c>
      <c r="BS15" s="185">
        <v>0</v>
      </c>
      <c r="BT15" s="185">
        <v>1</v>
      </c>
      <c r="BU15" s="185">
        <v>0</v>
      </c>
      <c r="BV15" s="185">
        <v>0</v>
      </c>
      <c r="BW15" s="185">
        <v>0</v>
      </c>
      <c r="BX15" s="185">
        <v>0</v>
      </c>
      <c r="BY15" s="185">
        <v>0</v>
      </c>
      <c r="BZ15" s="185">
        <v>1</v>
      </c>
      <c r="CA15" s="185" t="s">
        <v>1914</v>
      </c>
      <c r="CB15" s="185">
        <v>0</v>
      </c>
      <c r="CC15" s="185" t="s">
        <v>18</v>
      </c>
      <c r="CD15" s="185">
        <v>1</v>
      </c>
      <c r="CE15" s="185" t="s">
        <v>1915</v>
      </c>
      <c r="CF15" s="185" t="s">
        <v>1916</v>
      </c>
      <c r="CG15" s="185">
        <v>1</v>
      </c>
      <c r="CH15" s="185" t="s">
        <v>1917</v>
      </c>
      <c r="CI15" s="185">
        <v>0</v>
      </c>
      <c r="CJ15" s="185" t="s">
        <v>18</v>
      </c>
      <c r="CK15" s="185" t="s">
        <v>18</v>
      </c>
      <c r="CL15" s="185">
        <v>1</v>
      </c>
      <c r="CM15" s="185" t="s">
        <v>1887</v>
      </c>
      <c r="CN15" s="185" t="s">
        <v>1918</v>
      </c>
      <c r="CO15" s="185">
        <v>0</v>
      </c>
      <c r="CP15" s="185" t="s">
        <v>18</v>
      </c>
      <c r="CQ15" s="185" t="s">
        <v>18</v>
      </c>
      <c r="CR15" s="185">
        <v>0</v>
      </c>
      <c r="CS15" s="185" t="s">
        <v>18</v>
      </c>
      <c r="CT15" s="185" t="s">
        <v>18</v>
      </c>
      <c r="CU15" s="185">
        <v>0</v>
      </c>
      <c r="CV15" s="185" t="s">
        <v>18</v>
      </c>
      <c r="CW15" s="185" t="s">
        <v>18</v>
      </c>
      <c r="CX15" s="185">
        <v>1</v>
      </c>
      <c r="CY15" s="185" t="s">
        <v>1919</v>
      </c>
      <c r="CZ15" s="185">
        <v>2</v>
      </c>
      <c r="DA15" s="185"/>
    </row>
    <row r="16" spans="1:105" s="110" customFormat="1">
      <c r="A16" s="107" t="s">
        <v>82</v>
      </c>
      <c r="B16" s="107">
        <v>22104301</v>
      </c>
      <c r="C16" s="107" t="s">
        <v>83</v>
      </c>
      <c r="D16" s="108"/>
      <c r="E16" s="107"/>
      <c r="F16" s="107"/>
      <c r="G16" s="109"/>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c r="CY16" s="107"/>
      <c r="CZ16" s="107"/>
      <c r="DA16" s="107"/>
    </row>
    <row r="17" spans="1:106" s="193" customFormat="1">
      <c r="A17" s="192" t="s">
        <v>87</v>
      </c>
      <c r="B17" s="192">
        <v>21929043</v>
      </c>
      <c r="C17" s="192" t="s">
        <v>88</v>
      </c>
      <c r="D17" s="192"/>
      <c r="E17" s="192"/>
      <c r="F17" s="192"/>
      <c r="G17" s="231"/>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2"/>
      <c r="BO17" s="192"/>
      <c r="BP17" s="192"/>
      <c r="BQ17" s="192"/>
      <c r="BR17" s="192"/>
      <c r="BS17" s="192"/>
      <c r="BT17" s="192"/>
      <c r="BU17" s="192"/>
      <c r="BV17" s="192"/>
      <c r="BW17" s="192"/>
      <c r="BX17" s="192"/>
      <c r="BY17" s="192"/>
      <c r="BZ17" s="192"/>
      <c r="CA17" s="192"/>
      <c r="CB17" s="192"/>
      <c r="CC17" s="192"/>
      <c r="CD17" s="192"/>
      <c r="CE17" s="192"/>
      <c r="CF17" s="192"/>
      <c r="CG17" s="192"/>
      <c r="CH17" s="192"/>
      <c r="CI17" s="192"/>
      <c r="CJ17" s="192"/>
      <c r="CK17" s="192"/>
      <c r="CL17" s="192"/>
      <c r="CM17" s="192"/>
      <c r="CN17" s="192"/>
      <c r="CO17" s="192"/>
      <c r="CP17" s="192"/>
      <c r="CQ17" s="192"/>
      <c r="CR17" s="192"/>
      <c r="CS17" s="192"/>
      <c r="CT17" s="192"/>
      <c r="CU17" s="192"/>
      <c r="CV17" s="192"/>
      <c r="CW17" s="192"/>
      <c r="CX17" s="192"/>
      <c r="CY17" s="192"/>
      <c r="CZ17" s="192"/>
      <c r="DA17" s="192"/>
    </row>
    <row r="18" spans="1:106" s="193" customFormat="1">
      <c r="A18" s="194" t="s">
        <v>92</v>
      </c>
      <c r="B18" s="194">
        <v>22104128</v>
      </c>
      <c r="C18" s="194" t="s">
        <v>93</v>
      </c>
      <c r="D18" s="200"/>
      <c r="E18" s="194"/>
      <c r="F18" s="194"/>
      <c r="G18" s="232"/>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94"/>
      <c r="BJ18" s="194"/>
      <c r="BK18" s="194"/>
      <c r="BL18" s="194"/>
      <c r="BM18" s="194"/>
      <c r="BN18" s="194"/>
      <c r="BO18" s="194"/>
      <c r="BP18" s="194"/>
      <c r="BQ18" s="194"/>
      <c r="BR18" s="194"/>
      <c r="BS18" s="194"/>
      <c r="BT18" s="194"/>
      <c r="BU18" s="194"/>
      <c r="BV18" s="194"/>
      <c r="BW18" s="194"/>
      <c r="BX18" s="194"/>
      <c r="BY18" s="194"/>
      <c r="BZ18" s="194"/>
      <c r="CA18" s="194"/>
      <c r="CB18" s="194"/>
      <c r="CC18" s="194"/>
      <c r="CD18" s="194"/>
      <c r="CE18" s="194"/>
      <c r="CF18" s="194"/>
      <c r="CG18" s="194"/>
      <c r="CH18" s="194"/>
      <c r="CI18" s="194"/>
      <c r="CJ18" s="194"/>
      <c r="CK18" s="194"/>
      <c r="CL18" s="194"/>
      <c r="CM18" s="194"/>
      <c r="CN18" s="194"/>
      <c r="CO18" s="194"/>
      <c r="CP18" s="194"/>
      <c r="CQ18" s="194"/>
      <c r="CR18" s="194"/>
      <c r="CS18" s="194"/>
      <c r="CT18" s="194"/>
      <c r="CU18" s="194"/>
      <c r="CV18" s="194"/>
      <c r="CW18" s="194"/>
      <c r="CX18" s="194"/>
      <c r="CY18" s="194"/>
      <c r="CZ18" s="194"/>
      <c r="DA18" s="194"/>
    </row>
    <row r="19" spans="1:106" s="193" customFormat="1">
      <c r="A19" s="196" t="s">
        <v>97</v>
      </c>
      <c r="B19" s="196">
        <v>22104135</v>
      </c>
      <c r="C19" s="196" t="s">
        <v>98</v>
      </c>
      <c r="D19" s="197"/>
      <c r="E19" s="196"/>
      <c r="F19" s="196"/>
      <c r="G19" s="233"/>
      <c r="H19" s="196"/>
      <c r="I19" s="196"/>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row>
    <row r="20" spans="1:106" s="193" customFormat="1">
      <c r="A20" s="196" t="s">
        <v>102</v>
      </c>
      <c r="B20" s="196">
        <v>22243391</v>
      </c>
      <c r="C20" s="196" t="s">
        <v>103</v>
      </c>
      <c r="D20" s="197"/>
      <c r="E20" s="196"/>
      <c r="F20" s="196"/>
      <c r="G20" s="233"/>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row>
    <row r="21" spans="1:106" s="193" customFormat="1">
      <c r="A21" s="196" t="s">
        <v>107</v>
      </c>
      <c r="B21" s="196">
        <v>22103984</v>
      </c>
      <c r="C21" s="196" t="s">
        <v>108</v>
      </c>
      <c r="D21" s="197"/>
      <c r="E21" s="196"/>
      <c r="F21" s="196"/>
      <c r="G21" s="233"/>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row>
    <row r="22" spans="1:106" s="110" customFormat="1">
      <c r="A22" s="116" t="s">
        <v>112</v>
      </c>
      <c r="B22" s="116">
        <v>21927677</v>
      </c>
      <c r="C22" s="116" t="s">
        <v>113</v>
      </c>
      <c r="D22" s="117">
        <v>44218</v>
      </c>
      <c r="E22" s="107">
        <v>90</v>
      </c>
      <c r="F22" s="107">
        <v>11.5</v>
      </c>
      <c r="G22" s="109">
        <f>F22/(E22/100)^2</f>
        <v>14.19753086419753</v>
      </c>
      <c r="H22" s="107">
        <v>48.5</v>
      </c>
      <c r="I22" s="107">
        <v>28</v>
      </c>
      <c r="J22" s="107">
        <v>0</v>
      </c>
      <c r="K22" s="107">
        <v>1</v>
      </c>
      <c r="L22" s="107">
        <v>2</v>
      </c>
      <c r="M22" s="107">
        <v>0</v>
      </c>
      <c r="N22" s="107">
        <v>8</v>
      </c>
      <c r="O22" s="107">
        <v>9</v>
      </c>
      <c r="P22" s="107">
        <v>1275</v>
      </c>
      <c r="Q22" s="107">
        <v>41</v>
      </c>
      <c r="R22" s="107">
        <v>27.5</v>
      </c>
      <c r="S22" s="107">
        <v>24</v>
      </c>
      <c r="T22" s="108">
        <v>30704</v>
      </c>
      <c r="U22" s="107">
        <v>34.75</v>
      </c>
      <c r="V22" s="107">
        <v>1</v>
      </c>
      <c r="W22" s="107">
        <v>1</v>
      </c>
      <c r="X22" s="107">
        <v>0</v>
      </c>
      <c r="Y22" s="107">
        <v>2</v>
      </c>
      <c r="Z22" s="107">
        <v>0</v>
      </c>
      <c r="AA22" s="107">
        <v>0</v>
      </c>
      <c r="AB22" s="107">
        <v>0</v>
      </c>
      <c r="AC22" s="107">
        <v>0</v>
      </c>
      <c r="AD22" s="107">
        <v>0</v>
      </c>
      <c r="AE22" s="107">
        <v>0</v>
      </c>
      <c r="AF22" s="107">
        <v>0</v>
      </c>
      <c r="AG22" s="107">
        <v>0</v>
      </c>
      <c r="AH22" s="107">
        <v>0</v>
      </c>
      <c r="AI22" s="107">
        <v>0</v>
      </c>
      <c r="AJ22" s="107">
        <v>0</v>
      </c>
      <c r="AK22" s="107">
        <v>0</v>
      </c>
      <c r="AL22" s="107">
        <v>0</v>
      </c>
      <c r="AM22" s="107">
        <v>0</v>
      </c>
      <c r="AN22" s="107">
        <v>0</v>
      </c>
      <c r="AO22" s="107">
        <v>0</v>
      </c>
      <c r="AP22" s="107">
        <v>0</v>
      </c>
      <c r="AQ22" s="107">
        <v>0</v>
      </c>
      <c r="AR22" s="107" t="s">
        <v>1910</v>
      </c>
      <c r="AS22" s="107">
        <v>0</v>
      </c>
      <c r="AT22" s="107">
        <v>0</v>
      </c>
      <c r="AU22" s="107">
        <v>0</v>
      </c>
      <c r="AV22" s="107">
        <v>0</v>
      </c>
      <c r="AW22" s="107">
        <v>0</v>
      </c>
      <c r="AX22" s="107">
        <v>0</v>
      </c>
      <c r="AY22" s="107">
        <v>0</v>
      </c>
      <c r="AZ22" s="107">
        <v>0</v>
      </c>
      <c r="BA22" s="107">
        <v>0</v>
      </c>
      <c r="BB22" s="107">
        <v>0</v>
      </c>
      <c r="BC22" s="107">
        <v>0</v>
      </c>
      <c r="BD22" s="107">
        <v>0</v>
      </c>
      <c r="BE22" s="107">
        <v>0</v>
      </c>
      <c r="BF22" s="107">
        <v>0</v>
      </c>
      <c r="BG22" s="107">
        <v>0</v>
      </c>
      <c r="BH22" s="107">
        <v>0</v>
      </c>
      <c r="BI22" s="107">
        <v>0</v>
      </c>
      <c r="BJ22" s="107">
        <v>0</v>
      </c>
      <c r="BK22" s="107">
        <v>0</v>
      </c>
      <c r="BL22" s="107">
        <v>0</v>
      </c>
      <c r="BM22" s="107">
        <v>0</v>
      </c>
      <c r="BN22" s="107">
        <v>0</v>
      </c>
      <c r="BO22" s="107">
        <v>0</v>
      </c>
      <c r="BP22" s="107">
        <v>0</v>
      </c>
      <c r="BQ22" s="107">
        <v>0</v>
      </c>
      <c r="BR22" s="107">
        <v>0</v>
      </c>
      <c r="BS22" s="107">
        <v>0</v>
      </c>
      <c r="BT22" s="107">
        <v>0</v>
      </c>
      <c r="BU22" s="107">
        <v>0</v>
      </c>
      <c r="BV22" s="107">
        <v>0</v>
      </c>
      <c r="BW22" s="107">
        <v>0</v>
      </c>
      <c r="BX22" s="107">
        <v>0</v>
      </c>
      <c r="BY22" s="107">
        <v>0</v>
      </c>
      <c r="BZ22" s="107">
        <v>0</v>
      </c>
      <c r="CA22" s="107" t="s">
        <v>18</v>
      </c>
      <c r="CB22" s="107" t="s">
        <v>18</v>
      </c>
      <c r="CC22" s="107" t="s">
        <v>18</v>
      </c>
      <c r="CD22" s="107">
        <v>1</v>
      </c>
      <c r="CE22" s="107" t="s">
        <v>1917</v>
      </c>
      <c r="CF22" s="107" t="s">
        <v>1987</v>
      </c>
      <c r="CG22" s="107">
        <v>0</v>
      </c>
      <c r="CH22" s="107" t="s">
        <v>18</v>
      </c>
      <c r="CI22" s="107">
        <v>0</v>
      </c>
      <c r="CJ22" s="107" t="s">
        <v>18</v>
      </c>
      <c r="CK22" s="107" t="s">
        <v>18</v>
      </c>
      <c r="CL22" s="107">
        <v>1</v>
      </c>
      <c r="CM22" s="107" t="s">
        <v>1988</v>
      </c>
      <c r="CN22" s="107" t="s">
        <v>1989</v>
      </c>
      <c r="CO22" s="107">
        <v>0</v>
      </c>
      <c r="CP22" s="107" t="s">
        <v>18</v>
      </c>
      <c r="CQ22" s="107" t="s">
        <v>18</v>
      </c>
      <c r="CR22" s="107">
        <v>0</v>
      </c>
      <c r="CS22" s="107" t="s">
        <v>18</v>
      </c>
      <c r="CT22" s="107" t="s">
        <v>18</v>
      </c>
      <c r="CU22" s="107">
        <v>0</v>
      </c>
      <c r="CV22" s="107" t="s">
        <v>18</v>
      </c>
      <c r="CW22" s="107" t="s">
        <v>18</v>
      </c>
      <c r="CX22" s="107">
        <v>1</v>
      </c>
      <c r="CY22" s="107" t="s">
        <v>1722</v>
      </c>
      <c r="CZ22" s="107">
        <v>2</v>
      </c>
      <c r="DA22" s="107"/>
    </row>
    <row r="23" spans="1:106" s="193" customFormat="1">
      <c r="A23" s="196" t="s">
        <v>116</v>
      </c>
      <c r="B23" s="196">
        <v>22104757</v>
      </c>
      <c r="C23" s="196" t="s">
        <v>117</v>
      </c>
      <c r="D23" s="197"/>
      <c r="E23" s="196"/>
      <c r="F23" s="196"/>
      <c r="G23" s="233"/>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row>
    <row r="24" spans="1:106" s="189" customFormat="1">
      <c r="A24" s="198" t="s">
        <v>121</v>
      </c>
      <c r="B24" s="198">
        <v>22104689</v>
      </c>
      <c r="C24" s="198" t="s">
        <v>122</v>
      </c>
      <c r="D24" s="195">
        <v>44750</v>
      </c>
      <c r="E24" s="198">
        <v>82.6</v>
      </c>
      <c r="F24" s="198">
        <v>10.5</v>
      </c>
      <c r="G24" s="229">
        <f>F24/(E24/100)^2</f>
        <v>15.38966635203349</v>
      </c>
      <c r="H24" s="198">
        <v>48.5</v>
      </c>
      <c r="I24" s="198">
        <v>39</v>
      </c>
      <c r="J24" s="198">
        <v>0</v>
      </c>
      <c r="K24" s="198">
        <v>0</v>
      </c>
      <c r="L24" s="198">
        <v>1</v>
      </c>
      <c r="M24" s="198">
        <v>0</v>
      </c>
      <c r="N24" s="198">
        <v>9</v>
      </c>
      <c r="O24" s="198">
        <v>10</v>
      </c>
      <c r="P24" s="198">
        <v>2900</v>
      </c>
      <c r="Q24" s="198">
        <v>46</v>
      </c>
      <c r="R24" s="198">
        <v>34</v>
      </c>
      <c r="S24" s="198">
        <v>31</v>
      </c>
      <c r="T24" s="195">
        <v>28853</v>
      </c>
      <c r="U24" s="229" t="e">
        <f>YEARFRAC(T24,#REF!)</f>
        <v>#REF!</v>
      </c>
      <c r="V24" s="198">
        <v>3</v>
      </c>
      <c r="W24" s="198">
        <v>0</v>
      </c>
      <c r="X24" s="198">
        <v>0</v>
      </c>
      <c r="Y24" s="198">
        <v>3</v>
      </c>
      <c r="Z24" s="198">
        <v>0</v>
      </c>
      <c r="AA24" s="198">
        <v>1</v>
      </c>
      <c r="AB24" s="198">
        <v>0</v>
      </c>
      <c r="AC24" s="198">
        <v>0</v>
      </c>
      <c r="AD24" s="198">
        <v>0</v>
      </c>
      <c r="AE24" s="198">
        <v>0</v>
      </c>
      <c r="AF24" s="198">
        <v>0</v>
      </c>
      <c r="AG24" s="198">
        <v>0</v>
      </c>
      <c r="AH24" s="198">
        <v>0</v>
      </c>
      <c r="AI24" s="198">
        <v>0</v>
      </c>
      <c r="AJ24" s="198">
        <v>0</v>
      </c>
      <c r="AK24" s="198">
        <v>0</v>
      </c>
      <c r="AL24" s="198">
        <v>0</v>
      </c>
      <c r="AM24" s="198">
        <v>0</v>
      </c>
      <c r="AN24" s="198">
        <v>0</v>
      </c>
      <c r="AO24" s="198">
        <v>0</v>
      </c>
      <c r="AP24" s="198">
        <v>0</v>
      </c>
      <c r="AQ24" s="198">
        <v>0</v>
      </c>
      <c r="AR24" s="198">
        <v>1</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1</v>
      </c>
      <c r="CA24" s="198" t="s">
        <v>1887</v>
      </c>
      <c r="CB24" s="198">
        <v>0</v>
      </c>
      <c r="CC24" s="198" t="s">
        <v>18</v>
      </c>
      <c r="CD24" s="198">
        <v>1</v>
      </c>
      <c r="CE24" s="198" t="s">
        <v>1920</v>
      </c>
      <c r="CF24" s="198" t="s">
        <v>1921</v>
      </c>
      <c r="CG24" s="198">
        <v>0</v>
      </c>
      <c r="CH24" s="198" t="s">
        <v>18</v>
      </c>
      <c r="CI24" s="185">
        <v>1</v>
      </c>
      <c r="CJ24" s="185" t="s">
        <v>1922</v>
      </c>
      <c r="CK24" s="230" t="s">
        <v>1923</v>
      </c>
      <c r="CL24" s="185">
        <v>1</v>
      </c>
      <c r="CM24" s="185" t="s">
        <v>1922</v>
      </c>
      <c r="CN24" s="230" t="s">
        <v>1923</v>
      </c>
      <c r="CO24" s="198">
        <v>0</v>
      </c>
      <c r="CP24" s="198" t="s">
        <v>18</v>
      </c>
      <c r="CQ24" s="198" t="s">
        <v>18</v>
      </c>
      <c r="CR24" s="198">
        <v>0</v>
      </c>
      <c r="CS24" s="198" t="s">
        <v>18</v>
      </c>
      <c r="CT24" s="198" t="s">
        <v>18</v>
      </c>
      <c r="CU24" s="198">
        <v>0</v>
      </c>
      <c r="CV24" s="198" t="s">
        <v>18</v>
      </c>
      <c r="CW24" s="198" t="s">
        <v>18</v>
      </c>
      <c r="CX24" s="198">
        <v>1</v>
      </c>
      <c r="CY24" s="198" t="s">
        <v>74</v>
      </c>
      <c r="CZ24" s="198">
        <v>2</v>
      </c>
      <c r="DA24" s="198"/>
    </row>
    <row r="25" spans="1:106" s="189" customFormat="1">
      <c r="A25" s="198" t="s">
        <v>126</v>
      </c>
      <c r="B25" s="198">
        <v>22264557</v>
      </c>
      <c r="C25" s="198" t="s">
        <v>127</v>
      </c>
      <c r="D25" s="195"/>
      <c r="E25" s="198"/>
      <c r="F25" s="198"/>
      <c r="G25" s="229"/>
      <c r="H25" s="198"/>
      <c r="I25" s="198"/>
      <c r="J25" s="198"/>
      <c r="K25" s="198"/>
      <c r="L25" s="198"/>
      <c r="M25" s="198"/>
      <c r="N25" s="198"/>
      <c r="O25" s="198"/>
      <c r="P25" s="198"/>
      <c r="Q25" s="198"/>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8"/>
      <c r="BK25" s="198"/>
      <c r="BL25" s="198"/>
      <c r="BM25" s="198"/>
      <c r="BN25" s="198"/>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198"/>
      <c r="CZ25" s="198"/>
      <c r="DA25" s="198"/>
    </row>
    <row r="26" spans="1:106" s="189" customFormat="1">
      <c r="A26" s="198" t="s">
        <v>131</v>
      </c>
      <c r="B26" s="198">
        <v>22104829</v>
      </c>
      <c r="C26" s="199" t="s">
        <v>1032</v>
      </c>
      <c r="D26" s="195">
        <v>44851</v>
      </c>
      <c r="E26" s="198">
        <v>88.3</v>
      </c>
      <c r="F26" s="198">
        <v>12.5</v>
      </c>
      <c r="G26" s="229">
        <f>F26/(E26/100)^2</f>
        <v>16.032033285066227</v>
      </c>
      <c r="H26" s="198"/>
      <c r="I26" s="186"/>
      <c r="J26" s="186"/>
      <c r="K26" s="186"/>
      <c r="L26" s="186"/>
      <c r="M26" s="186"/>
      <c r="N26" s="186"/>
      <c r="O26" s="186"/>
      <c r="P26" s="186"/>
      <c r="Q26" s="186"/>
      <c r="R26" s="186"/>
      <c r="S26" s="186"/>
      <c r="T26" s="188"/>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90"/>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234" t="s">
        <v>1993</v>
      </c>
      <c r="CF26" s="190" t="s">
        <v>1994</v>
      </c>
      <c r="CG26" s="186"/>
      <c r="CH26" s="186"/>
      <c r="CI26" s="186"/>
      <c r="CJ26" s="186"/>
      <c r="CK26" s="186"/>
      <c r="CL26" s="186">
        <v>1</v>
      </c>
      <c r="CM26" s="186" t="s">
        <v>1022</v>
      </c>
      <c r="CN26" s="190" t="s">
        <v>1036</v>
      </c>
      <c r="CO26" s="190" t="s">
        <v>992</v>
      </c>
      <c r="CP26" s="186" t="s">
        <v>946</v>
      </c>
      <c r="CQ26" s="190" t="s">
        <v>993</v>
      </c>
      <c r="CR26" s="186"/>
      <c r="CS26" s="186"/>
      <c r="CT26" s="186"/>
      <c r="CU26" s="186"/>
      <c r="CV26" s="190"/>
      <c r="CW26" s="190"/>
      <c r="CX26" s="186">
        <v>1</v>
      </c>
      <c r="CY26" s="186" t="s">
        <v>962</v>
      </c>
      <c r="CZ26" s="186">
        <v>2</v>
      </c>
      <c r="DA26" s="186"/>
      <c r="DB26" s="187"/>
    </row>
    <row r="27" spans="1:106" s="110" customFormat="1">
      <c r="A27" s="116" t="s">
        <v>136</v>
      </c>
      <c r="B27" s="116">
        <v>22105033</v>
      </c>
      <c r="C27" s="116" t="s">
        <v>137</v>
      </c>
      <c r="D27" s="117"/>
      <c r="E27" s="116"/>
      <c r="F27" s="116"/>
      <c r="G27" s="109"/>
      <c r="H27" s="116"/>
      <c r="I27" s="116"/>
      <c r="J27" s="116"/>
      <c r="K27" s="116"/>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row>
    <row r="28" spans="1:106" s="189" customFormat="1">
      <c r="A28" s="198" t="s">
        <v>141</v>
      </c>
      <c r="B28" s="198">
        <v>22104898</v>
      </c>
      <c r="C28" s="198" t="s">
        <v>142</v>
      </c>
      <c r="D28" s="195"/>
      <c r="E28" s="198"/>
      <c r="F28" s="198"/>
      <c r="G28" s="229"/>
      <c r="H28" s="198"/>
      <c r="I28" s="198"/>
      <c r="J28" s="198"/>
      <c r="K28" s="198"/>
      <c r="L28" s="198"/>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8"/>
      <c r="BD28" s="198"/>
      <c r="BE28" s="198"/>
      <c r="BF28" s="198"/>
      <c r="BG28" s="198"/>
      <c r="BH28" s="198"/>
      <c r="BI28" s="198"/>
      <c r="BJ28" s="198"/>
      <c r="BK28" s="198"/>
      <c r="BL28" s="198"/>
      <c r="BM28" s="198"/>
      <c r="BN28" s="198"/>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198"/>
      <c r="CZ28" s="198"/>
      <c r="DA28" s="198"/>
    </row>
    <row r="29" spans="1:106" s="189" customFormat="1">
      <c r="A29" s="198" t="s">
        <v>146</v>
      </c>
      <c r="B29" s="198">
        <v>22104899</v>
      </c>
      <c r="C29" s="198" t="s">
        <v>147</v>
      </c>
      <c r="D29" s="195"/>
      <c r="E29" s="198"/>
      <c r="F29" s="198"/>
      <c r="G29" s="235"/>
      <c r="H29" s="198"/>
      <c r="I29" s="198"/>
      <c r="J29" s="198"/>
      <c r="K29" s="198"/>
      <c r="L29" s="198"/>
      <c r="M29" s="198"/>
      <c r="N29" s="198"/>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8"/>
      <c r="BK29" s="198"/>
      <c r="BL29" s="198"/>
      <c r="BM29" s="198"/>
      <c r="BN29" s="198"/>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198"/>
      <c r="CZ29" s="198"/>
      <c r="DA29" s="198"/>
    </row>
    <row r="30" spans="1:106" s="193" customFormat="1">
      <c r="A30" s="196" t="s">
        <v>148</v>
      </c>
      <c r="B30" s="196">
        <v>22103889</v>
      </c>
      <c r="C30" s="196" t="s">
        <v>149</v>
      </c>
      <c r="D30" s="197"/>
      <c r="E30" s="196"/>
      <c r="F30" s="196"/>
      <c r="G30" s="233"/>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row>
    <row r="31" spans="1:106" s="193" customFormat="1">
      <c r="A31" s="196" t="s">
        <v>152</v>
      </c>
      <c r="B31" s="196">
        <v>22105253</v>
      </c>
      <c r="C31" s="196" t="s">
        <v>153</v>
      </c>
      <c r="D31" s="197"/>
      <c r="E31" s="196"/>
      <c r="F31" s="196"/>
      <c r="G31" s="233"/>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row>
    <row r="32" spans="1:106" s="189" customFormat="1">
      <c r="A32" s="198" t="s">
        <v>157</v>
      </c>
      <c r="B32" s="198">
        <v>22239382</v>
      </c>
      <c r="C32" s="198" t="s">
        <v>158</v>
      </c>
      <c r="D32" s="195"/>
      <c r="E32" s="198"/>
      <c r="F32" s="198"/>
      <c r="G32" s="235"/>
      <c r="H32" s="198"/>
      <c r="I32" s="198"/>
      <c r="J32" s="198"/>
      <c r="K32" s="198"/>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row>
    <row r="33" spans="1:106" s="193" customFormat="1">
      <c r="A33" s="196" t="s">
        <v>162</v>
      </c>
      <c r="B33" s="196">
        <v>22104618</v>
      </c>
      <c r="C33" s="196" t="s">
        <v>163</v>
      </c>
      <c r="D33" s="197"/>
      <c r="E33" s="196"/>
      <c r="F33" s="196"/>
      <c r="G33" s="233"/>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196"/>
      <c r="BT33" s="196"/>
      <c r="BU33" s="196"/>
      <c r="BV33" s="196"/>
      <c r="BW33" s="196"/>
      <c r="BX33" s="196"/>
      <c r="BY33" s="196"/>
      <c r="BZ33" s="196"/>
      <c r="CA33" s="196"/>
      <c r="CB33" s="196"/>
      <c r="CC33" s="196"/>
      <c r="CD33" s="196"/>
      <c r="CE33" s="196"/>
      <c r="CF33" s="196"/>
      <c r="CG33" s="196"/>
      <c r="CH33" s="196"/>
      <c r="CI33" s="196"/>
      <c r="CJ33" s="196"/>
      <c r="CK33" s="196"/>
      <c r="CL33" s="196"/>
      <c r="CM33" s="196"/>
      <c r="CN33" s="196"/>
      <c r="CO33" s="196"/>
      <c r="CP33" s="196"/>
      <c r="CQ33" s="196"/>
      <c r="CR33" s="196"/>
      <c r="CS33" s="196"/>
      <c r="CT33" s="196"/>
      <c r="CU33" s="196"/>
      <c r="CV33" s="196"/>
      <c r="CW33" s="196"/>
      <c r="CX33" s="196"/>
      <c r="CY33" s="196"/>
      <c r="CZ33" s="196"/>
      <c r="DA33" s="196"/>
    </row>
    <row r="34" spans="1:106" s="189" customFormat="1">
      <c r="A34" s="185" t="s">
        <v>167</v>
      </c>
      <c r="B34" s="185">
        <v>4997153</v>
      </c>
      <c r="C34" s="185" t="s">
        <v>168</v>
      </c>
      <c r="D34" s="195">
        <v>44271</v>
      </c>
      <c r="E34" s="185">
        <v>88</v>
      </c>
      <c r="F34" s="185">
        <v>12</v>
      </c>
      <c r="G34" s="229">
        <f>F34/(E34/100)^2</f>
        <v>15.495867768595042</v>
      </c>
      <c r="H34" s="185">
        <v>46.5</v>
      </c>
      <c r="I34" s="185">
        <v>40</v>
      </c>
      <c r="J34" s="185">
        <v>6</v>
      </c>
      <c r="K34" s="185">
        <v>0</v>
      </c>
      <c r="L34" s="185">
        <v>2</v>
      </c>
      <c r="M34" s="185">
        <v>0</v>
      </c>
      <c r="N34" s="185">
        <v>9</v>
      </c>
      <c r="O34" s="185">
        <v>10</v>
      </c>
      <c r="P34" s="185">
        <v>3560</v>
      </c>
      <c r="Q34" s="185">
        <v>52.5</v>
      </c>
      <c r="R34" s="185">
        <v>33</v>
      </c>
      <c r="S34" s="185">
        <v>32</v>
      </c>
      <c r="T34" s="228">
        <v>31008</v>
      </c>
      <c r="U34" s="185">
        <v>34.380000000000003</v>
      </c>
      <c r="V34" s="185">
        <v>1</v>
      </c>
      <c r="W34" s="185">
        <v>0</v>
      </c>
      <c r="X34" s="185">
        <v>1</v>
      </c>
      <c r="Y34" s="185">
        <v>1</v>
      </c>
      <c r="Z34" s="185">
        <v>0</v>
      </c>
      <c r="AA34" s="185">
        <v>0</v>
      </c>
      <c r="AB34" s="185">
        <v>1</v>
      </c>
      <c r="AC34" s="185">
        <v>0</v>
      </c>
      <c r="AD34" s="185">
        <v>0</v>
      </c>
      <c r="AE34" s="185">
        <v>0</v>
      </c>
      <c r="AF34" s="185">
        <v>0</v>
      </c>
      <c r="AG34" s="185">
        <v>0</v>
      </c>
      <c r="AH34" s="185">
        <v>0</v>
      </c>
      <c r="AI34" s="185">
        <v>0</v>
      </c>
      <c r="AJ34" s="185">
        <v>0</v>
      </c>
      <c r="AK34" s="185">
        <v>0</v>
      </c>
      <c r="AL34" s="185">
        <v>0</v>
      </c>
      <c r="AM34" s="185">
        <v>0</v>
      </c>
      <c r="AN34" s="185">
        <v>0</v>
      </c>
      <c r="AO34" s="185">
        <v>0</v>
      </c>
      <c r="AP34" s="185">
        <v>0</v>
      </c>
      <c r="AQ34" s="185">
        <v>0</v>
      </c>
      <c r="AR34" s="185">
        <v>2</v>
      </c>
      <c r="AS34" s="185">
        <v>0</v>
      </c>
      <c r="AT34" s="185">
        <v>0</v>
      </c>
      <c r="AU34" s="185">
        <v>0</v>
      </c>
      <c r="AV34" s="185">
        <v>0</v>
      </c>
      <c r="AW34" s="185">
        <v>0</v>
      </c>
      <c r="AX34" s="185">
        <v>0</v>
      </c>
      <c r="AY34" s="185">
        <v>0</v>
      </c>
      <c r="AZ34" s="185">
        <v>0</v>
      </c>
      <c r="BA34" s="185">
        <v>0</v>
      </c>
      <c r="BB34" s="185">
        <v>0</v>
      </c>
      <c r="BC34" s="185">
        <v>0</v>
      </c>
      <c r="BD34" s="185">
        <v>0</v>
      </c>
      <c r="BE34" s="185">
        <v>0</v>
      </c>
      <c r="BF34" s="185">
        <v>0</v>
      </c>
      <c r="BG34" s="185">
        <v>0</v>
      </c>
      <c r="BH34" s="185">
        <v>0</v>
      </c>
      <c r="BI34" s="185">
        <v>0</v>
      </c>
      <c r="BJ34" s="185">
        <v>0</v>
      </c>
      <c r="BK34" s="185">
        <v>0</v>
      </c>
      <c r="BL34" s="185">
        <v>0</v>
      </c>
      <c r="BM34" s="185">
        <v>0</v>
      </c>
      <c r="BN34" s="185">
        <v>0</v>
      </c>
      <c r="BO34" s="185">
        <v>0</v>
      </c>
      <c r="BP34" s="185">
        <v>0</v>
      </c>
      <c r="BQ34" s="185">
        <v>0</v>
      </c>
      <c r="BR34" s="185">
        <v>0</v>
      </c>
      <c r="BS34" s="185">
        <v>0</v>
      </c>
      <c r="BT34" s="185">
        <v>0</v>
      </c>
      <c r="BU34" s="185">
        <v>0</v>
      </c>
      <c r="BV34" s="185">
        <v>0</v>
      </c>
      <c r="BW34" s="185">
        <v>0</v>
      </c>
      <c r="BX34" s="185">
        <v>0</v>
      </c>
      <c r="BY34" s="185">
        <v>0</v>
      </c>
      <c r="BZ34" s="185">
        <v>0</v>
      </c>
      <c r="CA34" s="185" t="s">
        <v>1969</v>
      </c>
      <c r="CB34" s="185">
        <v>0</v>
      </c>
      <c r="CC34" s="185" t="s">
        <v>18</v>
      </c>
      <c r="CD34" s="185">
        <v>1</v>
      </c>
      <c r="CE34" s="185" t="s">
        <v>1970</v>
      </c>
      <c r="CF34" s="185" t="s">
        <v>1971</v>
      </c>
      <c r="CG34" s="185">
        <v>0</v>
      </c>
      <c r="CH34" s="185" t="s">
        <v>18</v>
      </c>
      <c r="CI34" s="185">
        <v>1</v>
      </c>
      <c r="CJ34" s="185" t="s">
        <v>1972</v>
      </c>
      <c r="CK34" s="185" t="s">
        <v>1973</v>
      </c>
      <c r="CL34" s="185">
        <v>0</v>
      </c>
      <c r="CM34" s="185" t="s">
        <v>18</v>
      </c>
      <c r="CN34" s="185" t="s">
        <v>18</v>
      </c>
      <c r="CO34" s="185">
        <v>0</v>
      </c>
      <c r="CP34" s="185" t="s">
        <v>18</v>
      </c>
      <c r="CQ34" s="185" t="s">
        <v>18</v>
      </c>
      <c r="CR34" s="185">
        <v>0</v>
      </c>
      <c r="CS34" s="185" t="s">
        <v>18</v>
      </c>
      <c r="CT34" s="185" t="s">
        <v>18</v>
      </c>
      <c r="CU34" s="185">
        <v>0</v>
      </c>
      <c r="CV34" s="185" t="s">
        <v>18</v>
      </c>
      <c r="CW34" s="185" t="s">
        <v>18</v>
      </c>
      <c r="CX34" s="185">
        <v>1</v>
      </c>
      <c r="CY34" s="185" t="s">
        <v>1974</v>
      </c>
      <c r="CZ34" s="185">
        <v>2</v>
      </c>
      <c r="DA34" s="185"/>
    </row>
    <row r="35" spans="1:106" s="189" customFormat="1">
      <c r="A35" s="185" t="s">
        <v>172</v>
      </c>
      <c r="B35" s="185">
        <v>21926144</v>
      </c>
      <c r="C35" s="185" t="s">
        <v>173</v>
      </c>
      <c r="D35" s="195">
        <v>44272</v>
      </c>
      <c r="E35" s="185">
        <v>90</v>
      </c>
      <c r="F35" s="185">
        <v>14.7</v>
      </c>
      <c r="G35" s="229">
        <f>F35/(E35/100)^2</f>
        <v>18.148148148148145</v>
      </c>
      <c r="H35" s="185"/>
      <c r="I35" s="185">
        <v>27</v>
      </c>
      <c r="J35" s="185">
        <v>1</v>
      </c>
      <c r="K35" s="185">
        <v>1</v>
      </c>
      <c r="L35" s="185">
        <v>2</v>
      </c>
      <c r="M35" s="185">
        <v>0</v>
      </c>
      <c r="N35" s="185">
        <v>7</v>
      </c>
      <c r="O35" s="185">
        <v>9</v>
      </c>
      <c r="P35" s="185">
        <v>530</v>
      </c>
      <c r="Q35" s="185">
        <v>21</v>
      </c>
      <c r="R35" s="185">
        <v>28.5</v>
      </c>
      <c r="S35" s="185">
        <v>18.5</v>
      </c>
      <c r="T35" s="228">
        <v>32492</v>
      </c>
      <c r="U35" s="185">
        <v>29.44</v>
      </c>
      <c r="V35" s="185">
        <v>0</v>
      </c>
      <c r="W35" s="185">
        <v>1</v>
      </c>
      <c r="X35" s="185">
        <v>2</v>
      </c>
      <c r="Y35" s="185">
        <v>1</v>
      </c>
      <c r="Z35" s="185">
        <v>0</v>
      </c>
      <c r="AA35" s="185">
        <v>0</v>
      </c>
      <c r="AB35" s="185">
        <v>0</v>
      </c>
      <c r="AC35" s="185">
        <v>1</v>
      </c>
      <c r="AD35" s="185">
        <v>0</v>
      </c>
      <c r="AE35" s="185">
        <v>0</v>
      </c>
      <c r="AF35" s="185">
        <v>0</v>
      </c>
      <c r="AG35" s="185">
        <v>0</v>
      </c>
      <c r="AH35" s="185">
        <v>1</v>
      </c>
      <c r="AI35" s="185">
        <v>1</v>
      </c>
      <c r="AJ35" s="185">
        <v>0</v>
      </c>
      <c r="AK35" s="185">
        <v>0</v>
      </c>
      <c r="AL35" s="185">
        <v>1</v>
      </c>
      <c r="AM35" s="185">
        <v>10</v>
      </c>
      <c r="AN35" s="185">
        <v>0</v>
      </c>
      <c r="AO35" s="185">
        <v>0</v>
      </c>
      <c r="AP35" s="185">
        <v>0</v>
      </c>
      <c r="AQ35" s="185">
        <v>0</v>
      </c>
      <c r="AR35" s="185">
        <v>1</v>
      </c>
      <c r="AS35" s="185">
        <v>1</v>
      </c>
      <c r="AT35" s="185">
        <v>1</v>
      </c>
      <c r="AU35" s="185">
        <v>0</v>
      </c>
      <c r="AV35" s="185">
        <v>0</v>
      </c>
      <c r="AW35" s="185">
        <v>0</v>
      </c>
      <c r="AX35" s="185">
        <v>0</v>
      </c>
      <c r="AY35" s="185">
        <v>0</v>
      </c>
      <c r="AZ35" s="185">
        <v>0</v>
      </c>
      <c r="BA35" s="185">
        <v>0</v>
      </c>
      <c r="BB35" s="185">
        <v>0</v>
      </c>
      <c r="BC35" s="185">
        <v>0</v>
      </c>
      <c r="BD35" s="185">
        <v>0</v>
      </c>
      <c r="BE35" s="185">
        <v>0</v>
      </c>
      <c r="BF35" s="185">
        <v>0</v>
      </c>
      <c r="BG35" s="185">
        <v>0</v>
      </c>
      <c r="BH35" s="185">
        <v>0</v>
      </c>
      <c r="BI35" s="185">
        <v>0</v>
      </c>
      <c r="BJ35" s="185">
        <v>0</v>
      </c>
      <c r="BK35" s="185">
        <v>0</v>
      </c>
      <c r="BL35" s="185">
        <v>0</v>
      </c>
      <c r="BM35" s="185">
        <v>0</v>
      </c>
      <c r="BN35" s="185">
        <v>0</v>
      </c>
      <c r="BO35" s="185">
        <v>0</v>
      </c>
      <c r="BP35" s="185">
        <v>0</v>
      </c>
      <c r="BQ35" s="185">
        <v>0</v>
      </c>
      <c r="BR35" s="185">
        <v>0</v>
      </c>
      <c r="BS35" s="185">
        <v>0</v>
      </c>
      <c r="BT35" s="185">
        <v>0</v>
      </c>
      <c r="BU35" s="185">
        <v>0</v>
      </c>
      <c r="BV35" s="185">
        <v>0</v>
      </c>
      <c r="BW35" s="185">
        <v>0</v>
      </c>
      <c r="BX35" s="185">
        <v>0</v>
      </c>
      <c r="BY35" s="185">
        <v>0</v>
      </c>
      <c r="BZ35" s="185">
        <v>1</v>
      </c>
      <c r="CA35" s="185" t="s">
        <v>1975</v>
      </c>
      <c r="CB35" s="185">
        <v>0</v>
      </c>
      <c r="CC35" s="185" t="s">
        <v>18</v>
      </c>
      <c r="CD35" s="185">
        <v>1</v>
      </c>
      <c r="CE35" s="185" t="s">
        <v>1887</v>
      </c>
      <c r="CF35" s="185" t="s">
        <v>1976</v>
      </c>
      <c r="CG35" s="185">
        <v>1</v>
      </c>
      <c r="CH35" s="185" t="s">
        <v>1977</v>
      </c>
      <c r="CI35" s="185">
        <v>0</v>
      </c>
      <c r="CJ35" s="185" t="s">
        <v>18</v>
      </c>
      <c r="CK35" s="185" t="s">
        <v>18</v>
      </c>
      <c r="CL35" s="185">
        <v>1</v>
      </c>
      <c r="CM35" s="185" t="s">
        <v>1978</v>
      </c>
      <c r="CN35" s="185" t="s">
        <v>1979</v>
      </c>
      <c r="CO35" s="185">
        <v>0</v>
      </c>
      <c r="CP35" s="185" t="s">
        <v>18</v>
      </c>
      <c r="CQ35" s="185" t="s">
        <v>18</v>
      </c>
      <c r="CR35" s="185">
        <v>0</v>
      </c>
      <c r="CS35" s="185" t="s">
        <v>18</v>
      </c>
      <c r="CT35" s="185" t="s">
        <v>18</v>
      </c>
      <c r="CU35" s="185">
        <v>0</v>
      </c>
      <c r="CV35" s="185" t="s">
        <v>18</v>
      </c>
      <c r="CW35" s="185" t="s">
        <v>18</v>
      </c>
      <c r="CX35" s="185">
        <v>1</v>
      </c>
      <c r="CY35" s="185" t="s">
        <v>1913</v>
      </c>
      <c r="CZ35" s="185">
        <v>2</v>
      </c>
      <c r="DA35" s="185"/>
    </row>
    <row r="36" spans="1:106" s="189" customFormat="1">
      <c r="A36" s="185" t="s">
        <v>177</v>
      </c>
      <c r="B36" s="185">
        <v>21923161</v>
      </c>
      <c r="C36" s="185" t="s">
        <v>178</v>
      </c>
      <c r="D36" s="228">
        <v>44307</v>
      </c>
      <c r="E36" s="185">
        <v>75</v>
      </c>
      <c r="F36" s="185">
        <v>7.9</v>
      </c>
      <c r="G36" s="229">
        <f>F36/(E36/100)^2</f>
        <v>14.044444444444444</v>
      </c>
      <c r="H36" s="185">
        <v>44.5</v>
      </c>
      <c r="I36" s="185">
        <v>29</v>
      </c>
      <c r="J36" s="185">
        <v>3</v>
      </c>
      <c r="K36" s="185">
        <v>1</v>
      </c>
      <c r="L36" s="185">
        <v>2</v>
      </c>
      <c r="M36" s="185">
        <v>0</v>
      </c>
      <c r="N36" s="185">
        <v>4</v>
      </c>
      <c r="O36" s="185">
        <v>6</v>
      </c>
      <c r="P36" s="185">
        <v>1070</v>
      </c>
      <c r="Q36" s="185">
        <v>32</v>
      </c>
      <c r="R36" s="185">
        <v>27</v>
      </c>
      <c r="S36" s="185">
        <v>22</v>
      </c>
      <c r="T36" s="228">
        <v>31991</v>
      </c>
      <c r="U36" s="185">
        <v>31.36</v>
      </c>
      <c r="V36" s="185">
        <v>0</v>
      </c>
      <c r="W36" s="185">
        <v>1</v>
      </c>
      <c r="X36" s="185">
        <v>0</v>
      </c>
      <c r="Y36" s="185">
        <v>1</v>
      </c>
      <c r="Z36" s="185">
        <v>0</v>
      </c>
      <c r="AA36" s="185">
        <v>1</v>
      </c>
      <c r="AB36" s="185">
        <v>0</v>
      </c>
      <c r="AC36" s="185">
        <v>0</v>
      </c>
      <c r="AD36" s="185">
        <v>0</v>
      </c>
      <c r="AE36" s="185">
        <v>0</v>
      </c>
      <c r="AF36" s="185">
        <v>0</v>
      </c>
      <c r="AG36" s="185">
        <v>0</v>
      </c>
      <c r="AH36" s="185">
        <v>0</v>
      </c>
      <c r="AI36" s="185">
        <v>0</v>
      </c>
      <c r="AJ36" s="185">
        <v>0</v>
      </c>
      <c r="AK36" s="185">
        <v>0</v>
      </c>
      <c r="AL36" s="185">
        <v>0</v>
      </c>
      <c r="AM36" s="185">
        <v>0</v>
      </c>
      <c r="AN36" s="185">
        <v>0</v>
      </c>
      <c r="AO36" s="185">
        <v>0</v>
      </c>
      <c r="AP36" s="185">
        <v>0</v>
      </c>
      <c r="AQ36" s="185">
        <v>0</v>
      </c>
      <c r="AR36" s="185">
        <v>1</v>
      </c>
      <c r="AS36" s="185">
        <v>0</v>
      </c>
      <c r="AT36" s="185">
        <v>0</v>
      </c>
      <c r="AU36" s="185">
        <v>0</v>
      </c>
      <c r="AV36" s="185">
        <v>0</v>
      </c>
      <c r="AW36" s="185">
        <v>0</v>
      </c>
      <c r="AX36" s="185">
        <v>0</v>
      </c>
      <c r="AY36" s="185">
        <v>0</v>
      </c>
      <c r="AZ36" s="185">
        <v>0</v>
      </c>
      <c r="BA36" s="185">
        <v>0</v>
      </c>
      <c r="BB36" s="185">
        <v>0</v>
      </c>
      <c r="BC36" s="185">
        <v>0</v>
      </c>
      <c r="BD36" s="185">
        <v>0</v>
      </c>
      <c r="BE36" s="185">
        <v>0</v>
      </c>
      <c r="BF36" s="185">
        <v>0</v>
      </c>
      <c r="BG36" s="185">
        <v>0</v>
      </c>
      <c r="BH36" s="185">
        <v>0</v>
      </c>
      <c r="BI36" s="185">
        <v>0</v>
      </c>
      <c r="BJ36" s="185">
        <v>0</v>
      </c>
      <c r="BK36" s="185">
        <v>1</v>
      </c>
      <c r="BL36" s="185">
        <v>0</v>
      </c>
      <c r="BM36" s="185">
        <v>0</v>
      </c>
      <c r="BN36" s="185">
        <v>0</v>
      </c>
      <c r="BO36" s="185">
        <v>0</v>
      </c>
      <c r="BP36" s="185">
        <v>0</v>
      </c>
      <c r="BQ36" s="185">
        <v>0</v>
      </c>
      <c r="BR36" s="185">
        <v>0</v>
      </c>
      <c r="BS36" s="185">
        <v>0</v>
      </c>
      <c r="BT36" s="185">
        <v>0</v>
      </c>
      <c r="BU36" s="185">
        <v>0</v>
      </c>
      <c r="BV36" s="185" t="s">
        <v>1980</v>
      </c>
      <c r="BW36" s="185">
        <v>0</v>
      </c>
      <c r="BX36" s="185">
        <v>0</v>
      </c>
      <c r="BY36" s="185">
        <v>0</v>
      </c>
      <c r="BZ36" s="185">
        <v>0</v>
      </c>
      <c r="CA36" s="185" t="s">
        <v>18</v>
      </c>
      <c r="CB36" s="185" t="s">
        <v>18</v>
      </c>
      <c r="CC36" s="185" t="s">
        <v>18</v>
      </c>
      <c r="CD36" s="185">
        <v>1</v>
      </c>
      <c r="CE36" s="185" t="s">
        <v>1887</v>
      </c>
      <c r="CF36" s="185" t="s">
        <v>1899</v>
      </c>
      <c r="CG36" s="185">
        <v>0</v>
      </c>
      <c r="CH36" s="185" t="s">
        <v>18</v>
      </c>
      <c r="CI36" s="185">
        <v>1</v>
      </c>
      <c r="CJ36" s="185" t="s">
        <v>1887</v>
      </c>
      <c r="CK36" s="185" t="s">
        <v>1981</v>
      </c>
      <c r="CL36" s="185">
        <v>0</v>
      </c>
      <c r="CM36" s="185" t="s">
        <v>18</v>
      </c>
      <c r="CN36" s="185" t="s">
        <v>18</v>
      </c>
      <c r="CO36" s="185" t="s">
        <v>1982</v>
      </c>
      <c r="CP36" s="185" t="s">
        <v>1983</v>
      </c>
      <c r="CQ36" s="185" t="s">
        <v>1984</v>
      </c>
      <c r="CR36" s="185" t="s">
        <v>1985</v>
      </c>
      <c r="CS36" s="185" t="s">
        <v>1983</v>
      </c>
      <c r="CT36" s="185" t="s">
        <v>1984</v>
      </c>
      <c r="CU36" s="185">
        <v>0</v>
      </c>
      <c r="CV36" s="185" t="s">
        <v>18</v>
      </c>
      <c r="CW36" s="185" t="s">
        <v>18</v>
      </c>
      <c r="CX36" s="185">
        <v>1</v>
      </c>
      <c r="CY36" s="185" t="s">
        <v>1986</v>
      </c>
      <c r="CZ36" s="185">
        <v>2</v>
      </c>
      <c r="DA36" s="185"/>
    </row>
    <row r="37" spans="1:106" s="193" customFormat="1">
      <c r="A37" s="194" t="s">
        <v>182</v>
      </c>
      <c r="B37" s="194">
        <v>22104076</v>
      </c>
      <c r="C37" s="194" t="s">
        <v>183</v>
      </c>
      <c r="D37" s="197"/>
      <c r="E37" s="194"/>
      <c r="F37" s="194"/>
      <c r="G37" s="232"/>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4"/>
      <c r="BB37" s="194"/>
      <c r="BC37" s="194"/>
      <c r="BD37" s="194"/>
      <c r="BE37" s="194"/>
      <c r="BF37" s="194"/>
      <c r="BG37" s="194"/>
      <c r="BH37" s="194"/>
      <c r="BI37" s="194"/>
      <c r="BJ37" s="194"/>
      <c r="BK37" s="194"/>
      <c r="BL37" s="194"/>
      <c r="BM37" s="194"/>
      <c r="BN37" s="194"/>
      <c r="BO37" s="194"/>
      <c r="BP37" s="194"/>
      <c r="BQ37" s="194"/>
      <c r="BR37" s="194"/>
      <c r="BS37" s="194"/>
      <c r="BT37" s="194"/>
      <c r="BU37" s="194"/>
      <c r="BV37" s="194"/>
      <c r="BW37" s="194"/>
      <c r="BX37" s="194"/>
      <c r="BY37" s="194"/>
      <c r="BZ37" s="194"/>
      <c r="CA37" s="194"/>
      <c r="CB37" s="194"/>
      <c r="CC37" s="194"/>
      <c r="CD37" s="194"/>
      <c r="CE37" s="194"/>
      <c r="CF37" s="194"/>
      <c r="CG37" s="194"/>
      <c r="CH37" s="194"/>
      <c r="CI37" s="194"/>
      <c r="CJ37" s="194"/>
      <c r="CK37" s="194"/>
      <c r="CL37" s="194"/>
      <c r="CM37" s="194"/>
      <c r="CN37" s="194"/>
      <c r="CO37" s="194"/>
      <c r="CP37" s="194"/>
      <c r="CQ37" s="194"/>
      <c r="CR37" s="194"/>
      <c r="CS37" s="194"/>
      <c r="CT37" s="194"/>
      <c r="CU37" s="194"/>
      <c r="CV37" s="194"/>
      <c r="CW37" s="194"/>
      <c r="CX37" s="194"/>
      <c r="CY37" s="194"/>
      <c r="CZ37" s="194"/>
      <c r="DA37" s="194"/>
    </row>
    <row r="38" spans="1:106" s="189" customFormat="1">
      <c r="A38" s="185" t="s">
        <v>187</v>
      </c>
      <c r="B38" s="185">
        <v>21929566</v>
      </c>
      <c r="C38" s="185" t="s">
        <v>188</v>
      </c>
      <c r="D38" s="228">
        <v>44420</v>
      </c>
      <c r="E38" s="185">
        <v>83.5</v>
      </c>
      <c r="F38" s="185">
        <v>10.4</v>
      </c>
      <c r="G38" s="229">
        <f>F38/(E38/100)^2</f>
        <v>14.916275233963212</v>
      </c>
      <c r="H38" s="185">
        <v>45.4</v>
      </c>
      <c r="I38" s="185">
        <v>24</v>
      </c>
      <c r="J38" s="185">
        <v>3</v>
      </c>
      <c r="K38" s="185">
        <v>1</v>
      </c>
      <c r="L38" s="185">
        <v>2</v>
      </c>
      <c r="M38" s="185">
        <v>0</v>
      </c>
      <c r="N38" s="185">
        <v>3</v>
      </c>
      <c r="O38" s="185">
        <v>5</v>
      </c>
      <c r="P38" s="185">
        <v>710</v>
      </c>
      <c r="Q38" s="185">
        <v>23.5</v>
      </c>
      <c r="R38" s="185">
        <v>23.7</v>
      </c>
      <c r="S38" s="185">
        <v>21</v>
      </c>
      <c r="T38" s="228">
        <v>32651</v>
      </c>
      <c r="U38" s="185">
        <v>29.89</v>
      </c>
      <c r="V38" s="185">
        <v>0</v>
      </c>
      <c r="W38" s="185">
        <v>1</v>
      </c>
      <c r="X38" s="185">
        <v>1</v>
      </c>
      <c r="Y38" s="185">
        <v>1</v>
      </c>
      <c r="Z38" s="185">
        <v>0</v>
      </c>
      <c r="AA38" s="185">
        <v>0</v>
      </c>
      <c r="AB38" s="185">
        <v>0</v>
      </c>
      <c r="AC38" s="185">
        <v>1</v>
      </c>
      <c r="AD38" s="185">
        <v>0</v>
      </c>
      <c r="AE38" s="185">
        <v>0</v>
      </c>
      <c r="AF38" s="185">
        <v>0</v>
      </c>
      <c r="AG38" s="185">
        <v>0</v>
      </c>
      <c r="AH38" s="185">
        <v>0</v>
      </c>
      <c r="AI38" s="185">
        <v>1</v>
      </c>
      <c r="AJ38" s="185">
        <v>0</v>
      </c>
      <c r="AK38" s="185">
        <v>0</v>
      </c>
      <c r="AL38" s="185">
        <v>1</v>
      </c>
      <c r="AM38" s="185">
        <v>5</v>
      </c>
      <c r="AN38" s="185">
        <v>0</v>
      </c>
      <c r="AO38" s="185">
        <v>0</v>
      </c>
      <c r="AP38" s="185">
        <v>0</v>
      </c>
      <c r="AQ38" s="185">
        <v>0</v>
      </c>
      <c r="AR38" s="185">
        <v>1</v>
      </c>
      <c r="AS38" s="185">
        <v>0</v>
      </c>
      <c r="AT38" s="185">
        <v>0</v>
      </c>
      <c r="AU38" s="185">
        <v>0</v>
      </c>
      <c r="AV38" s="185">
        <v>0</v>
      </c>
      <c r="AW38" s="185">
        <v>0</v>
      </c>
      <c r="AX38" s="185">
        <v>0</v>
      </c>
      <c r="AY38" s="185">
        <v>0</v>
      </c>
      <c r="AZ38" s="185">
        <v>0</v>
      </c>
      <c r="BA38" s="185">
        <v>0</v>
      </c>
      <c r="BB38" s="185">
        <v>0</v>
      </c>
      <c r="BC38" s="185">
        <v>0</v>
      </c>
      <c r="BD38" s="185">
        <v>0</v>
      </c>
      <c r="BE38" s="185">
        <v>0</v>
      </c>
      <c r="BF38" s="185">
        <v>0</v>
      </c>
      <c r="BG38" s="185">
        <v>0</v>
      </c>
      <c r="BH38" s="185">
        <v>0</v>
      </c>
      <c r="BI38" s="185">
        <v>0</v>
      </c>
      <c r="BJ38" s="185">
        <v>0</v>
      </c>
      <c r="BK38" s="185">
        <v>1</v>
      </c>
      <c r="BL38" s="185">
        <v>1</v>
      </c>
      <c r="BM38" s="185">
        <v>1</v>
      </c>
      <c r="BN38" s="185">
        <v>0</v>
      </c>
      <c r="BO38" s="185">
        <v>1</v>
      </c>
      <c r="BP38" s="185">
        <v>1</v>
      </c>
      <c r="BQ38" s="185">
        <v>0</v>
      </c>
      <c r="BR38" s="185">
        <v>0</v>
      </c>
      <c r="BS38" s="185">
        <v>0</v>
      </c>
      <c r="BT38" s="185">
        <v>1</v>
      </c>
      <c r="BU38" s="185">
        <v>0</v>
      </c>
      <c r="BV38" s="185">
        <v>0</v>
      </c>
      <c r="BW38" s="185">
        <v>0</v>
      </c>
      <c r="BX38" s="185">
        <v>0</v>
      </c>
      <c r="BY38" s="185">
        <v>0</v>
      </c>
      <c r="BZ38" s="185">
        <v>0</v>
      </c>
      <c r="CA38" s="185" t="s">
        <v>18</v>
      </c>
      <c r="CB38" s="185" t="s">
        <v>18</v>
      </c>
      <c r="CC38" s="185" t="s">
        <v>18</v>
      </c>
      <c r="CD38" s="185">
        <v>1</v>
      </c>
      <c r="CE38" s="185" t="s">
        <v>1917</v>
      </c>
      <c r="CF38" s="185" t="s">
        <v>1968</v>
      </c>
      <c r="CG38" s="185">
        <v>1</v>
      </c>
      <c r="CH38" s="185" t="s">
        <v>1900</v>
      </c>
      <c r="CI38" s="185">
        <v>0</v>
      </c>
      <c r="CJ38" s="185" t="s">
        <v>18</v>
      </c>
      <c r="CK38" s="185" t="s">
        <v>18</v>
      </c>
      <c r="CL38" s="185">
        <v>0</v>
      </c>
      <c r="CM38" s="185" t="s">
        <v>18</v>
      </c>
      <c r="CN38" s="185" t="s">
        <v>18</v>
      </c>
      <c r="CO38" s="185">
        <v>0</v>
      </c>
      <c r="CP38" s="185" t="s">
        <v>18</v>
      </c>
      <c r="CQ38" s="185" t="s">
        <v>18</v>
      </c>
      <c r="CR38" s="185">
        <v>0</v>
      </c>
      <c r="CS38" s="185" t="s">
        <v>18</v>
      </c>
      <c r="CT38" s="185" t="s">
        <v>18</v>
      </c>
      <c r="CU38" s="185">
        <v>0</v>
      </c>
      <c r="CV38" s="185" t="s">
        <v>18</v>
      </c>
      <c r="CW38" s="185" t="s">
        <v>18</v>
      </c>
      <c r="CX38" s="185">
        <v>1</v>
      </c>
      <c r="CY38" s="185" t="s">
        <v>1919</v>
      </c>
      <c r="CZ38" s="185">
        <v>2</v>
      </c>
      <c r="DA38" s="185"/>
    </row>
    <row r="39" spans="1:106" s="193" customFormat="1">
      <c r="A39" s="194" t="s">
        <v>192</v>
      </c>
      <c r="B39" s="194">
        <v>22103802</v>
      </c>
      <c r="C39" s="194" t="s">
        <v>193</v>
      </c>
      <c r="D39" s="197"/>
      <c r="E39" s="194"/>
      <c r="F39" s="194"/>
      <c r="G39" s="232"/>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194"/>
      <c r="BB39" s="194"/>
      <c r="BC39" s="194"/>
      <c r="BD39" s="194"/>
      <c r="BE39" s="194"/>
      <c r="BF39" s="194"/>
      <c r="BG39" s="194"/>
      <c r="BH39" s="194"/>
      <c r="BI39" s="194"/>
      <c r="BJ39" s="194"/>
      <c r="BK39" s="194"/>
      <c r="BL39" s="194"/>
      <c r="BM39" s="194"/>
      <c r="BN39" s="194"/>
      <c r="BO39" s="194"/>
      <c r="BP39" s="194"/>
      <c r="BQ39" s="194"/>
      <c r="BR39" s="194"/>
      <c r="BS39" s="194"/>
      <c r="BT39" s="194"/>
      <c r="BU39" s="194"/>
      <c r="BV39" s="194"/>
      <c r="BW39" s="194"/>
      <c r="BX39" s="194"/>
      <c r="BY39" s="194"/>
      <c r="BZ39" s="194"/>
      <c r="CA39" s="194"/>
      <c r="CB39" s="194"/>
      <c r="CC39" s="194"/>
      <c r="CD39" s="194"/>
      <c r="CE39" s="194"/>
      <c r="CF39" s="194"/>
      <c r="CG39" s="194"/>
      <c r="CH39" s="194"/>
      <c r="CI39" s="194"/>
      <c r="CJ39" s="194"/>
      <c r="CK39" s="194"/>
      <c r="CL39" s="194"/>
      <c r="CM39" s="194"/>
      <c r="CN39" s="194"/>
      <c r="CO39" s="194"/>
      <c r="CP39" s="194"/>
      <c r="CQ39" s="194"/>
      <c r="CR39" s="194"/>
      <c r="CS39" s="194"/>
      <c r="CT39" s="194"/>
      <c r="CU39" s="194"/>
      <c r="CV39" s="194"/>
      <c r="CW39" s="194"/>
      <c r="CX39" s="194"/>
      <c r="CY39" s="194"/>
      <c r="CZ39" s="194"/>
      <c r="DA39" s="194"/>
    </row>
    <row r="40" spans="1:106" s="193" customFormat="1">
      <c r="A40" s="194" t="s">
        <v>196</v>
      </c>
      <c r="B40" s="194">
        <v>22106464</v>
      </c>
      <c r="C40" s="194" t="s">
        <v>197</v>
      </c>
      <c r="D40" s="200"/>
      <c r="E40" s="194"/>
      <c r="F40" s="194"/>
      <c r="G40" s="232"/>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4"/>
      <c r="AI40" s="194"/>
      <c r="AJ40" s="194"/>
      <c r="AK40" s="194"/>
      <c r="AL40" s="194"/>
      <c r="AM40" s="194"/>
      <c r="AN40" s="194"/>
      <c r="AO40" s="194"/>
      <c r="AP40" s="194"/>
      <c r="AQ40" s="194"/>
      <c r="AR40" s="194"/>
      <c r="AS40" s="194"/>
      <c r="AT40" s="194"/>
      <c r="AU40" s="194"/>
      <c r="AV40" s="194"/>
      <c r="AW40" s="194"/>
      <c r="AX40" s="194"/>
      <c r="AY40" s="194"/>
      <c r="AZ40" s="194"/>
      <c r="BA40" s="194"/>
      <c r="BB40" s="194"/>
      <c r="BC40" s="194"/>
      <c r="BD40" s="194"/>
      <c r="BE40" s="194"/>
      <c r="BF40" s="194"/>
      <c r="BG40" s="194"/>
      <c r="BH40" s="194"/>
      <c r="BI40" s="194"/>
      <c r="BJ40" s="194"/>
      <c r="BK40" s="194"/>
      <c r="BL40" s="194"/>
      <c r="BM40" s="194"/>
      <c r="BN40" s="194"/>
      <c r="BO40" s="194"/>
      <c r="BP40" s="194"/>
      <c r="BQ40" s="194"/>
      <c r="BR40" s="194"/>
      <c r="BS40" s="194"/>
      <c r="BT40" s="194"/>
      <c r="BU40" s="194"/>
      <c r="BV40" s="194"/>
      <c r="BW40" s="194"/>
      <c r="BX40" s="194"/>
      <c r="BY40" s="194"/>
      <c r="BZ40" s="194"/>
      <c r="CA40" s="194"/>
      <c r="CB40" s="194"/>
      <c r="CC40" s="194"/>
      <c r="CD40" s="194"/>
      <c r="CE40" s="194"/>
      <c r="CF40" s="194"/>
      <c r="CG40" s="194"/>
      <c r="CH40" s="194"/>
      <c r="CI40" s="194"/>
      <c r="CJ40" s="194"/>
      <c r="CK40" s="194"/>
      <c r="CL40" s="194"/>
      <c r="CM40" s="194"/>
      <c r="CN40" s="194"/>
      <c r="CO40" s="194"/>
      <c r="CP40" s="194"/>
      <c r="CQ40" s="194"/>
      <c r="CR40" s="194"/>
      <c r="CS40" s="194"/>
      <c r="CT40" s="194"/>
      <c r="CU40" s="194"/>
      <c r="CV40" s="194"/>
      <c r="CW40" s="194"/>
      <c r="CX40" s="194"/>
      <c r="CY40" s="194"/>
      <c r="CZ40" s="194"/>
      <c r="DA40" s="194"/>
    </row>
    <row r="41" spans="1:106" s="110" customFormat="1">
      <c r="A41" s="107" t="s">
        <v>200</v>
      </c>
      <c r="B41" s="153">
        <v>22102954</v>
      </c>
      <c r="C41" s="157" t="s">
        <v>1079</v>
      </c>
      <c r="D41" s="155">
        <v>44694</v>
      </c>
      <c r="E41" s="153">
        <v>91.5</v>
      </c>
      <c r="F41" s="153">
        <v>11.6</v>
      </c>
      <c r="G41" s="156">
        <v>13.86</v>
      </c>
      <c r="H41" s="153">
        <v>45.1</v>
      </c>
      <c r="I41" s="153">
        <v>26</v>
      </c>
      <c r="J41" s="153">
        <v>6</v>
      </c>
      <c r="K41" s="153">
        <v>1</v>
      </c>
      <c r="L41" s="153">
        <v>2</v>
      </c>
      <c r="M41" s="153">
        <v>0</v>
      </c>
      <c r="N41" s="153">
        <v>4</v>
      </c>
      <c r="O41" s="153">
        <v>4</v>
      </c>
      <c r="P41" s="153">
        <v>909</v>
      </c>
      <c r="Q41" s="153">
        <v>33</v>
      </c>
      <c r="R41" s="153">
        <v>24</v>
      </c>
      <c r="S41" s="153">
        <v>21.5</v>
      </c>
      <c r="T41" s="155">
        <v>31434</v>
      </c>
      <c r="U41" s="153">
        <v>34.020000000000003</v>
      </c>
      <c r="V41" s="153">
        <v>0</v>
      </c>
      <c r="W41" s="153">
        <v>0</v>
      </c>
      <c r="X41" s="153">
        <v>0</v>
      </c>
      <c r="Y41" s="153">
        <v>1</v>
      </c>
      <c r="Z41" s="153">
        <v>0</v>
      </c>
      <c r="AA41" s="153">
        <v>0</v>
      </c>
      <c r="AB41" s="153">
        <v>0</v>
      </c>
      <c r="AC41" s="153">
        <v>0</v>
      </c>
      <c r="AD41" s="153">
        <v>0</v>
      </c>
      <c r="AE41" s="153">
        <v>1</v>
      </c>
      <c r="AF41" s="153">
        <v>0</v>
      </c>
      <c r="AG41" s="153" t="s">
        <v>1080</v>
      </c>
      <c r="AH41" s="153">
        <v>0</v>
      </c>
      <c r="AI41" s="153">
        <v>0</v>
      </c>
      <c r="AJ41" s="153">
        <v>0</v>
      </c>
      <c r="AK41" s="153">
        <v>0</v>
      </c>
      <c r="AL41" s="153">
        <v>0</v>
      </c>
      <c r="AM41" s="153">
        <v>0</v>
      </c>
      <c r="AN41" s="153">
        <v>0</v>
      </c>
      <c r="AO41" s="153">
        <v>0</v>
      </c>
      <c r="AP41" s="153">
        <v>0</v>
      </c>
      <c r="AQ41" s="153">
        <v>0</v>
      </c>
      <c r="AR41" s="153" t="s">
        <v>954</v>
      </c>
      <c r="AS41" s="153">
        <v>1</v>
      </c>
      <c r="AT41" s="153">
        <v>0</v>
      </c>
      <c r="AU41" s="153">
        <v>0</v>
      </c>
      <c r="AV41" s="153">
        <v>0</v>
      </c>
      <c r="AW41" s="153">
        <v>0</v>
      </c>
      <c r="AX41" s="157" t="s">
        <v>1081</v>
      </c>
      <c r="AY41" s="153">
        <v>0</v>
      </c>
      <c r="AZ41" s="153">
        <v>0</v>
      </c>
      <c r="BA41" s="153">
        <v>0</v>
      </c>
      <c r="BB41" s="153">
        <v>0</v>
      </c>
      <c r="BC41" s="153">
        <v>0</v>
      </c>
      <c r="BD41" s="153">
        <v>0</v>
      </c>
      <c r="BE41" s="153">
        <v>0</v>
      </c>
      <c r="BF41" s="153">
        <v>0</v>
      </c>
      <c r="BG41" s="153">
        <v>0</v>
      </c>
      <c r="BH41" s="153">
        <v>1</v>
      </c>
      <c r="BI41" s="153">
        <v>0</v>
      </c>
      <c r="BJ41" s="153">
        <v>0</v>
      </c>
      <c r="BK41" s="153">
        <v>1</v>
      </c>
      <c r="BL41" s="153">
        <v>0</v>
      </c>
      <c r="BM41" s="153">
        <v>1</v>
      </c>
      <c r="BN41" s="153">
        <v>0</v>
      </c>
      <c r="BO41" s="153">
        <v>0</v>
      </c>
      <c r="BP41" s="153">
        <v>0</v>
      </c>
      <c r="BQ41" s="153">
        <v>0</v>
      </c>
      <c r="BR41" s="153">
        <v>0</v>
      </c>
      <c r="BS41" s="153">
        <v>0</v>
      </c>
      <c r="BT41" s="153">
        <v>0</v>
      </c>
      <c r="BU41" s="153">
        <v>0</v>
      </c>
      <c r="BV41" s="153">
        <v>0</v>
      </c>
      <c r="BW41" s="153">
        <v>0</v>
      </c>
      <c r="BX41" s="153">
        <v>0</v>
      </c>
      <c r="BY41" s="153">
        <v>0</v>
      </c>
      <c r="BZ41" s="153">
        <v>1</v>
      </c>
      <c r="CA41" s="157" t="s">
        <v>1082</v>
      </c>
      <c r="CB41" s="153">
        <v>0</v>
      </c>
      <c r="CC41" s="153" t="s">
        <v>947</v>
      </c>
      <c r="CD41" s="153">
        <v>1</v>
      </c>
      <c r="CE41" s="153" t="s">
        <v>946</v>
      </c>
      <c r="CF41" s="157" t="s">
        <v>1083</v>
      </c>
      <c r="CG41" s="153">
        <v>1</v>
      </c>
      <c r="CH41" s="153" t="s">
        <v>1084</v>
      </c>
      <c r="CI41" s="153">
        <v>0</v>
      </c>
      <c r="CJ41" s="153" t="s">
        <v>947</v>
      </c>
      <c r="CK41" s="153" t="s">
        <v>947</v>
      </c>
      <c r="CL41" s="153">
        <v>1</v>
      </c>
      <c r="CM41" s="157" t="s">
        <v>1004</v>
      </c>
      <c r="CN41" s="157" t="s">
        <v>1085</v>
      </c>
      <c r="CO41" s="157" t="s">
        <v>1086</v>
      </c>
      <c r="CP41" s="153" t="s">
        <v>946</v>
      </c>
      <c r="CQ41" s="157" t="s">
        <v>993</v>
      </c>
      <c r="CR41" s="157" t="s">
        <v>1087</v>
      </c>
      <c r="CS41" s="157" t="s">
        <v>1088</v>
      </c>
      <c r="CT41" s="157" t="s">
        <v>1089</v>
      </c>
      <c r="CU41" s="153">
        <v>1</v>
      </c>
      <c r="CV41" s="157" t="s">
        <v>1090</v>
      </c>
      <c r="CW41" s="157" t="s">
        <v>1091</v>
      </c>
      <c r="CX41" s="153">
        <v>1</v>
      </c>
      <c r="CY41" s="157" t="s">
        <v>1092</v>
      </c>
      <c r="CZ41" s="153">
        <v>2</v>
      </c>
      <c r="DA41" s="153"/>
      <c r="DB41" s="158"/>
    </row>
    <row r="42" spans="1:106" s="193" customFormat="1">
      <c r="A42" s="194" t="s">
        <v>204</v>
      </c>
      <c r="B42" s="194">
        <v>22104292</v>
      </c>
      <c r="C42" s="194" t="s">
        <v>205</v>
      </c>
      <c r="D42" s="197"/>
      <c r="E42" s="194"/>
      <c r="F42" s="194"/>
      <c r="G42" s="232"/>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4"/>
      <c r="BB42" s="194"/>
      <c r="BC42" s="194"/>
      <c r="BD42" s="194"/>
      <c r="BE42" s="194"/>
      <c r="BF42" s="194"/>
      <c r="BG42" s="194"/>
      <c r="BH42" s="194"/>
      <c r="BI42" s="194"/>
      <c r="BJ42" s="194"/>
      <c r="BK42" s="194"/>
      <c r="BL42" s="194"/>
      <c r="BM42" s="194"/>
      <c r="BN42" s="194"/>
      <c r="BO42" s="194"/>
      <c r="BP42" s="194"/>
      <c r="BQ42" s="194"/>
      <c r="BR42" s="194"/>
      <c r="BS42" s="194"/>
      <c r="BT42" s="194"/>
      <c r="BU42" s="194"/>
      <c r="BV42" s="194"/>
      <c r="BW42" s="194"/>
      <c r="BX42" s="194"/>
      <c r="BY42" s="194"/>
      <c r="BZ42" s="194"/>
      <c r="CA42" s="194"/>
      <c r="CB42" s="194"/>
      <c r="CC42" s="194"/>
      <c r="CD42" s="194"/>
      <c r="CE42" s="194"/>
      <c r="CF42" s="194"/>
      <c r="CG42" s="194"/>
      <c r="CH42" s="194"/>
      <c r="CI42" s="194"/>
      <c r="CJ42" s="194"/>
      <c r="CK42" s="194"/>
      <c r="CL42" s="194"/>
      <c r="CM42" s="194"/>
      <c r="CN42" s="194"/>
      <c r="CO42" s="194"/>
      <c r="CP42" s="194"/>
      <c r="CQ42" s="194"/>
      <c r="CR42" s="194"/>
      <c r="CS42" s="194"/>
      <c r="CT42" s="194"/>
      <c r="CU42" s="194"/>
      <c r="CV42" s="194"/>
      <c r="CW42" s="194"/>
      <c r="CX42" s="194"/>
      <c r="CY42" s="194"/>
      <c r="CZ42" s="194"/>
      <c r="DA42" s="194"/>
    </row>
    <row r="43" spans="1:106" s="193" customFormat="1">
      <c r="A43" s="194" t="s">
        <v>209</v>
      </c>
      <c r="B43" s="194">
        <v>22104265</v>
      </c>
      <c r="C43" s="194" t="s">
        <v>210</v>
      </c>
      <c r="D43" s="197"/>
      <c r="E43" s="194"/>
      <c r="F43" s="194"/>
      <c r="G43" s="232"/>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c r="AF43" s="194"/>
      <c r="AG43" s="194"/>
      <c r="AH43" s="194"/>
      <c r="AI43" s="194"/>
      <c r="AJ43" s="194"/>
      <c r="AK43" s="194"/>
      <c r="AL43" s="194"/>
      <c r="AM43" s="194"/>
      <c r="AN43" s="194"/>
      <c r="AO43" s="194"/>
      <c r="AP43" s="194"/>
      <c r="AQ43" s="194"/>
      <c r="AR43" s="194"/>
      <c r="AS43" s="194"/>
      <c r="AT43" s="194"/>
      <c r="AU43" s="194"/>
      <c r="AV43" s="194"/>
      <c r="AW43" s="194"/>
      <c r="AX43" s="194"/>
      <c r="AY43" s="194"/>
      <c r="AZ43" s="194"/>
      <c r="BA43" s="194"/>
      <c r="BB43" s="194"/>
      <c r="BC43" s="194"/>
      <c r="BD43" s="194"/>
      <c r="BE43" s="194"/>
      <c r="BF43" s="194"/>
      <c r="BG43" s="194"/>
      <c r="BH43" s="194"/>
      <c r="BI43" s="194"/>
      <c r="BJ43" s="194"/>
      <c r="BK43" s="194"/>
      <c r="BL43" s="194"/>
      <c r="BM43" s="194"/>
      <c r="BN43" s="194"/>
      <c r="BO43" s="194"/>
      <c r="BP43" s="194"/>
      <c r="BQ43" s="194"/>
      <c r="BR43" s="194"/>
      <c r="BS43" s="194"/>
      <c r="BT43" s="194"/>
      <c r="BU43" s="194"/>
      <c r="BV43" s="194"/>
      <c r="BW43" s="194"/>
      <c r="BX43" s="194"/>
      <c r="BY43" s="194"/>
      <c r="BZ43" s="194"/>
      <c r="CA43" s="194"/>
      <c r="CB43" s="194"/>
      <c r="CC43" s="194"/>
      <c r="CD43" s="194"/>
      <c r="CE43" s="194"/>
      <c r="CF43" s="194"/>
      <c r="CG43" s="194"/>
      <c r="CH43" s="194"/>
      <c r="CI43" s="194"/>
      <c r="CJ43" s="194"/>
      <c r="CK43" s="194"/>
      <c r="CL43" s="194"/>
      <c r="CM43" s="194"/>
      <c r="CN43" s="194"/>
      <c r="CO43" s="194"/>
      <c r="CP43" s="194"/>
      <c r="CQ43" s="194"/>
      <c r="CR43" s="194"/>
      <c r="CS43" s="194"/>
      <c r="CT43" s="194"/>
      <c r="CU43" s="194"/>
      <c r="CV43" s="194"/>
      <c r="CW43" s="194"/>
      <c r="CX43" s="194"/>
      <c r="CY43" s="194"/>
      <c r="CZ43" s="194"/>
      <c r="DA43" s="194"/>
    </row>
    <row r="44" spans="1:106" s="193" customFormat="1">
      <c r="A44" s="194" t="s">
        <v>212</v>
      </c>
      <c r="B44" s="194">
        <v>22103803</v>
      </c>
      <c r="C44" s="194" t="s">
        <v>213</v>
      </c>
      <c r="D44" s="197"/>
      <c r="E44" s="194"/>
      <c r="F44" s="194"/>
      <c r="G44" s="232"/>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194"/>
      <c r="BH44" s="194"/>
      <c r="BI44" s="194"/>
      <c r="BJ44" s="194"/>
      <c r="BK44" s="194"/>
      <c r="BL44" s="194"/>
      <c r="BM44" s="194"/>
      <c r="BN44" s="194"/>
      <c r="BO44" s="194"/>
      <c r="BP44" s="194"/>
      <c r="BQ44" s="194"/>
      <c r="BR44" s="194"/>
      <c r="BS44" s="194"/>
      <c r="BT44" s="194"/>
      <c r="BU44" s="194"/>
      <c r="BV44" s="194"/>
      <c r="BW44" s="194"/>
      <c r="BX44" s="194"/>
      <c r="BY44" s="194"/>
      <c r="BZ44" s="194"/>
      <c r="CA44" s="194"/>
      <c r="CB44" s="194"/>
      <c r="CC44" s="194"/>
      <c r="CD44" s="194"/>
      <c r="CE44" s="194"/>
      <c r="CF44" s="194"/>
      <c r="CG44" s="194"/>
      <c r="CH44" s="194"/>
      <c r="CI44" s="194"/>
      <c r="CJ44" s="194"/>
      <c r="CK44" s="194"/>
      <c r="CL44" s="194"/>
      <c r="CM44" s="194"/>
      <c r="CN44" s="194"/>
      <c r="CO44" s="194"/>
      <c r="CP44" s="194"/>
      <c r="CQ44" s="194"/>
      <c r="CR44" s="194"/>
      <c r="CS44" s="194"/>
      <c r="CT44" s="194"/>
      <c r="CU44" s="194"/>
      <c r="CV44" s="194"/>
      <c r="CW44" s="194"/>
      <c r="CX44" s="194"/>
      <c r="CY44" s="194"/>
      <c r="CZ44" s="194"/>
      <c r="DA44" s="194"/>
    </row>
    <row r="45" spans="1:106" s="193" customFormat="1">
      <c r="A45" s="194" t="s">
        <v>214</v>
      </c>
      <c r="B45" s="194">
        <v>22105667</v>
      </c>
      <c r="C45" s="194" t="s">
        <v>215</v>
      </c>
      <c r="D45" s="200"/>
      <c r="E45" s="194"/>
      <c r="F45" s="194"/>
      <c r="G45" s="232"/>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4"/>
      <c r="AR45" s="194"/>
      <c r="AS45" s="194"/>
      <c r="AT45" s="194"/>
      <c r="AU45" s="194"/>
      <c r="AV45" s="194"/>
      <c r="AW45" s="194"/>
      <c r="AX45" s="194"/>
      <c r="AY45" s="194"/>
      <c r="AZ45" s="194"/>
      <c r="BA45" s="194"/>
      <c r="BB45" s="194"/>
      <c r="BC45" s="194"/>
      <c r="BD45" s="194"/>
      <c r="BE45" s="194"/>
      <c r="BF45" s="194"/>
      <c r="BG45" s="194"/>
      <c r="BH45" s="194"/>
      <c r="BI45" s="194"/>
      <c r="BJ45" s="194"/>
      <c r="BK45" s="194"/>
      <c r="BL45" s="194"/>
      <c r="BM45" s="194"/>
      <c r="BN45" s="194"/>
      <c r="BO45" s="194"/>
      <c r="BP45" s="194"/>
      <c r="BQ45" s="194"/>
      <c r="BR45" s="194"/>
      <c r="BS45" s="194"/>
      <c r="BT45" s="194"/>
      <c r="BU45" s="194"/>
      <c r="BV45" s="194"/>
      <c r="BW45" s="194"/>
      <c r="BX45" s="194"/>
      <c r="BY45" s="194"/>
      <c r="BZ45" s="194"/>
      <c r="CA45" s="194"/>
      <c r="CB45" s="194"/>
      <c r="CC45" s="194"/>
      <c r="CD45" s="194"/>
      <c r="CE45" s="194"/>
      <c r="CF45" s="194"/>
      <c r="CG45" s="194"/>
      <c r="CH45" s="194"/>
      <c r="CI45" s="194"/>
      <c r="CJ45" s="194"/>
      <c r="CK45" s="194"/>
      <c r="CL45" s="194"/>
      <c r="CM45" s="194"/>
      <c r="CN45" s="194"/>
      <c r="CO45" s="194"/>
      <c r="CP45" s="194"/>
      <c r="CQ45" s="194"/>
      <c r="CR45" s="194"/>
      <c r="CS45" s="194"/>
      <c r="CT45" s="194"/>
      <c r="CU45" s="194"/>
      <c r="CV45" s="194"/>
      <c r="CW45" s="194"/>
      <c r="CX45" s="194"/>
      <c r="CY45" s="194"/>
      <c r="CZ45" s="194"/>
      <c r="DA45" s="194"/>
    </row>
    <row r="46" spans="1:106" s="189" customFormat="1">
      <c r="A46" s="185" t="s">
        <v>219</v>
      </c>
      <c r="B46" s="185">
        <v>22107706</v>
      </c>
      <c r="C46" s="185" t="s">
        <v>220</v>
      </c>
      <c r="D46" s="185"/>
      <c r="E46" s="185"/>
      <c r="F46" s="185"/>
      <c r="G46" s="229"/>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5"/>
      <c r="BN46" s="185"/>
      <c r="BO46" s="185"/>
      <c r="BP46" s="185"/>
      <c r="BQ46" s="185"/>
      <c r="BR46" s="185"/>
      <c r="BS46" s="185"/>
      <c r="BT46" s="185"/>
      <c r="BU46" s="185"/>
      <c r="BV46" s="185"/>
      <c r="BW46" s="185"/>
      <c r="BX46" s="185"/>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c r="CV46" s="185"/>
      <c r="CW46" s="185"/>
      <c r="CX46" s="185"/>
      <c r="CY46" s="185"/>
      <c r="CZ46" s="185"/>
      <c r="DA46" s="185"/>
    </row>
    <row r="47" spans="1:106" s="193" customFormat="1">
      <c r="A47" s="194" t="s">
        <v>223</v>
      </c>
      <c r="B47" s="194">
        <v>22107436</v>
      </c>
      <c r="C47" s="194" t="s">
        <v>224</v>
      </c>
      <c r="D47" s="200"/>
      <c r="E47" s="194"/>
      <c r="F47" s="194"/>
      <c r="G47" s="232"/>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c r="AJ47" s="194"/>
      <c r="AK47" s="194"/>
      <c r="AL47" s="194"/>
      <c r="AM47" s="194"/>
      <c r="AN47" s="194"/>
      <c r="AO47" s="194"/>
      <c r="AP47" s="194"/>
      <c r="AQ47" s="194"/>
      <c r="AR47" s="194"/>
      <c r="AS47" s="194"/>
      <c r="AT47" s="194"/>
      <c r="AU47" s="194"/>
      <c r="AV47" s="194"/>
      <c r="AW47" s="194"/>
      <c r="AX47" s="194"/>
      <c r="AY47" s="194"/>
      <c r="AZ47" s="194"/>
      <c r="BA47" s="194"/>
      <c r="BB47" s="194"/>
      <c r="BC47" s="194"/>
      <c r="BD47" s="194"/>
      <c r="BE47" s="194"/>
      <c r="BF47" s="194"/>
      <c r="BG47" s="194"/>
      <c r="BH47" s="194"/>
      <c r="BI47" s="194"/>
      <c r="BJ47" s="194"/>
      <c r="BK47" s="194"/>
      <c r="BL47" s="194"/>
      <c r="BM47" s="194"/>
      <c r="BN47" s="194"/>
      <c r="BO47" s="194"/>
      <c r="BP47" s="194"/>
      <c r="BQ47" s="194"/>
      <c r="BR47" s="194"/>
      <c r="BS47" s="194"/>
      <c r="BT47" s="194"/>
      <c r="BU47" s="194"/>
      <c r="BV47" s="194"/>
      <c r="BW47" s="194"/>
      <c r="BX47" s="194"/>
      <c r="BY47" s="194"/>
      <c r="BZ47" s="194"/>
      <c r="CA47" s="194"/>
      <c r="CB47" s="194"/>
      <c r="CC47" s="194"/>
      <c r="CD47" s="194"/>
      <c r="CE47" s="194"/>
      <c r="CF47" s="194"/>
      <c r="CG47" s="194"/>
      <c r="CH47" s="194"/>
      <c r="CI47" s="194"/>
      <c r="CJ47" s="194"/>
      <c r="CK47" s="194"/>
      <c r="CL47" s="194"/>
      <c r="CM47" s="194"/>
      <c r="CN47" s="194"/>
      <c r="CO47" s="194"/>
      <c r="CP47" s="194"/>
      <c r="CQ47" s="194"/>
      <c r="CR47" s="194"/>
      <c r="CS47" s="194"/>
      <c r="CT47" s="194"/>
      <c r="CU47" s="194"/>
      <c r="CV47" s="194"/>
      <c r="CW47" s="194"/>
      <c r="CX47" s="194"/>
      <c r="CY47" s="194"/>
      <c r="CZ47" s="194"/>
      <c r="DA47" s="194"/>
    </row>
    <row r="48" spans="1:106" s="189" customFormat="1">
      <c r="A48" s="185" t="s">
        <v>228</v>
      </c>
      <c r="B48" s="185">
        <v>22107749</v>
      </c>
      <c r="C48" s="185" t="s">
        <v>229</v>
      </c>
      <c r="D48" s="228"/>
      <c r="E48" s="185"/>
      <c r="F48" s="185"/>
      <c r="G48" s="229"/>
      <c r="H48" s="185"/>
      <c r="I48" s="185"/>
      <c r="J48" s="185"/>
      <c r="K48" s="185"/>
      <c r="L48" s="185"/>
      <c r="M48" s="185"/>
      <c r="N48" s="185"/>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c r="BN48" s="185"/>
      <c r="BO48" s="185"/>
      <c r="BP48" s="185"/>
      <c r="BQ48" s="185"/>
      <c r="BR48" s="185"/>
      <c r="BS48" s="185"/>
      <c r="BT48" s="185"/>
      <c r="BU48" s="185"/>
      <c r="BV48" s="185"/>
      <c r="BW48" s="185"/>
      <c r="BX48" s="185"/>
      <c r="BY48" s="185"/>
      <c r="BZ48" s="185"/>
      <c r="CA48" s="185"/>
      <c r="CB48" s="185"/>
      <c r="CC48" s="185"/>
      <c r="CD48" s="185"/>
      <c r="CE48" s="185"/>
      <c r="CF48" s="185"/>
      <c r="CG48" s="185"/>
      <c r="CH48" s="185"/>
      <c r="CI48" s="185"/>
      <c r="CJ48" s="185"/>
      <c r="CK48" s="185"/>
      <c r="CL48" s="185"/>
      <c r="CM48" s="185"/>
      <c r="CN48" s="185"/>
      <c r="CO48" s="185"/>
      <c r="CP48" s="185"/>
      <c r="CQ48" s="185"/>
      <c r="CR48" s="185"/>
      <c r="CS48" s="185"/>
      <c r="CT48" s="185"/>
      <c r="CU48" s="185"/>
      <c r="CV48" s="185"/>
      <c r="CW48" s="185"/>
      <c r="CX48" s="185"/>
      <c r="CY48" s="185"/>
      <c r="CZ48" s="185"/>
      <c r="DA48" s="185"/>
    </row>
    <row r="49" spans="1:106" s="189" customFormat="1">
      <c r="A49" s="185" t="s">
        <v>232</v>
      </c>
      <c r="B49" s="186">
        <v>21929694</v>
      </c>
      <c r="C49" s="190" t="s">
        <v>1100</v>
      </c>
      <c r="D49" s="188">
        <v>44438</v>
      </c>
      <c r="E49" s="186">
        <v>86</v>
      </c>
      <c r="F49" s="186">
        <v>11.4</v>
      </c>
      <c r="G49" s="191">
        <v>15.41</v>
      </c>
      <c r="H49" s="186">
        <v>48.8</v>
      </c>
      <c r="I49" s="186">
        <v>32</v>
      </c>
      <c r="J49" s="186">
        <v>0</v>
      </c>
      <c r="K49" s="186">
        <v>1</v>
      </c>
      <c r="L49" s="186">
        <v>2</v>
      </c>
      <c r="M49" s="186">
        <v>0</v>
      </c>
      <c r="N49" s="186">
        <v>7</v>
      </c>
      <c r="O49" s="186">
        <v>9</v>
      </c>
      <c r="P49" s="186">
        <v>1635</v>
      </c>
      <c r="Q49" s="186">
        <v>38</v>
      </c>
      <c r="R49" s="186">
        <v>31</v>
      </c>
      <c r="S49" s="186">
        <v>25</v>
      </c>
      <c r="T49" s="188">
        <v>30988</v>
      </c>
      <c r="U49" s="186">
        <v>34.479999999999997</v>
      </c>
      <c r="V49" s="186">
        <v>0</v>
      </c>
      <c r="W49" s="186">
        <v>1</v>
      </c>
      <c r="X49" s="186">
        <v>0</v>
      </c>
      <c r="Y49" s="186">
        <v>2</v>
      </c>
      <c r="Z49" s="186">
        <v>0</v>
      </c>
      <c r="AA49" s="186">
        <v>1</v>
      </c>
      <c r="AB49" s="186">
        <v>0</v>
      </c>
      <c r="AC49" s="186">
        <v>0</v>
      </c>
      <c r="AD49" s="186">
        <v>0</v>
      </c>
      <c r="AE49" s="186">
        <v>0</v>
      </c>
      <c r="AF49" s="186">
        <v>0</v>
      </c>
      <c r="AG49" s="186">
        <v>0</v>
      </c>
      <c r="AH49" s="186">
        <v>0</v>
      </c>
      <c r="AI49" s="186">
        <v>1</v>
      </c>
      <c r="AJ49" s="186">
        <v>0</v>
      </c>
      <c r="AK49" s="186">
        <v>0</v>
      </c>
      <c r="AL49" s="186">
        <v>1</v>
      </c>
      <c r="AM49" s="186">
        <v>10</v>
      </c>
      <c r="AN49" s="186">
        <v>0</v>
      </c>
      <c r="AO49" s="186">
        <v>0</v>
      </c>
      <c r="AP49" s="186">
        <v>0</v>
      </c>
      <c r="AQ49" s="186">
        <v>0</v>
      </c>
      <c r="AR49" s="186">
        <v>1</v>
      </c>
      <c r="AS49" s="186">
        <v>0</v>
      </c>
      <c r="AT49" s="186">
        <v>0</v>
      </c>
      <c r="AU49" s="186">
        <v>0</v>
      </c>
      <c r="AV49" s="186">
        <v>0</v>
      </c>
      <c r="AW49" s="186">
        <v>0</v>
      </c>
      <c r="AX49" s="186">
        <v>0</v>
      </c>
      <c r="AY49" s="186">
        <v>0</v>
      </c>
      <c r="AZ49" s="186">
        <v>0</v>
      </c>
      <c r="BA49" s="186">
        <v>0</v>
      </c>
      <c r="BB49" s="186">
        <v>0</v>
      </c>
      <c r="BC49" s="186">
        <v>0</v>
      </c>
      <c r="BD49" s="186">
        <v>0</v>
      </c>
      <c r="BE49" s="186">
        <v>0</v>
      </c>
      <c r="BF49" s="186">
        <v>0</v>
      </c>
      <c r="BG49" s="186">
        <v>0</v>
      </c>
      <c r="BH49" s="186">
        <v>0</v>
      </c>
      <c r="BI49" s="186">
        <v>0</v>
      </c>
      <c r="BJ49" s="186">
        <v>0</v>
      </c>
      <c r="BK49" s="186">
        <v>1</v>
      </c>
      <c r="BL49" s="186">
        <v>0</v>
      </c>
      <c r="BM49" s="186">
        <v>0</v>
      </c>
      <c r="BN49" s="186">
        <v>0</v>
      </c>
      <c r="BO49" s="186">
        <v>0</v>
      </c>
      <c r="BP49" s="186">
        <v>0</v>
      </c>
      <c r="BQ49" s="186">
        <v>0</v>
      </c>
      <c r="BR49" s="186">
        <v>1</v>
      </c>
      <c r="BS49" s="186">
        <v>0</v>
      </c>
      <c r="BT49" s="186">
        <v>0</v>
      </c>
      <c r="BU49" s="186">
        <v>0</v>
      </c>
      <c r="BV49" s="186">
        <v>0</v>
      </c>
      <c r="BW49" s="186">
        <v>0</v>
      </c>
      <c r="BX49" s="186">
        <v>0</v>
      </c>
      <c r="BY49" s="186">
        <v>0</v>
      </c>
      <c r="BZ49" s="186">
        <v>1</v>
      </c>
      <c r="CA49" s="186" t="s">
        <v>955</v>
      </c>
      <c r="CB49" s="186">
        <v>0</v>
      </c>
      <c r="CC49" s="186" t="s">
        <v>947</v>
      </c>
      <c r="CD49" s="186">
        <v>1</v>
      </c>
      <c r="CE49" s="186" t="s">
        <v>1101</v>
      </c>
      <c r="CF49" s="190" t="s">
        <v>1102</v>
      </c>
      <c r="CG49" s="186">
        <v>1</v>
      </c>
      <c r="CH49" s="186" t="s">
        <v>1000</v>
      </c>
      <c r="CI49" s="186">
        <v>0</v>
      </c>
      <c r="CJ49" s="186" t="s">
        <v>947</v>
      </c>
      <c r="CK49" s="186" t="s">
        <v>947</v>
      </c>
      <c r="CL49" s="186">
        <v>1</v>
      </c>
      <c r="CM49" s="186" t="s">
        <v>1103</v>
      </c>
      <c r="CN49" s="190" t="s">
        <v>1104</v>
      </c>
      <c r="CO49" s="186">
        <v>0</v>
      </c>
      <c r="CP49" s="186" t="s">
        <v>947</v>
      </c>
      <c r="CQ49" s="186" t="s">
        <v>947</v>
      </c>
      <c r="CR49" s="186">
        <v>0</v>
      </c>
      <c r="CS49" s="186" t="s">
        <v>947</v>
      </c>
      <c r="CT49" s="186" t="s">
        <v>947</v>
      </c>
      <c r="CU49" s="186">
        <v>0</v>
      </c>
      <c r="CV49" s="186" t="s">
        <v>947</v>
      </c>
      <c r="CW49" s="186" t="s">
        <v>947</v>
      </c>
      <c r="CX49" s="186">
        <v>1</v>
      </c>
      <c r="CY49" s="186" t="s">
        <v>1105</v>
      </c>
      <c r="CZ49" s="186">
        <v>2</v>
      </c>
      <c r="DA49" s="186"/>
      <c r="DB49" s="187"/>
    </row>
    <row r="50" spans="1:106" s="189" customFormat="1">
      <c r="A50" s="185" t="s">
        <v>236</v>
      </c>
      <c r="B50" s="186">
        <v>21929692</v>
      </c>
      <c r="C50" s="190" t="s">
        <v>1106</v>
      </c>
      <c r="D50" s="188">
        <v>44438</v>
      </c>
      <c r="E50" s="186">
        <v>88.8</v>
      </c>
      <c r="F50" s="186">
        <v>13.8</v>
      </c>
      <c r="G50" s="191">
        <v>17.5</v>
      </c>
      <c r="H50" s="186">
        <v>48.8</v>
      </c>
      <c r="I50" s="186">
        <v>32</v>
      </c>
      <c r="J50" s="186">
        <v>0</v>
      </c>
      <c r="K50" s="186">
        <v>1</v>
      </c>
      <c r="L50" s="186">
        <v>2</v>
      </c>
      <c r="M50" s="186">
        <v>0</v>
      </c>
      <c r="N50" s="186">
        <v>7</v>
      </c>
      <c r="O50" s="186">
        <v>9</v>
      </c>
      <c r="P50" s="186">
        <v>1705</v>
      </c>
      <c r="Q50" s="186">
        <v>41</v>
      </c>
      <c r="R50" s="186">
        <v>31</v>
      </c>
      <c r="S50" s="186">
        <v>27.5</v>
      </c>
      <c r="T50" s="188">
        <v>30988</v>
      </c>
      <c r="U50" s="186">
        <v>34.479999999999997</v>
      </c>
      <c r="V50" s="186">
        <v>0</v>
      </c>
      <c r="W50" s="186">
        <v>1</v>
      </c>
      <c r="X50" s="186">
        <v>0</v>
      </c>
      <c r="Y50" s="186">
        <v>2</v>
      </c>
      <c r="Z50" s="186">
        <v>0</v>
      </c>
      <c r="AA50" s="186">
        <v>1</v>
      </c>
      <c r="AB50" s="186">
        <v>0</v>
      </c>
      <c r="AC50" s="186">
        <v>0</v>
      </c>
      <c r="AD50" s="186">
        <v>0</v>
      </c>
      <c r="AE50" s="186">
        <v>0</v>
      </c>
      <c r="AF50" s="186">
        <v>0</v>
      </c>
      <c r="AG50" s="186">
        <v>0</v>
      </c>
      <c r="AH50" s="186">
        <v>0</v>
      </c>
      <c r="AI50" s="186">
        <v>1</v>
      </c>
      <c r="AJ50" s="186">
        <v>0</v>
      </c>
      <c r="AK50" s="186">
        <v>0</v>
      </c>
      <c r="AL50" s="186">
        <v>1</v>
      </c>
      <c r="AM50" s="186">
        <v>10</v>
      </c>
      <c r="AN50" s="186">
        <v>0</v>
      </c>
      <c r="AO50" s="186">
        <v>0</v>
      </c>
      <c r="AP50" s="186">
        <v>0</v>
      </c>
      <c r="AQ50" s="186">
        <v>0</v>
      </c>
      <c r="AR50" s="186">
        <v>1</v>
      </c>
      <c r="AS50" s="186">
        <v>0</v>
      </c>
      <c r="AT50" s="186">
        <v>0</v>
      </c>
      <c r="AU50" s="186">
        <v>0</v>
      </c>
      <c r="AV50" s="186">
        <v>0</v>
      </c>
      <c r="AW50" s="186">
        <v>0</v>
      </c>
      <c r="AX50" s="186">
        <v>0</v>
      </c>
      <c r="AY50" s="186">
        <v>0</v>
      </c>
      <c r="AZ50" s="186">
        <v>0</v>
      </c>
      <c r="BA50" s="186">
        <v>0</v>
      </c>
      <c r="BB50" s="186">
        <v>0</v>
      </c>
      <c r="BC50" s="186">
        <v>0</v>
      </c>
      <c r="BD50" s="186">
        <v>0</v>
      </c>
      <c r="BE50" s="186">
        <v>0</v>
      </c>
      <c r="BF50" s="186">
        <v>0</v>
      </c>
      <c r="BG50" s="186">
        <v>0</v>
      </c>
      <c r="BH50" s="186">
        <v>0</v>
      </c>
      <c r="BI50" s="186">
        <v>0</v>
      </c>
      <c r="BJ50" s="186">
        <v>0</v>
      </c>
      <c r="BK50" s="186">
        <v>0</v>
      </c>
      <c r="BL50" s="186">
        <v>0</v>
      </c>
      <c r="BM50" s="186">
        <v>0</v>
      </c>
      <c r="BN50" s="186">
        <v>0</v>
      </c>
      <c r="BO50" s="186">
        <v>0</v>
      </c>
      <c r="BP50" s="186">
        <v>0</v>
      </c>
      <c r="BQ50" s="186">
        <v>0</v>
      </c>
      <c r="BR50" s="186">
        <v>0</v>
      </c>
      <c r="BS50" s="186">
        <v>0</v>
      </c>
      <c r="BT50" s="186">
        <v>0</v>
      </c>
      <c r="BU50" s="186">
        <v>0</v>
      </c>
      <c r="BV50" s="186">
        <v>0</v>
      </c>
      <c r="BW50" s="186">
        <v>0</v>
      </c>
      <c r="BX50" s="186">
        <v>0</v>
      </c>
      <c r="BY50" s="186">
        <v>0</v>
      </c>
      <c r="BZ50" s="186">
        <v>1</v>
      </c>
      <c r="CA50" s="186" t="s">
        <v>1015</v>
      </c>
      <c r="CB50" s="186">
        <v>0</v>
      </c>
      <c r="CC50" s="186" t="s">
        <v>947</v>
      </c>
      <c r="CD50" s="186">
        <v>1</v>
      </c>
      <c r="CE50" s="186" t="s">
        <v>1103</v>
      </c>
      <c r="CF50" s="190" t="s">
        <v>1102</v>
      </c>
      <c r="CG50" s="186">
        <v>1</v>
      </c>
      <c r="CH50" s="186" t="s">
        <v>1000</v>
      </c>
      <c r="CI50" s="186">
        <v>0</v>
      </c>
      <c r="CJ50" s="186" t="s">
        <v>947</v>
      </c>
      <c r="CK50" s="186" t="s">
        <v>947</v>
      </c>
      <c r="CL50" s="186">
        <v>1</v>
      </c>
      <c r="CM50" s="186" t="s">
        <v>1103</v>
      </c>
      <c r="CN50" s="190" t="s">
        <v>1104</v>
      </c>
      <c r="CO50" s="186">
        <v>0</v>
      </c>
      <c r="CP50" s="186" t="s">
        <v>947</v>
      </c>
      <c r="CQ50" s="186" t="s">
        <v>947</v>
      </c>
      <c r="CR50" s="186">
        <v>0</v>
      </c>
      <c r="CS50" s="186" t="s">
        <v>947</v>
      </c>
      <c r="CT50" s="186" t="s">
        <v>947</v>
      </c>
      <c r="CU50" s="186">
        <v>0</v>
      </c>
      <c r="CV50" s="186" t="s">
        <v>947</v>
      </c>
      <c r="CW50" s="186" t="s">
        <v>947</v>
      </c>
      <c r="CX50" s="186">
        <v>1</v>
      </c>
      <c r="CY50" s="186" t="s">
        <v>1105</v>
      </c>
      <c r="CZ50" s="186">
        <v>2</v>
      </c>
      <c r="DA50" s="186"/>
      <c r="DB50" s="187"/>
    </row>
    <row r="51" spans="1:106" s="110" customFormat="1">
      <c r="A51" s="107" t="s">
        <v>239</v>
      </c>
      <c r="B51" s="107">
        <v>22107552</v>
      </c>
      <c r="C51" s="107" t="s">
        <v>240</v>
      </c>
      <c r="D51" s="108"/>
      <c r="E51" s="107"/>
      <c r="F51" s="107"/>
      <c r="G51" s="109"/>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row>
    <row r="52" spans="1:106" s="189" customFormat="1">
      <c r="A52" s="185" t="s">
        <v>244</v>
      </c>
      <c r="B52" s="185">
        <v>22105413</v>
      </c>
      <c r="C52" s="185" t="s">
        <v>245</v>
      </c>
      <c r="D52" s="228"/>
      <c r="E52" s="185"/>
      <c r="F52" s="185"/>
      <c r="G52" s="229"/>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5"/>
      <c r="BU52" s="185"/>
      <c r="BV52" s="185"/>
      <c r="BW52" s="185"/>
      <c r="BX52" s="185"/>
      <c r="BY52" s="185"/>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c r="CV52" s="185"/>
      <c r="CW52" s="185"/>
      <c r="CX52" s="185"/>
      <c r="CY52" s="185"/>
      <c r="CZ52" s="185"/>
      <c r="DA52" s="185"/>
    </row>
    <row r="53" spans="1:106" s="110" customFormat="1">
      <c r="A53" s="107" t="s">
        <v>249</v>
      </c>
      <c r="B53" s="107">
        <v>22105943</v>
      </c>
      <c r="C53" s="107" t="s">
        <v>250</v>
      </c>
      <c r="D53" s="108"/>
      <c r="E53" s="107"/>
      <c r="F53" s="107"/>
      <c r="G53" s="109"/>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row>
    <row r="54" spans="1:106" s="193" customFormat="1">
      <c r="A54" s="194" t="s">
        <v>253</v>
      </c>
      <c r="B54" s="194">
        <v>22104786</v>
      </c>
      <c r="C54" s="194" t="s">
        <v>254</v>
      </c>
      <c r="D54" s="197"/>
      <c r="E54" s="194"/>
      <c r="F54" s="194"/>
      <c r="G54" s="232"/>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c r="AG54" s="194"/>
      <c r="AH54" s="194"/>
      <c r="AI54" s="194"/>
      <c r="AJ54" s="194"/>
      <c r="AK54" s="194"/>
      <c r="AL54" s="194"/>
      <c r="AM54" s="194"/>
      <c r="AN54" s="194"/>
      <c r="AO54" s="194"/>
      <c r="AP54" s="194"/>
      <c r="AQ54" s="194"/>
      <c r="AR54" s="194"/>
      <c r="AS54" s="194"/>
      <c r="AT54" s="194"/>
      <c r="AU54" s="194"/>
      <c r="AV54" s="194"/>
      <c r="AW54" s="194"/>
      <c r="AX54" s="194"/>
      <c r="AY54" s="194"/>
      <c r="AZ54" s="194"/>
      <c r="BA54" s="194"/>
      <c r="BB54" s="194"/>
      <c r="BC54" s="194"/>
      <c r="BD54" s="194"/>
      <c r="BE54" s="194"/>
      <c r="BF54" s="194"/>
      <c r="BG54" s="194"/>
      <c r="BH54" s="194"/>
      <c r="BI54" s="194"/>
      <c r="BJ54" s="194"/>
      <c r="BK54" s="194"/>
      <c r="BL54" s="194"/>
      <c r="BM54" s="194"/>
      <c r="BN54" s="194"/>
      <c r="BO54" s="194"/>
      <c r="BP54" s="194"/>
      <c r="BQ54" s="194"/>
      <c r="BR54" s="194"/>
      <c r="BS54" s="194"/>
      <c r="BT54" s="194"/>
      <c r="BU54" s="194"/>
      <c r="BV54" s="194"/>
      <c r="BW54" s="194"/>
      <c r="BX54" s="194"/>
      <c r="BY54" s="194"/>
      <c r="BZ54" s="194"/>
      <c r="CA54" s="194"/>
      <c r="CB54" s="194"/>
      <c r="CC54" s="194"/>
      <c r="CD54" s="194"/>
      <c r="CE54" s="194"/>
      <c r="CF54" s="194"/>
      <c r="CG54" s="194"/>
      <c r="CH54" s="194"/>
      <c r="CI54" s="194"/>
      <c r="CJ54" s="194"/>
      <c r="CK54" s="194"/>
      <c r="CL54" s="194"/>
      <c r="CM54" s="194"/>
      <c r="CN54" s="194"/>
      <c r="CO54" s="194"/>
      <c r="CP54" s="194"/>
      <c r="CQ54" s="194"/>
      <c r="CR54" s="194"/>
      <c r="CS54" s="194"/>
      <c r="CT54" s="194"/>
      <c r="CU54" s="194"/>
      <c r="CV54" s="194"/>
      <c r="CW54" s="194"/>
      <c r="CX54" s="194"/>
      <c r="CY54" s="194"/>
      <c r="CZ54" s="194"/>
      <c r="DA54" s="194"/>
    </row>
    <row r="55" spans="1:106" s="110" customFormat="1">
      <c r="A55" s="107" t="s">
        <v>257</v>
      </c>
      <c r="B55" s="107">
        <v>22106937</v>
      </c>
      <c r="C55" s="107" t="s">
        <v>258</v>
      </c>
      <c r="D55" s="108"/>
      <c r="E55" s="107"/>
      <c r="F55" s="107"/>
      <c r="G55" s="109"/>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row>
    <row r="56" spans="1:106" s="193" customFormat="1">
      <c r="A56" s="194" t="s">
        <v>262</v>
      </c>
      <c r="B56" s="194">
        <v>22102827</v>
      </c>
      <c r="C56" s="194" t="s">
        <v>263</v>
      </c>
      <c r="D56" s="197"/>
      <c r="E56" s="194"/>
      <c r="F56" s="194"/>
      <c r="G56" s="232"/>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194"/>
      <c r="AL56" s="194"/>
      <c r="AM56" s="194"/>
      <c r="AN56" s="194"/>
      <c r="AO56" s="194"/>
      <c r="AP56" s="194"/>
      <c r="AQ56" s="194"/>
      <c r="AR56" s="194"/>
      <c r="AS56" s="194"/>
      <c r="AT56" s="194"/>
      <c r="AU56" s="194"/>
      <c r="AV56" s="194"/>
      <c r="AW56" s="194"/>
      <c r="AX56" s="194"/>
      <c r="AY56" s="194"/>
      <c r="AZ56" s="194"/>
      <c r="BA56" s="194"/>
      <c r="BB56" s="194"/>
      <c r="BC56" s="194"/>
      <c r="BD56" s="194"/>
      <c r="BE56" s="194"/>
      <c r="BF56" s="194"/>
      <c r="BG56" s="194"/>
      <c r="BH56" s="194"/>
      <c r="BI56" s="194"/>
      <c r="BJ56" s="194"/>
      <c r="BK56" s="194"/>
      <c r="BL56" s="194"/>
      <c r="BM56" s="194"/>
      <c r="BN56" s="194"/>
      <c r="BO56" s="194"/>
      <c r="BP56" s="194"/>
      <c r="BQ56" s="194"/>
      <c r="BR56" s="194"/>
      <c r="BS56" s="194"/>
      <c r="BT56" s="194"/>
      <c r="BU56" s="194"/>
      <c r="BV56" s="194"/>
      <c r="BW56" s="194"/>
      <c r="BX56" s="194"/>
      <c r="BY56" s="194"/>
      <c r="BZ56" s="194"/>
      <c r="CA56" s="194"/>
      <c r="CB56" s="194"/>
      <c r="CC56" s="194"/>
      <c r="CD56" s="194"/>
      <c r="CE56" s="194"/>
      <c r="CF56" s="194"/>
      <c r="CG56" s="194"/>
      <c r="CH56" s="194"/>
      <c r="CI56" s="194"/>
      <c r="CJ56" s="194"/>
      <c r="CK56" s="194"/>
      <c r="CL56" s="194"/>
      <c r="CM56" s="194"/>
      <c r="CN56" s="194"/>
      <c r="CO56" s="194"/>
      <c r="CP56" s="194"/>
      <c r="CQ56" s="194"/>
      <c r="CR56" s="194"/>
      <c r="CS56" s="194"/>
      <c r="CT56" s="194"/>
      <c r="CU56" s="194"/>
      <c r="CV56" s="194"/>
      <c r="CW56" s="194"/>
      <c r="CX56" s="194"/>
      <c r="CY56" s="194"/>
      <c r="CZ56" s="194"/>
      <c r="DA56" s="194"/>
    </row>
    <row r="57" spans="1:106" s="189" customFormat="1">
      <c r="A57" s="185" t="s">
        <v>266</v>
      </c>
      <c r="B57" s="186">
        <v>22192272</v>
      </c>
      <c r="C57" s="190" t="s">
        <v>1117</v>
      </c>
      <c r="D57" s="188">
        <v>44698</v>
      </c>
      <c r="E57" s="186">
        <v>90.5</v>
      </c>
      <c r="F57" s="186">
        <v>12.7</v>
      </c>
      <c r="G57" s="191">
        <v>15.51</v>
      </c>
      <c r="H57" s="186">
        <v>48.4</v>
      </c>
      <c r="I57" s="186">
        <v>27</v>
      </c>
      <c r="J57" s="186">
        <v>4</v>
      </c>
      <c r="K57" s="186">
        <v>1</v>
      </c>
      <c r="L57" s="186">
        <v>2</v>
      </c>
      <c r="M57" s="186">
        <v>0</v>
      </c>
      <c r="N57" s="186">
        <v>5</v>
      </c>
      <c r="O57" s="186">
        <v>8</v>
      </c>
      <c r="P57" s="186">
        <v>1130</v>
      </c>
      <c r="Q57" s="186">
        <v>28</v>
      </c>
      <c r="R57" s="186">
        <v>26</v>
      </c>
      <c r="S57" s="186">
        <v>23.5</v>
      </c>
      <c r="T57" s="188">
        <v>28855</v>
      </c>
      <c r="U57" s="186">
        <v>41.11</v>
      </c>
      <c r="V57" s="186">
        <v>2</v>
      </c>
      <c r="W57" s="186">
        <v>2</v>
      </c>
      <c r="X57" s="186">
        <v>5</v>
      </c>
      <c r="Y57" s="186">
        <v>3</v>
      </c>
      <c r="Z57" s="186">
        <v>0</v>
      </c>
      <c r="AA57" s="186">
        <v>0</v>
      </c>
      <c r="AB57" s="186">
        <v>0</v>
      </c>
      <c r="AC57" s="186">
        <v>1</v>
      </c>
      <c r="AD57" s="186">
        <v>0</v>
      </c>
      <c r="AE57" s="186">
        <v>0</v>
      </c>
      <c r="AF57" s="186">
        <v>0</v>
      </c>
      <c r="AG57" s="186">
        <v>0</v>
      </c>
      <c r="AH57" s="186">
        <v>0</v>
      </c>
      <c r="AI57" s="186">
        <v>1</v>
      </c>
      <c r="AJ57" s="186">
        <v>1</v>
      </c>
      <c r="AK57" s="236" t="s">
        <v>1118</v>
      </c>
      <c r="AL57" s="186">
        <v>1</v>
      </c>
      <c r="AM57" s="186" t="s">
        <v>1119</v>
      </c>
      <c r="AN57" s="186">
        <v>0</v>
      </c>
      <c r="AO57" s="186">
        <v>0</v>
      </c>
      <c r="AP57" s="186">
        <v>0</v>
      </c>
      <c r="AQ57" s="186">
        <v>0</v>
      </c>
      <c r="AR57" s="186">
        <v>2</v>
      </c>
      <c r="AS57" s="186">
        <v>0</v>
      </c>
      <c r="AT57" s="186">
        <v>0</v>
      </c>
      <c r="AU57" s="186">
        <v>0</v>
      </c>
      <c r="AV57" s="186">
        <v>0</v>
      </c>
      <c r="AW57" s="186">
        <v>0</v>
      </c>
      <c r="AX57" s="186">
        <v>0</v>
      </c>
      <c r="AY57" s="186">
        <v>0</v>
      </c>
      <c r="AZ57" s="186">
        <v>0</v>
      </c>
      <c r="BA57" s="186">
        <v>0</v>
      </c>
      <c r="BB57" s="186">
        <v>0</v>
      </c>
      <c r="BC57" s="186">
        <v>0</v>
      </c>
      <c r="BD57" s="186">
        <v>0</v>
      </c>
      <c r="BE57" s="186">
        <v>0</v>
      </c>
      <c r="BF57" s="186">
        <v>0</v>
      </c>
      <c r="BG57" s="186">
        <v>0</v>
      </c>
      <c r="BH57" s="186">
        <v>0</v>
      </c>
      <c r="BI57" s="186">
        <v>0</v>
      </c>
      <c r="BJ57" s="186">
        <v>0</v>
      </c>
      <c r="BK57" s="186">
        <v>1</v>
      </c>
      <c r="BL57" s="186">
        <v>0</v>
      </c>
      <c r="BM57" s="186">
        <v>1</v>
      </c>
      <c r="BN57" s="186">
        <v>0</v>
      </c>
      <c r="BO57" s="186">
        <v>0</v>
      </c>
      <c r="BP57" s="186">
        <v>0</v>
      </c>
      <c r="BQ57" s="186">
        <v>0</v>
      </c>
      <c r="BR57" s="186">
        <v>0</v>
      </c>
      <c r="BS57" s="186">
        <v>0</v>
      </c>
      <c r="BT57" s="186">
        <v>0</v>
      </c>
      <c r="BU57" s="186">
        <v>0</v>
      </c>
      <c r="BV57" s="190" t="s">
        <v>1120</v>
      </c>
      <c r="BW57" s="186">
        <v>0</v>
      </c>
      <c r="BX57" s="186">
        <v>0</v>
      </c>
      <c r="BY57" s="186">
        <v>0</v>
      </c>
      <c r="BZ57" s="186">
        <v>0</v>
      </c>
      <c r="CA57" s="186" t="s">
        <v>947</v>
      </c>
      <c r="CB57" s="186">
        <v>0</v>
      </c>
      <c r="CC57" s="186" t="s">
        <v>947</v>
      </c>
      <c r="CD57" s="186">
        <v>1</v>
      </c>
      <c r="CE57" s="186" t="s">
        <v>946</v>
      </c>
      <c r="CF57" s="186" t="s">
        <v>1121</v>
      </c>
      <c r="CG57" s="186">
        <v>1</v>
      </c>
      <c r="CH57" s="186" t="s">
        <v>1122</v>
      </c>
      <c r="CI57" s="186">
        <v>0</v>
      </c>
      <c r="CJ57" s="186" t="s">
        <v>947</v>
      </c>
      <c r="CK57" s="186" t="s">
        <v>947</v>
      </c>
      <c r="CL57" s="186">
        <v>0</v>
      </c>
      <c r="CM57" s="186" t="s">
        <v>947</v>
      </c>
      <c r="CN57" s="186" t="s">
        <v>947</v>
      </c>
      <c r="CO57" s="190" t="s">
        <v>1086</v>
      </c>
      <c r="CP57" s="186" t="s">
        <v>1123</v>
      </c>
      <c r="CQ57" s="190" t="s">
        <v>1124</v>
      </c>
      <c r="CR57" s="186">
        <v>0</v>
      </c>
      <c r="CS57" s="186" t="s">
        <v>947</v>
      </c>
      <c r="CT57" s="186" t="s">
        <v>947</v>
      </c>
      <c r="CU57" s="186">
        <v>0</v>
      </c>
      <c r="CV57" s="186" t="s">
        <v>947</v>
      </c>
      <c r="CW57" s="186" t="s">
        <v>947</v>
      </c>
      <c r="CX57" s="186">
        <v>1</v>
      </c>
      <c r="CY57" s="186">
        <v>2021.1</v>
      </c>
      <c r="CZ57" s="186">
        <v>2</v>
      </c>
      <c r="DA57" s="186"/>
      <c r="DB57" s="187"/>
    </row>
    <row r="58" spans="1:106" s="189" customFormat="1">
      <c r="A58" s="185" t="s">
        <v>270</v>
      </c>
      <c r="B58" s="185">
        <v>22105580</v>
      </c>
      <c r="C58" s="185" t="s">
        <v>271</v>
      </c>
      <c r="D58" s="228"/>
      <c r="E58" s="185"/>
      <c r="F58" s="185"/>
      <c r="G58" s="229"/>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c r="AX58" s="185"/>
      <c r="AY58" s="185"/>
      <c r="AZ58" s="185"/>
      <c r="BA58" s="185"/>
      <c r="BB58" s="185"/>
      <c r="BC58" s="185"/>
      <c r="BD58" s="185"/>
      <c r="BE58" s="185"/>
      <c r="BF58" s="185"/>
      <c r="BG58" s="185"/>
      <c r="BH58" s="185"/>
      <c r="BI58" s="185"/>
      <c r="BJ58" s="185"/>
      <c r="BK58" s="185"/>
      <c r="BL58" s="185"/>
      <c r="BM58" s="185"/>
      <c r="BN58" s="185"/>
      <c r="BO58" s="185"/>
      <c r="BP58" s="185"/>
      <c r="BQ58" s="185"/>
      <c r="BR58" s="185"/>
      <c r="BS58" s="185"/>
      <c r="BT58" s="185"/>
      <c r="BU58" s="185"/>
      <c r="BV58" s="185"/>
      <c r="BW58" s="185"/>
      <c r="BX58" s="185"/>
      <c r="BY58" s="185"/>
      <c r="BZ58" s="185"/>
      <c r="CA58" s="185"/>
      <c r="CB58" s="185"/>
      <c r="CC58" s="185"/>
      <c r="CD58" s="185"/>
      <c r="CE58" s="185"/>
      <c r="CF58" s="185"/>
      <c r="CG58" s="185"/>
      <c r="CH58" s="185"/>
      <c r="CI58" s="185"/>
      <c r="CJ58" s="185"/>
      <c r="CK58" s="185"/>
      <c r="CL58" s="185"/>
      <c r="CM58" s="185"/>
      <c r="CN58" s="185"/>
      <c r="CO58" s="185"/>
      <c r="CP58" s="185"/>
      <c r="CQ58" s="185"/>
      <c r="CR58" s="185"/>
      <c r="CS58" s="185"/>
      <c r="CT58" s="185"/>
      <c r="CU58" s="185"/>
      <c r="CV58" s="185"/>
      <c r="CW58" s="185"/>
      <c r="CX58" s="185"/>
      <c r="CY58" s="185"/>
      <c r="CZ58" s="185"/>
      <c r="DA58" s="185"/>
    </row>
    <row r="59" spans="1:106" s="189" customFormat="1">
      <c r="A59" s="185" t="s">
        <v>273</v>
      </c>
      <c r="B59" s="185">
        <v>22105942</v>
      </c>
      <c r="C59" s="185" t="s">
        <v>274</v>
      </c>
      <c r="D59" s="228"/>
      <c r="E59" s="185"/>
      <c r="F59" s="185"/>
      <c r="G59" s="229"/>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c r="AX59" s="185"/>
      <c r="AY59" s="185"/>
      <c r="AZ59" s="185"/>
      <c r="BA59" s="185"/>
      <c r="BB59" s="185"/>
      <c r="BC59" s="185"/>
      <c r="BD59" s="185"/>
      <c r="BE59" s="185"/>
      <c r="BF59" s="185"/>
      <c r="BG59" s="185"/>
      <c r="BH59" s="185"/>
      <c r="BI59" s="185"/>
      <c r="BJ59" s="185"/>
      <c r="BK59" s="185"/>
      <c r="BL59" s="185"/>
      <c r="BM59" s="185"/>
      <c r="BN59" s="185"/>
      <c r="BO59" s="185"/>
      <c r="BP59" s="185"/>
      <c r="BQ59" s="185"/>
      <c r="BR59" s="185"/>
      <c r="BS59" s="185"/>
      <c r="BT59" s="185"/>
      <c r="BU59" s="185"/>
      <c r="BV59" s="185"/>
      <c r="BW59" s="185"/>
      <c r="BX59" s="185"/>
      <c r="BY59" s="185"/>
      <c r="BZ59" s="185"/>
      <c r="CA59" s="185"/>
      <c r="CB59" s="185"/>
      <c r="CC59" s="185"/>
      <c r="CD59" s="185"/>
      <c r="CE59" s="185"/>
      <c r="CF59" s="185"/>
      <c r="CG59" s="185"/>
      <c r="CH59" s="185"/>
      <c r="CI59" s="185"/>
      <c r="CJ59" s="185"/>
      <c r="CK59" s="185"/>
      <c r="CL59" s="185"/>
      <c r="CM59" s="185"/>
      <c r="CN59" s="185"/>
      <c r="CO59" s="185"/>
      <c r="CP59" s="185"/>
      <c r="CQ59" s="185"/>
      <c r="CR59" s="185"/>
      <c r="CS59" s="185"/>
      <c r="CT59" s="185"/>
      <c r="CU59" s="185"/>
      <c r="CV59" s="185"/>
      <c r="CW59" s="185"/>
      <c r="CX59" s="185"/>
      <c r="CY59" s="185"/>
      <c r="CZ59" s="185"/>
      <c r="DA59" s="185"/>
    </row>
    <row r="60" spans="1:106" s="110" customFormat="1">
      <c r="A60" s="107" t="s">
        <v>278</v>
      </c>
      <c r="B60" s="107">
        <v>22106996</v>
      </c>
      <c r="C60" s="107" t="s">
        <v>279</v>
      </c>
      <c r="D60" s="108"/>
      <c r="E60" s="107"/>
      <c r="F60" s="107"/>
      <c r="G60" s="109"/>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row>
    <row r="61" spans="1:106" s="110" customFormat="1">
      <c r="A61" s="107" t="s">
        <v>283</v>
      </c>
      <c r="B61" s="107">
        <v>22106997</v>
      </c>
      <c r="C61" s="107" t="s">
        <v>284</v>
      </c>
      <c r="D61" s="108"/>
      <c r="E61" s="107"/>
      <c r="F61" s="107"/>
      <c r="G61" s="109"/>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row>
    <row r="62" spans="1:106" s="110" customFormat="1">
      <c r="A62" s="107" t="s">
        <v>286</v>
      </c>
      <c r="B62" s="107">
        <v>22108155</v>
      </c>
      <c r="C62" s="107" t="s">
        <v>287</v>
      </c>
      <c r="D62" s="107"/>
      <c r="E62" s="107"/>
      <c r="F62" s="107"/>
      <c r="G62" s="109"/>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row>
    <row r="63" spans="1:106" s="193" customFormat="1">
      <c r="A63" s="194" t="s">
        <v>291</v>
      </c>
      <c r="B63" s="194">
        <v>22106340</v>
      </c>
      <c r="C63" s="194" t="s">
        <v>292</v>
      </c>
      <c r="D63" s="200"/>
      <c r="E63" s="194"/>
      <c r="F63" s="194"/>
      <c r="G63" s="232"/>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c r="AF63" s="194"/>
      <c r="AG63" s="194"/>
      <c r="AH63" s="194"/>
      <c r="AI63" s="194"/>
      <c r="AJ63" s="194"/>
      <c r="AK63" s="194"/>
      <c r="AL63" s="194"/>
      <c r="AM63" s="194"/>
      <c r="AN63" s="194"/>
      <c r="AO63" s="194"/>
      <c r="AP63" s="194"/>
      <c r="AQ63" s="194"/>
      <c r="AR63" s="194"/>
      <c r="AS63" s="194"/>
      <c r="AT63" s="194"/>
      <c r="AU63" s="194"/>
      <c r="AV63" s="194"/>
      <c r="AW63" s="194"/>
      <c r="AX63" s="194"/>
      <c r="AY63" s="194"/>
      <c r="AZ63" s="194"/>
      <c r="BA63" s="194"/>
      <c r="BB63" s="194"/>
      <c r="BC63" s="194"/>
      <c r="BD63" s="194"/>
      <c r="BE63" s="194"/>
      <c r="BF63" s="194"/>
      <c r="BG63" s="194"/>
      <c r="BH63" s="194"/>
      <c r="BI63" s="194"/>
      <c r="BJ63" s="194"/>
      <c r="BK63" s="194"/>
      <c r="BL63" s="194"/>
      <c r="BM63" s="194"/>
      <c r="BN63" s="194"/>
      <c r="BO63" s="194"/>
      <c r="BP63" s="194"/>
      <c r="BQ63" s="194"/>
      <c r="BR63" s="194"/>
      <c r="BS63" s="194"/>
      <c r="BT63" s="194"/>
      <c r="BU63" s="194"/>
      <c r="BV63" s="194"/>
      <c r="BW63" s="194"/>
      <c r="BX63" s="194"/>
      <c r="BY63" s="194"/>
      <c r="BZ63" s="194"/>
      <c r="CA63" s="194"/>
      <c r="CB63" s="194"/>
      <c r="CC63" s="194"/>
      <c r="CD63" s="194"/>
      <c r="CE63" s="194"/>
      <c r="CF63" s="194"/>
      <c r="CG63" s="194"/>
      <c r="CH63" s="194"/>
      <c r="CI63" s="194"/>
      <c r="CJ63" s="194"/>
      <c r="CK63" s="194"/>
      <c r="CL63" s="194"/>
      <c r="CM63" s="194"/>
      <c r="CN63" s="194"/>
      <c r="CO63" s="194"/>
      <c r="CP63" s="194"/>
      <c r="CQ63" s="194"/>
      <c r="CR63" s="194"/>
      <c r="CS63" s="194"/>
      <c r="CT63" s="194"/>
      <c r="CU63" s="194"/>
      <c r="CV63" s="194"/>
      <c r="CW63" s="194"/>
      <c r="CX63" s="194"/>
      <c r="CY63" s="194"/>
      <c r="CZ63" s="194"/>
      <c r="DA63" s="194"/>
    </row>
    <row r="64" spans="1:106" s="189" customFormat="1">
      <c r="A64" s="185" t="s">
        <v>296</v>
      </c>
      <c r="B64" s="186">
        <v>22103195</v>
      </c>
      <c r="C64" s="190" t="s">
        <v>1138</v>
      </c>
      <c r="D64" s="188">
        <v>44735</v>
      </c>
      <c r="E64" s="186">
        <v>86.7</v>
      </c>
      <c r="F64" s="186">
        <v>12.3</v>
      </c>
      <c r="G64" s="191">
        <v>16.36</v>
      </c>
      <c r="H64" s="186">
        <v>68.5</v>
      </c>
      <c r="I64" s="186">
        <v>30</v>
      </c>
      <c r="J64" s="186">
        <v>2</v>
      </c>
      <c r="K64" s="186">
        <v>1</v>
      </c>
      <c r="L64" s="186">
        <v>2</v>
      </c>
      <c r="M64" s="186">
        <v>0</v>
      </c>
      <c r="N64" s="186">
        <v>6</v>
      </c>
      <c r="O64" s="186">
        <v>8</v>
      </c>
      <c r="P64" s="186">
        <v>1390</v>
      </c>
      <c r="Q64" s="186">
        <v>40</v>
      </c>
      <c r="R64" s="186">
        <v>29</v>
      </c>
      <c r="S64" s="186">
        <v>25</v>
      </c>
      <c r="T64" s="188">
        <v>32555</v>
      </c>
      <c r="U64" s="186">
        <v>31.01</v>
      </c>
      <c r="V64" s="186">
        <v>1</v>
      </c>
      <c r="W64" s="186">
        <v>1</v>
      </c>
      <c r="X64" s="186">
        <v>1</v>
      </c>
      <c r="Y64" s="186">
        <v>2</v>
      </c>
      <c r="Z64" s="186">
        <v>0</v>
      </c>
      <c r="AA64" s="186">
        <v>1</v>
      </c>
      <c r="AB64" s="186">
        <v>1</v>
      </c>
      <c r="AC64" s="186">
        <v>0</v>
      </c>
      <c r="AD64" s="186">
        <v>0</v>
      </c>
      <c r="AE64" s="186">
        <v>0</v>
      </c>
      <c r="AF64" s="186">
        <v>0</v>
      </c>
      <c r="AG64" s="186">
        <v>0</v>
      </c>
      <c r="AH64" s="186">
        <v>0</v>
      </c>
      <c r="AI64" s="186">
        <v>0</v>
      </c>
      <c r="AJ64" s="186">
        <v>0</v>
      </c>
      <c r="AK64" s="186">
        <v>0</v>
      </c>
      <c r="AL64" s="186">
        <v>0</v>
      </c>
      <c r="AM64" s="186">
        <v>0</v>
      </c>
      <c r="AN64" s="186">
        <v>0</v>
      </c>
      <c r="AO64" s="186">
        <v>0</v>
      </c>
      <c r="AP64" s="186">
        <v>0</v>
      </c>
      <c r="AQ64" s="186">
        <v>0</v>
      </c>
      <c r="AR64" s="186" t="s">
        <v>954</v>
      </c>
      <c r="AS64" s="186">
        <v>1</v>
      </c>
      <c r="AT64" s="186">
        <v>0</v>
      </c>
      <c r="AU64" s="186">
        <v>1</v>
      </c>
      <c r="AV64" s="186">
        <v>0</v>
      </c>
      <c r="AW64" s="186">
        <v>0</v>
      </c>
      <c r="AX64" s="186">
        <v>0</v>
      </c>
      <c r="AY64" s="186">
        <v>1</v>
      </c>
      <c r="AZ64" s="186">
        <v>0</v>
      </c>
      <c r="BA64" s="186">
        <v>0</v>
      </c>
      <c r="BB64" s="186" t="s">
        <v>1139</v>
      </c>
      <c r="BC64" s="186">
        <v>0</v>
      </c>
      <c r="BD64" s="186">
        <v>0</v>
      </c>
      <c r="BE64" s="186">
        <v>0</v>
      </c>
      <c r="BF64" s="186">
        <v>0</v>
      </c>
      <c r="BG64" s="186">
        <v>0</v>
      </c>
      <c r="BH64" s="186">
        <v>0</v>
      </c>
      <c r="BI64" s="186">
        <v>0</v>
      </c>
      <c r="BJ64" s="186">
        <v>0</v>
      </c>
      <c r="BK64" s="186">
        <v>1</v>
      </c>
      <c r="BL64" s="186">
        <v>0</v>
      </c>
      <c r="BM64" s="186" t="s">
        <v>1140</v>
      </c>
      <c r="BN64" s="186">
        <v>0</v>
      </c>
      <c r="BO64" s="186">
        <v>0</v>
      </c>
      <c r="BP64" s="186">
        <v>0</v>
      </c>
      <c r="BQ64" s="186">
        <v>0</v>
      </c>
      <c r="BR64" s="186">
        <v>0</v>
      </c>
      <c r="BS64" s="186">
        <v>0</v>
      </c>
      <c r="BT64" s="186">
        <v>0</v>
      </c>
      <c r="BU64" s="186">
        <v>0</v>
      </c>
      <c r="BV64" s="186">
        <v>0</v>
      </c>
      <c r="BW64" s="186">
        <v>0</v>
      </c>
      <c r="BX64" s="186">
        <v>0</v>
      </c>
      <c r="BY64" s="186">
        <v>0</v>
      </c>
      <c r="BZ64" s="186">
        <v>1</v>
      </c>
      <c r="CA64" s="186" t="s">
        <v>1141</v>
      </c>
      <c r="CB64" s="186">
        <v>1</v>
      </c>
      <c r="CC64" s="190" t="s">
        <v>1035</v>
      </c>
      <c r="CD64" s="186">
        <v>1</v>
      </c>
      <c r="CE64" s="190" t="s">
        <v>1142</v>
      </c>
      <c r="CF64" s="190" t="s">
        <v>1143</v>
      </c>
      <c r="CG64" s="186">
        <v>1</v>
      </c>
      <c r="CH64" s="186" t="s">
        <v>1144</v>
      </c>
      <c r="CI64" s="186">
        <v>1</v>
      </c>
      <c r="CJ64" s="186" t="s">
        <v>1145</v>
      </c>
      <c r="CK64" s="190" t="s">
        <v>1146</v>
      </c>
      <c r="CL64" s="186">
        <v>1</v>
      </c>
      <c r="CM64" s="186" t="s">
        <v>1147</v>
      </c>
      <c r="CN64" s="190" t="s">
        <v>1025</v>
      </c>
      <c r="CO64" s="190" t="s">
        <v>1060</v>
      </c>
      <c r="CP64" s="186" t="s">
        <v>1148</v>
      </c>
      <c r="CQ64" s="190" t="s">
        <v>993</v>
      </c>
      <c r="CR64" s="186">
        <v>0</v>
      </c>
      <c r="CS64" s="186" t="s">
        <v>947</v>
      </c>
      <c r="CT64" s="186" t="s">
        <v>947</v>
      </c>
      <c r="CU64" s="186">
        <v>0</v>
      </c>
      <c r="CV64" s="186" t="s">
        <v>947</v>
      </c>
      <c r="CW64" s="186" t="s">
        <v>947</v>
      </c>
      <c r="CX64" s="186">
        <v>1</v>
      </c>
      <c r="CY64" s="190" t="s">
        <v>1149</v>
      </c>
      <c r="CZ64" s="186">
        <v>2</v>
      </c>
      <c r="DA64" s="186"/>
      <c r="DB64" s="187"/>
    </row>
    <row r="65" spans="1:106" s="189" customFormat="1">
      <c r="A65" s="185" t="s">
        <v>301</v>
      </c>
      <c r="B65" s="185">
        <v>22107168</v>
      </c>
      <c r="C65" s="185" t="s">
        <v>302</v>
      </c>
      <c r="D65" s="228"/>
      <c r="E65" s="185"/>
      <c r="F65" s="185"/>
      <c r="G65" s="229"/>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c r="BN65" s="185"/>
      <c r="BO65" s="185"/>
      <c r="BP65" s="185"/>
      <c r="BQ65" s="185"/>
      <c r="BR65" s="185"/>
      <c r="BS65" s="185"/>
      <c r="BT65" s="185"/>
      <c r="BU65" s="185"/>
      <c r="BV65" s="185"/>
      <c r="BW65" s="185"/>
      <c r="BX65" s="185"/>
      <c r="BY65" s="185"/>
      <c r="BZ65" s="185"/>
      <c r="CA65" s="185"/>
      <c r="CB65" s="185"/>
      <c r="CC65" s="185"/>
      <c r="CD65" s="185"/>
      <c r="CE65" s="185"/>
      <c r="CF65" s="185"/>
      <c r="CG65" s="185"/>
      <c r="CH65" s="185"/>
      <c r="CI65" s="185"/>
      <c r="CJ65" s="185"/>
      <c r="CK65" s="185"/>
      <c r="CL65" s="185"/>
      <c r="CM65" s="185"/>
      <c r="CN65" s="185"/>
      <c r="CO65" s="185"/>
      <c r="CP65" s="185"/>
      <c r="CQ65" s="185"/>
      <c r="CR65" s="185"/>
      <c r="CS65" s="185"/>
      <c r="CT65" s="185"/>
      <c r="CU65" s="185"/>
      <c r="CV65" s="185"/>
      <c r="CW65" s="185"/>
      <c r="CX65" s="185"/>
      <c r="CY65" s="185"/>
      <c r="CZ65" s="185"/>
      <c r="DA65" s="185"/>
    </row>
    <row r="66" spans="1:106" s="193" customFormat="1">
      <c r="A66" s="192" t="s">
        <v>306</v>
      </c>
      <c r="B66" s="192">
        <v>22107334</v>
      </c>
      <c r="C66" s="192" t="s">
        <v>307</v>
      </c>
      <c r="D66" s="192"/>
      <c r="E66" s="192"/>
      <c r="F66" s="192"/>
      <c r="G66" s="231"/>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row>
    <row r="67" spans="1:106" s="193" customFormat="1">
      <c r="A67" s="192" t="s">
        <v>309</v>
      </c>
      <c r="B67" s="192">
        <v>22107336</v>
      </c>
      <c r="C67" s="192" t="s">
        <v>310</v>
      </c>
      <c r="D67" s="192"/>
      <c r="E67" s="192"/>
      <c r="F67" s="192"/>
      <c r="G67" s="231"/>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c r="BZ67" s="192"/>
      <c r="CA67" s="192"/>
      <c r="CB67" s="192"/>
      <c r="CC67" s="192"/>
      <c r="CD67" s="192"/>
      <c r="CE67" s="192"/>
      <c r="CF67" s="192"/>
      <c r="CG67" s="192"/>
      <c r="CH67" s="192"/>
      <c r="CI67" s="192"/>
      <c r="CJ67" s="192"/>
      <c r="CK67" s="192"/>
      <c r="CL67" s="192"/>
      <c r="CM67" s="192"/>
      <c r="CN67" s="192"/>
      <c r="CO67" s="192"/>
      <c r="CP67" s="192"/>
      <c r="CQ67" s="192"/>
      <c r="CR67" s="192"/>
      <c r="CS67" s="192"/>
      <c r="CT67" s="192"/>
      <c r="CU67" s="192"/>
      <c r="CV67" s="192"/>
      <c r="CW67" s="192"/>
      <c r="CX67" s="192"/>
      <c r="CY67" s="192"/>
      <c r="CZ67" s="192"/>
      <c r="DA67" s="192"/>
    </row>
    <row r="68" spans="1:106" s="189" customFormat="1">
      <c r="A68" s="185" t="s">
        <v>312</v>
      </c>
      <c r="B68" s="185">
        <v>22106885</v>
      </c>
      <c r="C68" s="185" t="s">
        <v>313</v>
      </c>
      <c r="D68" s="228"/>
      <c r="E68" s="185"/>
      <c r="F68" s="185"/>
      <c r="G68" s="229"/>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185"/>
      <c r="BH68" s="185"/>
      <c r="BI68" s="185"/>
      <c r="BJ68" s="185"/>
      <c r="BK68" s="185"/>
      <c r="BL68" s="185"/>
      <c r="BM68" s="185"/>
      <c r="BN68" s="185"/>
      <c r="BO68" s="185"/>
      <c r="BP68" s="185"/>
      <c r="BQ68" s="185"/>
      <c r="BR68" s="185"/>
      <c r="BS68" s="185"/>
      <c r="BT68" s="185"/>
      <c r="BU68" s="185"/>
      <c r="BV68" s="185"/>
      <c r="BW68" s="185"/>
      <c r="BX68" s="185"/>
      <c r="BY68" s="185"/>
      <c r="BZ68" s="185"/>
      <c r="CA68" s="185"/>
      <c r="CB68" s="185"/>
      <c r="CC68" s="185"/>
      <c r="CD68" s="185"/>
      <c r="CE68" s="185"/>
      <c r="CF68" s="185"/>
      <c r="CG68" s="185"/>
      <c r="CH68" s="185"/>
      <c r="CI68" s="185"/>
      <c r="CJ68" s="185"/>
      <c r="CK68" s="185"/>
      <c r="CL68" s="185"/>
      <c r="CM68" s="185"/>
      <c r="CN68" s="185"/>
      <c r="CO68" s="185"/>
      <c r="CP68" s="185"/>
      <c r="CQ68" s="185"/>
      <c r="CR68" s="185"/>
      <c r="CS68" s="185"/>
      <c r="CT68" s="185"/>
      <c r="CU68" s="185"/>
      <c r="CV68" s="185"/>
      <c r="CW68" s="185"/>
      <c r="CX68" s="185"/>
      <c r="CY68" s="185"/>
      <c r="CZ68" s="185"/>
      <c r="DA68" s="185"/>
    </row>
    <row r="69" spans="1:106" s="189" customFormat="1">
      <c r="A69" s="185" t="s">
        <v>316</v>
      </c>
      <c r="B69" s="185">
        <v>22106005</v>
      </c>
      <c r="C69" s="185" t="s">
        <v>317</v>
      </c>
      <c r="D69" s="228"/>
      <c r="E69" s="185"/>
      <c r="F69" s="185"/>
      <c r="G69" s="229"/>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185"/>
      <c r="BU69" s="185"/>
      <c r="BV69" s="185"/>
      <c r="BW69" s="185"/>
      <c r="BX69" s="185"/>
      <c r="BY69" s="185"/>
      <c r="BZ69" s="185"/>
      <c r="CA69" s="185"/>
      <c r="CB69" s="185"/>
      <c r="CC69" s="185"/>
      <c r="CD69" s="185"/>
      <c r="CE69" s="185"/>
      <c r="CF69" s="185"/>
      <c r="CG69" s="185"/>
      <c r="CH69" s="185"/>
      <c r="CI69" s="185"/>
      <c r="CJ69" s="185"/>
      <c r="CK69" s="185"/>
      <c r="CL69" s="185"/>
      <c r="CM69" s="185"/>
      <c r="CN69" s="185"/>
      <c r="CO69" s="185"/>
      <c r="CP69" s="185"/>
      <c r="CQ69" s="185"/>
      <c r="CR69" s="185"/>
      <c r="CS69" s="185"/>
      <c r="CT69" s="185"/>
      <c r="CU69" s="185"/>
      <c r="CV69" s="185"/>
      <c r="CW69" s="185"/>
      <c r="CX69" s="185"/>
      <c r="CY69" s="185"/>
      <c r="CZ69" s="185"/>
      <c r="DA69" s="185"/>
    </row>
    <row r="70" spans="1:106" s="110" customFormat="1">
      <c r="A70" s="107" t="s">
        <v>320</v>
      </c>
      <c r="B70" s="107">
        <v>22108151</v>
      </c>
      <c r="C70" s="107" t="s">
        <v>321</v>
      </c>
      <c r="D70" s="107"/>
      <c r="E70" s="107"/>
      <c r="F70" s="107"/>
      <c r="G70" s="109"/>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row>
    <row r="71" spans="1:106" s="193" customFormat="1">
      <c r="A71" s="194" t="s">
        <v>325</v>
      </c>
      <c r="B71" s="194">
        <v>22108143</v>
      </c>
      <c r="C71" s="194" t="s">
        <v>326</v>
      </c>
      <c r="D71" s="194"/>
      <c r="E71" s="194"/>
      <c r="F71" s="194"/>
      <c r="G71" s="232"/>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c r="AF71" s="194"/>
      <c r="AG71" s="194"/>
      <c r="AH71" s="194"/>
      <c r="AI71" s="194"/>
      <c r="AJ71" s="194"/>
      <c r="AK71" s="194"/>
      <c r="AL71" s="194"/>
      <c r="AM71" s="194"/>
      <c r="AN71" s="194"/>
      <c r="AO71" s="194"/>
      <c r="AP71" s="194"/>
      <c r="AQ71" s="194"/>
      <c r="AR71" s="194"/>
      <c r="AS71" s="194"/>
      <c r="AT71" s="194"/>
      <c r="AU71" s="194"/>
      <c r="AV71" s="194"/>
      <c r="AW71" s="194"/>
      <c r="AX71" s="194"/>
      <c r="AY71" s="194"/>
      <c r="AZ71" s="194"/>
      <c r="BA71" s="194"/>
      <c r="BB71" s="194"/>
      <c r="BC71" s="194"/>
      <c r="BD71" s="194"/>
      <c r="BE71" s="194"/>
      <c r="BF71" s="194"/>
      <c r="BG71" s="194"/>
      <c r="BH71" s="194"/>
      <c r="BI71" s="194"/>
      <c r="BJ71" s="194"/>
      <c r="BK71" s="194"/>
      <c r="BL71" s="194"/>
      <c r="BM71" s="194"/>
      <c r="BN71" s="194"/>
      <c r="BO71" s="194"/>
      <c r="BP71" s="194"/>
      <c r="BQ71" s="194"/>
      <c r="BR71" s="194"/>
      <c r="BS71" s="194"/>
      <c r="BT71" s="194"/>
      <c r="BU71" s="194"/>
      <c r="BV71" s="194"/>
      <c r="BW71" s="194"/>
      <c r="BX71" s="194"/>
      <c r="BY71" s="194"/>
      <c r="BZ71" s="194"/>
      <c r="CA71" s="194"/>
      <c r="CB71" s="194"/>
      <c r="CC71" s="194"/>
      <c r="CD71" s="194"/>
      <c r="CE71" s="194"/>
      <c r="CF71" s="194"/>
      <c r="CG71" s="194"/>
      <c r="CH71" s="194"/>
      <c r="CI71" s="194"/>
      <c r="CJ71" s="194"/>
      <c r="CK71" s="194"/>
      <c r="CL71" s="194"/>
      <c r="CM71" s="194"/>
      <c r="CN71" s="194"/>
      <c r="CO71" s="194"/>
      <c r="CP71" s="194"/>
      <c r="CQ71" s="194"/>
      <c r="CR71" s="194"/>
      <c r="CS71" s="194"/>
      <c r="CT71" s="194"/>
      <c r="CU71" s="194"/>
      <c r="CV71" s="194"/>
      <c r="CW71" s="194"/>
      <c r="CX71" s="194"/>
      <c r="CY71" s="194"/>
      <c r="CZ71" s="194"/>
      <c r="DA71" s="194"/>
    </row>
    <row r="72" spans="1:106" s="110" customFormat="1">
      <c r="A72" s="107" t="s">
        <v>329</v>
      </c>
      <c r="B72" s="107">
        <v>22107452</v>
      </c>
      <c r="C72" s="107" t="s">
        <v>330</v>
      </c>
      <c r="D72" s="107"/>
      <c r="E72" s="107"/>
      <c r="F72" s="107"/>
      <c r="G72" s="109"/>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row>
    <row r="73" spans="1:106" s="110" customFormat="1">
      <c r="A73" s="107" t="s">
        <v>333</v>
      </c>
      <c r="B73" s="107">
        <v>22105672</v>
      </c>
      <c r="C73" s="107" t="s">
        <v>334</v>
      </c>
      <c r="D73" s="108"/>
      <c r="E73" s="107"/>
      <c r="F73" s="107"/>
      <c r="G73" s="109"/>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row>
    <row r="74" spans="1:106" s="193" customFormat="1">
      <c r="A74" s="192" t="s">
        <v>337</v>
      </c>
      <c r="B74" s="192">
        <v>22108394</v>
      </c>
      <c r="C74" s="192" t="s">
        <v>338</v>
      </c>
      <c r="D74" s="192"/>
      <c r="E74" s="194"/>
      <c r="F74" s="194"/>
      <c r="G74" s="232"/>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c r="AF74" s="194"/>
      <c r="AG74" s="194"/>
      <c r="AH74" s="194"/>
      <c r="AI74" s="194"/>
      <c r="AJ74" s="194"/>
      <c r="AK74" s="194"/>
      <c r="AL74" s="194"/>
      <c r="AM74" s="194"/>
      <c r="AN74" s="194"/>
      <c r="AO74" s="194"/>
      <c r="AP74" s="194"/>
      <c r="AQ74" s="194"/>
      <c r="AR74" s="194"/>
      <c r="AS74" s="194"/>
      <c r="AT74" s="194"/>
      <c r="AU74" s="194"/>
      <c r="AV74" s="194"/>
      <c r="AW74" s="194"/>
      <c r="AX74" s="194"/>
      <c r="AY74" s="194"/>
      <c r="AZ74" s="194"/>
      <c r="BA74" s="194"/>
      <c r="BB74" s="194"/>
      <c r="BC74" s="194"/>
      <c r="BD74" s="194"/>
      <c r="BE74" s="194"/>
      <c r="BF74" s="194"/>
      <c r="BG74" s="194"/>
      <c r="BH74" s="194"/>
      <c r="BI74" s="194"/>
      <c r="BJ74" s="194"/>
      <c r="BK74" s="194"/>
      <c r="BL74" s="194"/>
      <c r="BM74" s="194"/>
      <c r="BN74" s="194"/>
      <c r="BO74" s="194"/>
      <c r="BP74" s="194"/>
      <c r="BQ74" s="194"/>
      <c r="BR74" s="194"/>
      <c r="BS74" s="194"/>
      <c r="BT74" s="194"/>
      <c r="BU74" s="194"/>
      <c r="BV74" s="194"/>
      <c r="BW74" s="194"/>
      <c r="BX74" s="194"/>
      <c r="BY74" s="194"/>
      <c r="BZ74" s="194"/>
      <c r="CA74" s="194"/>
      <c r="CB74" s="194"/>
      <c r="CC74" s="194"/>
      <c r="CD74" s="194"/>
      <c r="CE74" s="194"/>
      <c r="CF74" s="194"/>
      <c r="CG74" s="194"/>
      <c r="CH74" s="194"/>
      <c r="CI74" s="194"/>
      <c r="CJ74" s="194"/>
      <c r="CK74" s="194"/>
      <c r="CL74" s="194"/>
      <c r="CM74" s="194"/>
      <c r="CN74" s="194"/>
      <c r="CO74" s="194"/>
      <c r="CP74" s="194"/>
      <c r="CQ74" s="194"/>
      <c r="CR74" s="194"/>
      <c r="CS74" s="194"/>
      <c r="CT74" s="194"/>
      <c r="CU74" s="194"/>
      <c r="CV74" s="194"/>
      <c r="CW74" s="194"/>
      <c r="CX74" s="194"/>
      <c r="CY74" s="194"/>
      <c r="CZ74" s="194"/>
      <c r="DA74" s="194"/>
    </row>
    <row r="75" spans="1:106" s="193" customFormat="1">
      <c r="A75" s="192" t="s">
        <v>341</v>
      </c>
      <c r="B75" s="192">
        <v>22108395</v>
      </c>
      <c r="C75" s="192" t="s">
        <v>342</v>
      </c>
      <c r="D75" s="192"/>
      <c r="E75" s="194"/>
      <c r="F75" s="194"/>
      <c r="G75" s="232"/>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c r="AO75" s="194"/>
      <c r="AP75" s="194"/>
      <c r="AQ75" s="194"/>
      <c r="AR75" s="194"/>
      <c r="AS75" s="194"/>
      <c r="AT75" s="194"/>
      <c r="AU75" s="194"/>
      <c r="AV75" s="194"/>
      <c r="AW75" s="194"/>
      <c r="AX75" s="194"/>
      <c r="AY75" s="194"/>
      <c r="AZ75" s="194"/>
      <c r="BA75" s="194"/>
      <c r="BB75" s="194"/>
      <c r="BC75" s="194"/>
      <c r="BD75" s="194"/>
      <c r="BE75" s="194"/>
      <c r="BF75" s="194"/>
      <c r="BG75" s="194"/>
      <c r="BH75" s="194"/>
      <c r="BI75" s="194"/>
      <c r="BJ75" s="194"/>
      <c r="BK75" s="194"/>
      <c r="BL75" s="194"/>
      <c r="BM75" s="194"/>
      <c r="BN75" s="194"/>
      <c r="BO75" s="194"/>
      <c r="BP75" s="194"/>
      <c r="BQ75" s="194"/>
      <c r="BR75" s="194"/>
      <c r="BS75" s="194"/>
      <c r="BT75" s="194"/>
      <c r="BU75" s="194"/>
      <c r="BV75" s="194"/>
      <c r="BW75" s="194"/>
      <c r="BX75" s="194"/>
      <c r="BY75" s="194"/>
      <c r="BZ75" s="194"/>
      <c r="CA75" s="194"/>
      <c r="CB75" s="194"/>
      <c r="CC75" s="194"/>
      <c r="CD75" s="194"/>
      <c r="CE75" s="194"/>
      <c r="CF75" s="194"/>
      <c r="CG75" s="194"/>
      <c r="CH75" s="194"/>
      <c r="CI75" s="194"/>
      <c r="CJ75" s="194"/>
      <c r="CK75" s="194"/>
      <c r="CL75" s="194"/>
      <c r="CM75" s="194"/>
      <c r="CN75" s="194"/>
      <c r="CO75" s="194"/>
      <c r="CP75" s="194"/>
      <c r="CQ75" s="194"/>
      <c r="CR75" s="194"/>
      <c r="CS75" s="194"/>
      <c r="CT75" s="194"/>
      <c r="CU75" s="194"/>
      <c r="CV75" s="194"/>
      <c r="CW75" s="194"/>
      <c r="CX75" s="194"/>
      <c r="CY75" s="194"/>
      <c r="CZ75" s="194"/>
      <c r="DA75" s="194"/>
    </row>
    <row r="76" spans="1:106" s="189" customFormat="1">
      <c r="A76" s="185" t="s">
        <v>344</v>
      </c>
      <c r="B76" s="186">
        <v>21929897</v>
      </c>
      <c r="C76" s="190" t="s">
        <v>1190</v>
      </c>
      <c r="D76" s="188">
        <v>44581</v>
      </c>
      <c r="E76" s="186">
        <v>97.1</v>
      </c>
      <c r="F76" s="186">
        <v>14.3</v>
      </c>
      <c r="G76" s="191">
        <v>15.17</v>
      </c>
      <c r="H76" s="186">
        <v>48.5</v>
      </c>
      <c r="I76" s="186">
        <v>27</v>
      </c>
      <c r="J76" s="186">
        <v>2</v>
      </c>
      <c r="K76" s="186">
        <v>1</v>
      </c>
      <c r="L76" s="186">
        <v>2</v>
      </c>
      <c r="M76" s="186">
        <v>0</v>
      </c>
      <c r="N76" s="186">
        <v>8</v>
      </c>
      <c r="O76" s="186">
        <v>9</v>
      </c>
      <c r="P76" s="186">
        <v>760</v>
      </c>
      <c r="Q76" s="186">
        <v>33</v>
      </c>
      <c r="R76" s="186">
        <v>23.5</v>
      </c>
      <c r="S76" s="186">
        <v>23</v>
      </c>
      <c r="T76" s="188">
        <v>31275</v>
      </c>
      <c r="U76" s="186">
        <v>33.74</v>
      </c>
      <c r="V76" s="186">
        <v>0</v>
      </c>
      <c r="W76" s="186">
        <v>1</v>
      </c>
      <c r="X76" s="186">
        <v>1</v>
      </c>
      <c r="Y76" s="186">
        <v>1</v>
      </c>
      <c r="Z76" s="186">
        <v>0</v>
      </c>
      <c r="AA76" s="186">
        <v>0</v>
      </c>
      <c r="AB76" s="186">
        <v>0</v>
      </c>
      <c r="AC76" s="186">
        <v>0</v>
      </c>
      <c r="AD76" s="186">
        <v>0</v>
      </c>
      <c r="AE76" s="186">
        <v>0</v>
      </c>
      <c r="AF76" s="186">
        <v>0</v>
      </c>
      <c r="AG76" s="186">
        <v>0</v>
      </c>
      <c r="AH76" s="186">
        <v>1</v>
      </c>
      <c r="AI76" s="186">
        <v>0</v>
      </c>
      <c r="AJ76" s="186">
        <v>0</v>
      </c>
      <c r="AK76" s="186">
        <v>0</v>
      </c>
      <c r="AL76" s="186">
        <v>0</v>
      </c>
      <c r="AM76" s="186">
        <v>0</v>
      </c>
      <c r="AN76" s="186">
        <v>0</v>
      </c>
      <c r="AO76" s="186">
        <v>0</v>
      </c>
      <c r="AP76" s="186">
        <v>0</v>
      </c>
      <c r="AQ76" s="186">
        <v>0</v>
      </c>
      <c r="AR76" s="186">
        <v>1</v>
      </c>
      <c r="AS76" s="186">
        <v>0</v>
      </c>
      <c r="AT76" s="186">
        <v>0</v>
      </c>
      <c r="AU76" s="186">
        <v>0</v>
      </c>
      <c r="AV76" s="186">
        <v>0</v>
      </c>
      <c r="AW76" s="186">
        <v>0</v>
      </c>
      <c r="AX76" s="186">
        <v>0</v>
      </c>
      <c r="AY76" s="186">
        <v>0</v>
      </c>
      <c r="AZ76" s="186">
        <v>0</v>
      </c>
      <c r="BA76" s="186">
        <v>0</v>
      </c>
      <c r="BB76" s="186">
        <v>0</v>
      </c>
      <c r="BC76" s="186">
        <v>0</v>
      </c>
      <c r="BD76" s="186">
        <v>0</v>
      </c>
      <c r="BE76" s="186">
        <v>0</v>
      </c>
      <c r="BF76" s="186">
        <v>0</v>
      </c>
      <c r="BG76" s="186">
        <v>0</v>
      </c>
      <c r="BH76" s="186">
        <v>0</v>
      </c>
      <c r="BI76" s="186">
        <v>0</v>
      </c>
      <c r="BJ76" s="186">
        <v>0</v>
      </c>
      <c r="BK76" s="186">
        <v>1</v>
      </c>
      <c r="BL76" s="186">
        <v>1</v>
      </c>
      <c r="BM76" s="186">
        <v>1</v>
      </c>
      <c r="BN76" s="186">
        <v>0</v>
      </c>
      <c r="BO76" s="186">
        <v>0</v>
      </c>
      <c r="BP76" s="186">
        <v>0</v>
      </c>
      <c r="BQ76" s="186">
        <v>0</v>
      </c>
      <c r="BR76" s="186">
        <v>0</v>
      </c>
      <c r="BS76" s="186">
        <v>0</v>
      </c>
      <c r="BT76" s="186">
        <v>1</v>
      </c>
      <c r="BU76" s="186">
        <v>0</v>
      </c>
      <c r="BV76" s="186">
        <v>0</v>
      </c>
      <c r="BW76" s="186">
        <v>0</v>
      </c>
      <c r="BX76" s="186">
        <v>0</v>
      </c>
      <c r="BY76" s="186">
        <v>0</v>
      </c>
      <c r="BZ76" s="186">
        <v>1</v>
      </c>
      <c r="CA76" s="190" t="s">
        <v>1191</v>
      </c>
      <c r="CB76" s="186">
        <v>1</v>
      </c>
      <c r="CC76" s="190" t="s">
        <v>1057</v>
      </c>
      <c r="CD76" s="186">
        <v>1</v>
      </c>
      <c r="CE76" s="190" t="s">
        <v>1192</v>
      </c>
      <c r="CF76" s="186" t="s">
        <v>1193</v>
      </c>
      <c r="CG76" s="186">
        <v>1</v>
      </c>
      <c r="CH76" s="190" t="s">
        <v>1194</v>
      </c>
      <c r="CI76" s="186">
        <v>0</v>
      </c>
      <c r="CJ76" s="186" t="s">
        <v>947</v>
      </c>
      <c r="CK76" s="186" t="s">
        <v>947</v>
      </c>
      <c r="CL76" s="186">
        <v>1</v>
      </c>
      <c r="CM76" s="190" t="s">
        <v>1195</v>
      </c>
      <c r="CN76" s="190" t="s">
        <v>982</v>
      </c>
      <c r="CO76" s="190" t="s">
        <v>1086</v>
      </c>
      <c r="CP76" s="190" t="s">
        <v>1196</v>
      </c>
      <c r="CQ76" s="190" t="s">
        <v>993</v>
      </c>
      <c r="CR76" s="186">
        <v>0</v>
      </c>
      <c r="CS76" s="186" t="s">
        <v>947</v>
      </c>
      <c r="CT76" s="186" t="s">
        <v>947</v>
      </c>
      <c r="CU76" s="186">
        <v>0</v>
      </c>
      <c r="CV76" s="186" t="s">
        <v>947</v>
      </c>
      <c r="CW76" s="186" t="s">
        <v>947</v>
      </c>
      <c r="CX76" s="186">
        <v>1</v>
      </c>
      <c r="CY76" s="190" t="s">
        <v>1197</v>
      </c>
      <c r="CZ76" s="186">
        <v>2</v>
      </c>
      <c r="DA76" s="186"/>
      <c r="DB76" s="187"/>
    </row>
    <row r="77" spans="1:106" s="189" customFormat="1">
      <c r="A77" s="185" t="s">
        <v>349</v>
      </c>
      <c r="B77" s="186">
        <v>22102403</v>
      </c>
      <c r="C77" s="190" t="s">
        <v>1198</v>
      </c>
      <c r="D77" s="188">
        <v>44634</v>
      </c>
      <c r="E77" s="186">
        <v>78.5</v>
      </c>
      <c r="F77" s="186">
        <v>9.4</v>
      </c>
      <c r="G77" s="191">
        <v>15.25</v>
      </c>
      <c r="H77" s="186">
        <v>48.7</v>
      </c>
      <c r="I77" s="186">
        <v>30</v>
      </c>
      <c r="J77" s="186">
        <v>1</v>
      </c>
      <c r="K77" s="186">
        <v>1</v>
      </c>
      <c r="L77" s="186">
        <v>2</v>
      </c>
      <c r="M77" s="186">
        <v>0</v>
      </c>
      <c r="N77" s="186">
        <v>4</v>
      </c>
      <c r="O77" s="186">
        <v>7</v>
      </c>
      <c r="P77" s="186">
        <v>1310</v>
      </c>
      <c r="Q77" s="186">
        <v>33</v>
      </c>
      <c r="R77" s="186">
        <v>27</v>
      </c>
      <c r="S77" s="186">
        <v>24.5</v>
      </c>
      <c r="T77" s="188">
        <v>29200</v>
      </c>
      <c r="U77" s="186">
        <v>40</v>
      </c>
      <c r="V77" s="186">
        <v>2</v>
      </c>
      <c r="W77" s="186">
        <v>1</v>
      </c>
      <c r="X77" s="186">
        <v>1</v>
      </c>
      <c r="Y77" s="186">
        <v>3</v>
      </c>
      <c r="Z77" s="186">
        <v>0</v>
      </c>
      <c r="AA77" s="186">
        <v>0</v>
      </c>
      <c r="AB77" s="186">
        <v>0</v>
      </c>
      <c r="AC77" s="186">
        <v>0</v>
      </c>
      <c r="AD77" s="186">
        <v>0</v>
      </c>
      <c r="AE77" s="186">
        <v>0</v>
      </c>
      <c r="AF77" s="186">
        <v>0</v>
      </c>
      <c r="AG77" s="186">
        <v>0</v>
      </c>
      <c r="AH77" s="186">
        <v>0</v>
      </c>
      <c r="AI77" s="186">
        <v>0</v>
      </c>
      <c r="AJ77" s="186">
        <v>0</v>
      </c>
      <c r="AK77" s="186">
        <v>0</v>
      </c>
      <c r="AL77" s="186">
        <v>0</v>
      </c>
      <c r="AM77" s="186">
        <v>0</v>
      </c>
      <c r="AN77" s="186">
        <v>0</v>
      </c>
      <c r="AO77" s="186">
        <v>0</v>
      </c>
      <c r="AP77" s="186">
        <v>0</v>
      </c>
      <c r="AQ77" s="186">
        <v>0</v>
      </c>
      <c r="AR77" s="186">
        <v>1</v>
      </c>
      <c r="AS77" s="186">
        <v>0</v>
      </c>
      <c r="AT77" s="186">
        <v>0</v>
      </c>
      <c r="AU77" s="186">
        <v>0</v>
      </c>
      <c r="AV77" s="186">
        <v>0</v>
      </c>
      <c r="AW77" s="186">
        <v>0</v>
      </c>
      <c r="AX77" s="186">
        <v>0</v>
      </c>
      <c r="AY77" s="186">
        <v>0</v>
      </c>
      <c r="AZ77" s="186">
        <v>0</v>
      </c>
      <c r="BA77" s="186">
        <v>0</v>
      </c>
      <c r="BB77" s="186">
        <v>0</v>
      </c>
      <c r="BC77" s="186">
        <v>0</v>
      </c>
      <c r="BD77" s="186">
        <v>0</v>
      </c>
      <c r="BE77" s="186">
        <v>0</v>
      </c>
      <c r="BF77" s="186">
        <v>0</v>
      </c>
      <c r="BG77" s="186">
        <v>0</v>
      </c>
      <c r="BH77" s="186">
        <v>0</v>
      </c>
      <c r="BI77" s="186">
        <v>0</v>
      </c>
      <c r="BJ77" s="186">
        <v>0</v>
      </c>
      <c r="BK77" s="186">
        <v>1</v>
      </c>
      <c r="BL77" s="186">
        <v>0</v>
      </c>
      <c r="BM77" s="186">
        <v>1</v>
      </c>
      <c r="BN77" s="186">
        <v>0</v>
      </c>
      <c r="BO77" s="186">
        <v>0</v>
      </c>
      <c r="BP77" s="186">
        <v>0</v>
      </c>
      <c r="BQ77" s="186">
        <v>0</v>
      </c>
      <c r="BR77" s="186">
        <v>0</v>
      </c>
      <c r="BS77" s="186">
        <v>0</v>
      </c>
      <c r="BT77" s="186">
        <v>0</v>
      </c>
      <c r="BU77" s="186">
        <v>0</v>
      </c>
      <c r="BV77" s="186">
        <v>0</v>
      </c>
      <c r="BW77" s="186">
        <v>0</v>
      </c>
      <c r="BX77" s="186">
        <v>0</v>
      </c>
      <c r="BY77" s="186">
        <v>0</v>
      </c>
      <c r="BZ77" s="186">
        <v>1</v>
      </c>
      <c r="CA77" s="186" t="s">
        <v>1199</v>
      </c>
      <c r="CB77" s="186">
        <v>1</v>
      </c>
      <c r="CC77" s="190" t="s">
        <v>1057</v>
      </c>
      <c r="CD77" s="186">
        <v>1</v>
      </c>
      <c r="CE77" s="190" t="s">
        <v>1044</v>
      </c>
      <c r="CF77" s="190" t="s">
        <v>1200</v>
      </c>
      <c r="CG77" s="186">
        <v>1</v>
      </c>
      <c r="CH77" s="186" t="s">
        <v>1167</v>
      </c>
      <c r="CI77" s="186">
        <v>1</v>
      </c>
      <c r="CJ77" s="190" t="s">
        <v>1044</v>
      </c>
      <c r="CK77" s="190" t="s">
        <v>1002</v>
      </c>
      <c r="CL77" s="186">
        <v>1</v>
      </c>
      <c r="CM77" s="190" t="s">
        <v>1201</v>
      </c>
      <c r="CN77" s="190" t="s">
        <v>1202</v>
      </c>
      <c r="CO77" s="186">
        <v>0</v>
      </c>
      <c r="CP77" s="186" t="s">
        <v>947</v>
      </c>
      <c r="CQ77" s="186" t="s">
        <v>947</v>
      </c>
      <c r="CR77" s="186">
        <v>0</v>
      </c>
      <c r="CS77" s="186" t="s">
        <v>947</v>
      </c>
      <c r="CT77" s="186" t="s">
        <v>947</v>
      </c>
      <c r="CU77" s="186">
        <v>1</v>
      </c>
      <c r="CV77" s="190" t="s">
        <v>1128</v>
      </c>
      <c r="CW77" s="190" t="s">
        <v>1098</v>
      </c>
      <c r="CX77" s="186">
        <v>1</v>
      </c>
      <c r="CY77" s="190" t="s">
        <v>1005</v>
      </c>
      <c r="CZ77" s="186">
        <v>2</v>
      </c>
      <c r="DA77" s="186"/>
      <c r="DB77" s="187"/>
    </row>
    <row r="78" spans="1:106" s="110" customFormat="1">
      <c r="A78" s="107" t="s">
        <v>353</v>
      </c>
      <c r="B78" s="107">
        <v>22107823</v>
      </c>
      <c r="C78" s="107" t="s">
        <v>354</v>
      </c>
      <c r="D78" s="107"/>
      <c r="E78" s="107"/>
      <c r="F78" s="107"/>
      <c r="G78" s="109"/>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row>
    <row r="79" spans="1:106" s="193" customFormat="1">
      <c r="A79" s="194" t="s">
        <v>357</v>
      </c>
      <c r="B79" s="194">
        <v>4998396</v>
      </c>
      <c r="C79" s="194" t="s">
        <v>358</v>
      </c>
      <c r="D79" s="197"/>
      <c r="E79" s="194"/>
      <c r="F79" s="194"/>
      <c r="G79" s="232"/>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c r="AF79" s="194"/>
      <c r="AG79" s="194"/>
      <c r="AH79" s="194"/>
      <c r="AI79" s="194"/>
      <c r="AJ79" s="194"/>
      <c r="AK79" s="194"/>
      <c r="AL79" s="194"/>
      <c r="AM79" s="194"/>
      <c r="AN79" s="194"/>
      <c r="AO79" s="194"/>
      <c r="AP79" s="194"/>
      <c r="AQ79" s="194"/>
      <c r="AR79" s="194"/>
      <c r="AS79" s="194"/>
      <c r="AT79" s="194"/>
      <c r="AU79" s="194"/>
      <c r="AV79" s="194"/>
      <c r="AW79" s="194"/>
      <c r="AX79" s="194"/>
      <c r="AY79" s="194"/>
      <c r="AZ79" s="194"/>
      <c r="BA79" s="194"/>
      <c r="BB79" s="194"/>
      <c r="BC79" s="194"/>
      <c r="BD79" s="194"/>
      <c r="BE79" s="194"/>
      <c r="BF79" s="194"/>
      <c r="BG79" s="194"/>
      <c r="BH79" s="194"/>
      <c r="BI79" s="194"/>
      <c r="BJ79" s="194"/>
      <c r="BK79" s="194"/>
      <c r="BL79" s="194"/>
      <c r="BM79" s="194"/>
      <c r="BN79" s="194"/>
      <c r="BO79" s="194"/>
      <c r="BP79" s="194"/>
      <c r="BQ79" s="194"/>
      <c r="BR79" s="194"/>
      <c r="BS79" s="194"/>
      <c r="BT79" s="194"/>
      <c r="BU79" s="194"/>
      <c r="BV79" s="194"/>
      <c r="BW79" s="194"/>
      <c r="BX79" s="194"/>
      <c r="BY79" s="194"/>
      <c r="BZ79" s="194"/>
      <c r="CA79" s="194"/>
      <c r="CB79" s="194"/>
      <c r="CC79" s="194"/>
      <c r="CD79" s="194"/>
      <c r="CE79" s="194"/>
      <c r="CF79" s="194"/>
      <c r="CG79" s="194"/>
      <c r="CH79" s="194"/>
      <c r="CI79" s="194"/>
      <c r="CJ79" s="194"/>
      <c r="CK79" s="194"/>
      <c r="CL79" s="194"/>
      <c r="CM79" s="194"/>
      <c r="CN79" s="194"/>
      <c r="CO79" s="194"/>
      <c r="CP79" s="194"/>
      <c r="CQ79" s="194"/>
      <c r="CR79" s="194"/>
      <c r="CS79" s="194"/>
      <c r="CT79" s="194"/>
      <c r="CU79" s="194"/>
      <c r="CV79" s="194"/>
      <c r="CW79" s="194"/>
      <c r="CX79" s="194"/>
      <c r="CY79" s="194"/>
      <c r="CZ79" s="194"/>
      <c r="DA79" s="194"/>
    </row>
    <row r="80" spans="1:106" s="189" customFormat="1">
      <c r="A80" s="185" t="s">
        <v>359</v>
      </c>
      <c r="B80" s="185">
        <v>22270695</v>
      </c>
      <c r="C80" s="185" t="s">
        <v>360</v>
      </c>
      <c r="D80" s="228"/>
      <c r="E80" s="185"/>
      <c r="F80" s="185"/>
      <c r="G80" s="229"/>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c r="AX80" s="185"/>
      <c r="AY80" s="185"/>
      <c r="AZ80" s="185"/>
      <c r="BA80" s="185"/>
      <c r="BB80" s="185"/>
      <c r="BC80" s="185"/>
      <c r="BD80" s="185"/>
      <c r="BE80" s="185"/>
      <c r="BF80" s="185"/>
      <c r="BG80" s="185"/>
      <c r="BH80" s="185"/>
      <c r="BI80" s="185"/>
      <c r="BJ80" s="185"/>
      <c r="BK80" s="185"/>
      <c r="BL80" s="185"/>
      <c r="BM80" s="185"/>
      <c r="BN80" s="185"/>
      <c r="BO80" s="185"/>
      <c r="BP80" s="185"/>
      <c r="BQ80" s="185"/>
      <c r="BR80" s="185"/>
      <c r="BS80" s="185"/>
      <c r="BT80" s="185"/>
      <c r="BU80" s="185"/>
      <c r="BV80" s="185"/>
      <c r="BW80" s="185"/>
      <c r="BX80" s="185"/>
      <c r="BY80" s="185"/>
      <c r="BZ80" s="185"/>
      <c r="CA80" s="185"/>
      <c r="CB80" s="185"/>
      <c r="CC80" s="185"/>
      <c r="CD80" s="185"/>
      <c r="CE80" s="185"/>
      <c r="CF80" s="185"/>
      <c r="CG80" s="185"/>
      <c r="CH80" s="185"/>
      <c r="CI80" s="185"/>
      <c r="CJ80" s="185"/>
      <c r="CK80" s="185"/>
      <c r="CL80" s="185"/>
      <c r="CM80" s="185"/>
      <c r="CN80" s="185"/>
      <c r="CO80" s="185"/>
      <c r="CP80" s="185"/>
      <c r="CQ80" s="185"/>
      <c r="CR80" s="185"/>
      <c r="CS80" s="185"/>
      <c r="CT80" s="185"/>
      <c r="CU80" s="185"/>
      <c r="CV80" s="185"/>
      <c r="CW80" s="185"/>
      <c r="CX80" s="185"/>
      <c r="CY80" s="185"/>
      <c r="CZ80" s="185"/>
      <c r="DA80" s="185"/>
    </row>
    <row r="81" spans="1:106" s="110" customFormat="1">
      <c r="A81" s="107" t="s">
        <v>363</v>
      </c>
      <c r="B81" s="107">
        <v>22107485</v>
      </c>
      <c r="C81" s="107" t="s">
        <v>364</v>
      </c>
      <c r="D81" s="108"/>
      <c r="E81" s="107"/>
      <c r="F81" s="107"/>
      <c r="G81" s="109"/>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row>
    <row r="82" spans="1:106" s="110" customFormat="1">
      <c r="A82" s="107" t="s">
        <v>367</v>
      </c>
      <c r="B82" s="107">
        <v>22107486</v>
      </c>
      <c r="C82" s="107" t="s">
        <v>368</v>
      </c>
      <c r="D82" s="108"/>
      <c r="E82" s="107"/>
      <c r="F82" s="107"/>
      <c r="G82" s="109"/>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row>
    <row r="83" spans="1:106" s="203" customFormat="1">
      <c r="A83" s="202" t="s">
        <v>370</v>
      </c>
      <c r="B83" s="202">
        <v>22108150</v>
      </c>
      <c r="C83" s="202" t="s">
        <v>371</v>
      </c>
      <c r="D83" s="202"/>
      <c r="E83" s="202"/>
      <c r="F83" s="202"/>
      <c r="G83" s="237"/>
      <c r="H83" s="202"/>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c r="AG83" s="202"/>
      <c r="AH83" s="202"/>
      <c r="AI83" s="202"/>
      <c r="AJ83" s="202"/>
      <c r="AK83" s="202"/>
      <c r="AL83" s="202"/>
      <c r="AM83" s="202"/>
      <c r="AN83" s="202"/>
      <c r="AO83" s="202"/>
      <c r="AP83" s="202"/>
      <c r="AQ83" s="202"/>
      <c r="AR83" s="202"/>
      <c r="AS83" s="202"/>
      <c r="AT83" s="202"/>
      <c r="AU83" s="202"/>
      <c r="AV83" s="202"/>
      <c r="AW83" s="202"/>
      <c r="AX83" s="202"/>
      <c r="AY83" s="202"/>
      <c r="AZ83" s="202"/>
      <c r="BA83" s="202"/>
      <c r="BB83" s="202"/>
      <c r="BC83" s="202"/>
      <c r="BD83" s="202"/>
      <c r="BE83" s="202"/>
      <c r="BF83" s="202"/>
      <c r="BG83" s="202"/>
      <c r="BH83" s="202"/>
      <c r="BI83" s="202"/>
      <c r="BJ83" s="202"/>
      <c r="BK83" s="202"/>
      <c r="BL83" s="202"/>
      <c r="BM83" s="202"/>
      <c r="BN83" s="202"/>
      <c r="BO83" s="202"/>
      <c r="BP83" s="202"/>
      <c r="BQ83" s="202"/>
      <c r="BR83" s="202"/>
      <c r="BS83" s="202"/>
      <c r="BT83" s="202"/>
      <c r="BU83" s="202"/>
      <c r="BV83" s="202"/>
      <c r="BW83" s="202"/>
      <c r="BX83" s="202"/>
      <c r="BY83" s="202"/>
      <c r="BZ83" s="202"/>
      <c r="CA83" s="202"/>
      <c r="CB83" s="202"/>
      <c r="CC83" s="202"/>
      <c r="CD83" s="202"/>
      <c r="CE83" s="202"/>
      <c r="CF83" s="202"/>
      <c r="CG83" s="202"/>
      <c r="CH83" s="202"/>
      <c r="CI83" s="202"/>
      <c r="CJ83" s="202"/>
      <c r="CK83" s="202"/>
      <c r="CL83" s="202"/>
      <c r="CM83" s="202"/>
      <c r="CN83" s="202"/>
      <c r="CO83" s="202"/>
      <c r="CP83" s="202"/>
      <c r="CQ83" s="202"/>
      <c r="CR83" s="202"/>
      <c r="CS83" s="202"/>
      <c r="CT83" s="202"/>
      <c r="CU83" s="202"/>
      <c r="CV83" s="202"/>
      <c r="CW83" s="202"/>
      <c r="CX83" s="202"/>
      <c r="CY83" s="202"/>
      <c r="CZ83" s="202"/>
      <c r="DA83" s="202"/>
    </row>
    <row r="84" spans="1:106" s="193" customFormat="1">
      <c r="A84" s="194" t="s">
        <v>373</v>
      </c>
      <c r="B84" s="194">
        <v>22107133</v>
      </c>
      <c r="C84" s="194" t="s">
        <v>374</v>
      </c>
      <c r="D84" s="194"/>
      <c r="E84" s="194"/>
      <c r="F84" s="194"/>
      <c r="G84" s="232"/>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c r="AF84" s="194"/>
      <c r="AG84" s="194"/>
      <c r="AH84" s="194"/>
      <c r="AI84" s="194"/>
      <c r="AJ84" s="194"/>
      <c r="AK84" s="194"/>
      <c r="AL84" s="194"/>
      <c r="AM84" s="194"/>
      <c r="AN84" s="194"/>
      <c r="AO84" s="194"/>
      <c r="AP84" s="194"/>
      <c r="AQ84" s="194"/>
      <c r="AR84" s="194"/>
      <c r="AS84" s="194"/>
      <c r="AT84" s="194"/>
      <c r="AU84" s="194"/>
      <c r="AV84" s="194"/>
      <c r="AW84" s="194"/>
      <c r="AX84" s="194"/>
      <c r="AY84" s="194"/>
      <c r="AZ84" s="194"/>
      <c r="BA84" s="194"/>
      <c r="BB84" s="194"/>
      <c r="BC84" s="194"/>
      <c r="BD84" s="194"/>
      <c r="BE84" s="194"/>
      <c r="BF84" s="194"/>
      <c r="BG84" s="194"/>
      <c r="BH84" s="194"/>
      <c r="BI84" s="194"/>
      <c r="BJ84" s="194"/>
      <c r="BK84" s="194"/>
      <c r="BL84" s="194"/>
      <c r="BM84" s="194"/>
      <c r="BN84" s="194"/>
      <c r="BO84" s="194"/>
      <c r="BP84" s="194"/>
      <c r="BQ84" s="194"/>
      <c r="BR84" s="194"/>
      <c r="BS84" s="194"/>
      <c r="BT84" s="194"/>
      <c r="BU84" s="194"/>
      <c r="BV84" s="194"/>
      <c r="BW84" s="194"/>
      <c r="BX84" s="194"/>
      <c r="BY84" s="194"/>
      <c r="BZ84" s="194"/>
      <c r="CA84" s="194"/>
      <c r="CB84" s="194"/>
      <c r="CC84" s="194"/>
      <c r="CD84" s="194"/>
      <c r="CE84" s="194"/>
      <c r="CF84" s="194"/>
      <c r="CG84" s="194"/>
      <c r="CH84" s="194"/>
      <c r="CI84" s="194"/>
      <c r="CJ84" s="194"/>
      <c r="CK84" s="194"/>
      <c r="CL84" s="194"/>
      <c r="CM84" s="194"/>
      <c r="CN84" s="194"/>
      <c r="CO84" s="194"/>
      <c r="CP84" s="194"/>
      <c r="CQ84" s="194"/>
      <c r="CR84" s="194"/>
      <c r="CS84" s="194"/>
      <c r="CT84" s="194"/>
      <c r="CU84" s="194"/>
      <c r="CV84" s="194"/>
      <c r="CW84" s="194"/>
      <c r="CX84" s="194"/>
      <c r="CY84" s="194"/>
      <c r="CZ84" s="194"/>
      <c r="DA84" s="194"/>
    </row>
    <row r="85" spans="1:106" s="110" customFormat="1">
      <c r="A85" s="107" t="s">
        <v>377</v>
      </c>
      <c r="B85" s="107">
        <v>22108726</v>
      </c>
      <c r="C85" s="107" t="s">
        <v>378</v>
      </c>
      <c r="D85" s="107"/>
      <c r="E85" s="107"/>
      <c r="F85" s="107"/>
      <c r="G85" s="109"/>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row>
    <row r="86" spans="1:106" s="189" customFormat="1">
      <c r="A86" s="185" t="s">
        <v>381</v>
      </c>
      <c r="B86" s="185">
        <v>22104406</v>
      </c>
      <c r="C86" s="185" t="s">
        <v>382</v>
      </c>
      <c r="D86" s="228"/>
      <c r="E86" s="185"/>
      <c r="F86" s="185"/>
      <c r="G86" s="229"/>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c r="AE86" s="185"/>
      <c r="AF86" s="185"/>
      <c r="AG86" s="185"/>
      <c r="AH86" s="185"/>
      <c r="AI86" s="185"/>
      <c r="AJ86" s="185"/>
      <c r="AK86" s="185"/>
      <c r="AL86" s="185"/>
      <c r="AM86" s="185"/>
      <c r="AN86" s="185"/>
      <c r="AO86" s="185"/>
      <c r="AP86" s="185"/>
      <c r="AQ86" s="185"/>
      <c r="AR86" s="185"/>
      <c r="AS86" s="185"/>
      <c r="AT86" s="185"/>
      <c r="AU86" s="185"/>
      <c r="AV86" s="185"/>
      <c r="AW86" s="185"/>
      <c r="AX86" s="185"/>
      <c r="AY86" s="185"/>
      <c r="AZ86" s="185"/>
      <c r="BA86" s="185"/>
      <c r="BB86" s="185"/>
      <c r="BC86" s="185"/>
      <c r="BD86" s="185"/>
      <c r="BE86" s="185"/>
      <c r="BF86" s="185"/>
      <c r="BG86" s="185"/>
      <c r="BH86" s="185"/>
      <c r="BI86" s="185"/>
      <c r="BJ86" s="185"/>
      <c r="BK86" s="185"/>
      <c r="BL86" s="185"/>
      <c r="BM86" s="185"/>
      <c r="BN86" s="185"/>
      <c r="BO86" s="185"/>
      <c r="BP86" s="185"/>
      <c r="BQ86" s="185"/>
      <c r="BR86" s="185"/>
      <c r="BS86" s="185"/>
      <c r="BT86" s="185"/>
      <c r="BU86" s="185"/>
      <c r="BV86" s="185"/>
      <c r="BW86" s="185"/>
      <c r="BX86" s="185"/>
      <c r="BY86" s="185"/>
      <c r="BZ86" s="185"/>
      <c r="CA86" s="185"/>
      <c r="CB86" s="185"/>
      <c r="CC86" s="185"/>
      <c r="CD86" s="185"/>
      <c r="CE86" s="185"/>
      <c r="CF86" s="185"/>
      <c r="CG86" s="185"/>
      <c r="CH86" s="185"/>
      <c r="CI86" s="185"/>
      <c r="CJ86" s="185"/>
      <c r="CK86" s="185"/>
      <c r="CL86" s="185"/>
      <c r="CM86" s="185"/>
      <c r="CN86" s="185"/>
      <c r="CO86" s="185"/>
      <c r="CP86" s="185"/>
      <c r="CQ86" s="185"/>
      <c r="CR86" s="185"/>
      <c r="CS86" s="185"/>
      <c r="CT86" s="185"/>
      <c r="CU86" s="185"/>
      <c r="CV86" s="185"/>
      <c r="CW86" s="185"/>
      <c r="CX86" s="185"/>
      <c r="CY86" s="185"/>
      <c r="CZ86" s="185"/>
      <c r="DA86" s="185"/>
    </row>
    <row r="87" spans="1:106" s="193" customFormat="1">
      <c r="A87" s="194" t="s">
        <v>384</v>
      </c>
      <c r="B87" s="194">
        <v>22108755</v>
      </c>
      <c r="C87" s="194" t="s">
        <v>385</v>
      </c>
      <c r="D87" s="194"/>
      <c r="E87" s="194"/>
      <c r="F87" s="194"/>
      <c r="G87" s="232"/>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c r="AF87" s="194"/>
      <c r="AG87" s="194"/>
      <c r="AH87" s="194"/>
      <c r="AI87" s="194"/>
      <c r="AJ87" s="194"/>
      <c r="AK87" s="194"/>
      <c r="AL87" s="194"/>
      <c r="AM87" s="194"/>
      <c r="AN87" s="194"/>
      <c r="AO87" s="194"/>
      <c r="AP87" s="194"/>
      <c r="AQ87" s="194"/>
      <c r="AR87" s="194"/>
      <c r="AS87" s="194"/>
      <c r="AT87" s="194"/>
      <c r="AU87" s="194"/>
      <c r="AV87" s="194"/>
      <c r="AW87" s="194"/>
      <c r="AX87" s="194"/>
      <c r="AY87" s="194"/>
      <c r="AZ87" s="194"/>
      <c r="BA87" s="194"/>
      <c r="BB87" s="194"/>
      <c r="BC87" s="194"/>
      <c r="BD87" s="194"/>
      <c r="BE87" s="194"/>
      <c r="BF87" s="194"/>
      <c r="BG87" s="194"/>
      <c r="BH87" s="194"/>
      <c r="BI87" s="194"/>
      <c r="BJ87" s="194"/>
      <c r="BK87" s="194"/>
      <c r="BL87" s="194"/>
      <c r="BM87" s="194"/>
      <c r="BN87" s="194"/>
      <c r="BO87" s="194"/>
      <c r="BP87" s="194"/>
      <c r="BQ87" s="194"/>
      <c r="BR87" s="194"/>
      <c r="BS87" s="194"/>
      <c r="BT87" s="194"/>
      <c r="BU87" s="194"/>
      <c r="BV87" s="194"/>
      <c r="BW87" s="194"/>
      <c r="BX87" s="194"/>
      <c r="BY87" s="194"/>
      <c r="BZ87" s="194"/>
      <c r="CA87" s="194"/>
      <c r="CB87" s="194"/>
      <c r="CC87" s="194"/>
      <c r="CD87" s="194"/>
      <c r="CE87" s="194"/>
      <c r="CF87" s="194"/>
      <c r="CG87" s="194"/>
      <c r="CH87" s="194"/>
      <c r="CI87" s="194"/>
      <c r="CJ87" s="194"/>
      <c r="CK87" s="194"/>
      <c r="CL87" s="194"/>
      <c r="CM87" s="194"/>
      <c r="CN87" s="194"/>
      <c r="CO87" s="194"/>
      <c r="CP87" s="194"/>
      <c r="CQ87" s="194"/>
      <c r="CR87" s="194"/>
      <c r="CS87" s="194"/>
      <c r="CT87" s="194"/>
      <c r="CU87" s="194"/>
      <c r="CV87" s="194"/>
      <c r="CW87" s="194"/>
      <c r="CX87" s="194"/>
      <c r="CY87" s="194"/>
      <c r="CZ87" s="194"/>
      <c r="DA87" s="194"/>
    </row>
    <row r="88" spans="1:106" s="193" customFormat="1">
      <c r="A88" s="194" t="s">
        <v>388</v>
      </c>
      <c r="B88" s="194">
        <v>22108762</v>
      </c>
      <c r="C88" s="194" t="s">
        <v>389</v>
      </c>
      <c r="D88" s="194"/>
      <c r="E88" s="194"/>
      <c r="F88" s="194"/>
      <c r="G88" s="232"/>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c r="AF88" s="194"/>
      <c r="AG88" s="194"/>
      <c r="AH88" s="194"/>
      <c r="AI88" s="194"/>
      <c r="AJ88" s="194"/>
      <c r="AK88" s="194"/>
      <c r="AL88" s="194"/>
      <c r="AM88" s="194"/>
      <c r="AN88" s="194"/>
      <c r="AO88" s="194"/>
      <c r="AP88" s="194"/>
      <c r="AQ88" s="194"/>
      <c r="AR88" s="194"/>
      <c r="AS88" s="194"/>
      <c r="AT88" s="194"/>
      <c r="AU88" s="194"/>
      <c r="AV88" s="194"/>
      <c r="AW88" s="194"/>
      <c r="AX88" s="194"/>
      <c r="AY88" s="194"/>
      <c r="AZ88" s="194"/>
      <c r="BA88" s="194"/>
      <c r="BB88" s="194"/>
      <c r="BC88" s="194"/>
      <c r="BD88" s="194"/>
      <c r="BE88" s="194"/>
      <c r="BF88" s="194"/>
      <c r="BG88" s="194"/>
      <c r="BH88" s="194"/>
      <c r="BI88" s="194"/>
      <c r="BJ88" s="194"/>
      <c r="BK88" s="194"/>
      <c r="BL88" s="194"/>
      <c r="BM88" s="194"/>
      <c r="BN88" s="194"/>
      <c r="BO88" s="194"/>
      <c r="BP88" s="194"/>
      <c r="BQ88" s="194"/>
      <c r="BR88" s="194"/>
      <c r="BS88" s="194"/>
      <c r="BT88" s="194"/>
      <c r="BU88" s="194"/>
      <c r="BV88" s="194"/>
      <c r="BW88" s="194"/>
      <c r="BX88" s="194"/>
      <c r="BY88" s="194"/>
      <c r="BZ88" s="194"/>
      <c r="CA88" s="194"/>
      <c r="CB88" s="194"/>
      <c r="CC88" s="194"/>
      <c r="CD88" s="194"/>
      <c r="CE88" s="194"/>
      <c r="CF88" s="194"/>
      <c r="CG88" s="194"/>
      <c r="CH88" s="194"/>
      <c r="CI88" s="194"/>
      <c r="CJ88" s="194"/>
      <c r="CK88" s="194"/>
      <c r="CL88" s="194"/>
      <c r="CM88" s="194"/>
      <c r="CN88" s="194"/>
      <c r="CO88" s="194"/>
      <c r="CP88" s="194"/>
      <c r="CQ88" s="194"/>
      <c r="CR88" s="194"/>
      <c r="CS88" s="194"/>
      <c r="CT88" s="194"/>
      <c r="CU88" s="194"/>
      <c r="CV88" s="194"/>
      <c r="CW88" s="194"/>
      <c r="CX88" s="194"/>
      <c r="CY88" s="194"/>
      <c r="CZ88" s="194"/>
      <c r="DA88" s="194"/>
    </row>
    <row r="89" spans="1:106" s="193" customFormat="1">
      <c r="A89" s="194" t="s">
        <v>393</v>
      </c>
      <c r="B89" s="194">
        <v>22105932</v>
      </c>
      <c r="C89" s="194" t="s">
        <v>394</v>
      </c>
      <c r="D89" s="200"/>
      <c r="E89" s="194"/>
      <c r="F89" s="194"/>
      <c r="G89" s="232"/>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c r="AF89" s="194"/>
      <c r="AG89" s="194"/>
      <c r="AH89" s="194"/>
      <c r="AI89" s="194"/>
      <c r="AJ89" s="194"/>
      <c r="AK89" s="194"/>
      <c r="AL89" s="194"/>
      <c r="AM89" s="194"/>
      <c r="AN89" s="194"/>
      <c r="AO89" s="194"/>
      <c r="AP89" s="194"/>
      <c r="AQ89" s="194"/>
      <c r="AR89" s="194"/>
      <c r="AS89" s="194"/>
      <c r="AT89" s="194"/>
      <c r="AU89" s="194"/>
      <c r="AV89" s="194"/>
      <c r="AW89" s="194"/>
      <c r="AX89" s="194"/>
      <c r="AY89" s="194"/>
      <c r="AZ89" s="194"/>
      <c r="BA89" s="194"/>
      <c r="BB89" s="194"/>
      <c r="BC89" s="194"/>
      <c r="BD89" s="194"/>
      <c r="BE89" s="194"/>
      <c r="BF89" s="194"/>
      <c r="BG89" s="194"/>
      <c r="BH89" s="194"/>
      <c r="BI89" s="194"/>
      <c r="BJ89" s="194"/>
      <c r="BK89" s="194"/>
      <c r="BL89" s="194"/>
      <c r="BM89" s="194"/>
      <c r="BN89" s="194"/>
      <c r="BO89" s="194"/>
      <c r="BP89" s="194"/>
      <c r="BQ89" s="194"/>
      <c r="BR89" s="194"/>
      <c r="BS89" s="194"/>
      <c r="BT89" s="194"/>
      <c r="BU89" s="194"/>
      <c r="BV89" s="194"/>
      <c r="BW89" s="194"/>
      <c r="BX89" s="194"/>
      <c r="BY89" s="194"/>
      <c r="BZ89" s="194"/>
      <c r="CA89" s="194"/>
      <c r="CB89" s="194"/>
      <c r="CC89" s="194"/>
      <c r="CD89" s="194"/>
      <c r="CE89" s="194"/>
      <c r="CF89" s="194"/>
      <c r="CG89" s="194"/>
      <c r="CH89" s="194"/>
      <c r="CI89" s="194"/>
      <c r="CJ89" s="194"/>
      <c r="CK89" s="194"/>
      <c r="CL89" s="194"/>
      <c r="CM89" s="194"/>
      <c r="CN89" s="194"/>
      <c r="CO89" s="194"/>
      <c r="CP89" s="194"/>
      <c r="CQ89" s="194"/>
      <c r="CR89" s="194"/>
      <c r="CS89" s="194"/>
      <c r="CT89" s="194"/>
      <c r="CU89" s="194"/>
      <c r="CV89" s="194"/>
      <c r="CW89" s="194"/>
      <c r="CX89" s="194"/>
      <c r="CY89" s="194"/>
      <c r="CZ89" s="194"/>
      <c r="DA89" s="194"/>
    </row>
    <row r="90" spans="1:106" s="193" customFormat="1">
      <c r="A90" s="194" t="s">
        <v>397</v>
      </c>
      <c r="B90" s="194">
        <v>22105933</v>
      </c>
      <c r="C90" s="194" t="s">
        <v>398</v>
      </c>
      <c r="D90" s="200"/>
      <c r="E90" s="194"/>
      <c r="F90" s="194"/>
      <c r="G90" s="232"/>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194"/>
      <c r="BD90" s="194"/>
      <c r="BE90" s="194"/>
      <c r="BF90" s="194"/>
      <c r="BG90" s="194"/>
      <c r="BH90" s="194"/>
      <c r="BI90" s="194"/>
      <c r="BJ90" s="194"/>
      <c r="BK90" s="194"/>
      <c r="BL90" s="194"/>
      <c r="BM90" s="194"/>
      <c r="BN90" s="194"/>
      <c r="BO90" s="194"/>
      <c r="BP90" s="194"/>
      <c r="BQ90" s="194"/>
      <c r="BR90" s="194"/>
      <c r="BS90" s="194"/>
      <c r="BT90" s="194"/>
      <c r="BU90" s="194"/>
      <c r="BV90" s="194"/>
      <c r="BW90" s="194"/>
      <c r="BX90" s="194"/>
      <c r="BY90" s="194"/>
      <c r="BZ90" s="194"/>
      <c r="CA90" s="194"/>
      <c r="CB90" s="194"/>
      <c r="CC90" s="194"/>
      <c r="CD90" s="194"/>
      <c r="CE90" s="194"/>
      <c r="CF90" s="194"/>
      <c r="CG90" s="194"/>
      <c r="CH90" s="194"/>
      <c r="CI90" s="194"/>
      <c r="CJ90" s="194"/>
      <c r="CK90" s="194"/>
      <c r="CL90" s="194"/>
      <c r="CM90" s="194"/>
      <c r="CN90" s="194"/>
      <c r="CO90" s="194"/>
      <c r="CP90" s="194"/>
      <c r="CQ90" s="194"/>
      <c r="CR90" s="194"/>
      <c r="CS90" s="194"/>
      <c r="CT90" s="194"/>
      <c r="CU90" s="194"/>
      <c r="CV90" s="194"/>
      <c r="CW90" s="194"/>
      <c r="CX90" s="194"/>
      <c r="CY90" s="194"/>
      <c r="CZ90" s="194"/>
      <c r="DA90" s="194"/>
    </row>
    <row r="91" spans="1:106" s="189" customFormat="1">
      <c r="A91" s="185" t="s">
        <v>399</v>
      </c>
      <c r="B91" s="185">
        <v>22107573</v>
      </c>
      <c r="C91" s="185" t="s">
        <v>400</v>
      </c>
      <c r="D91" s="228"/>
      <c r="E91" s="185"/>
      <c r="F91" s="185"/>
      <c r="G91" s="229"/>
      <c r="H91" s="185"/>
      <c r="I91" s="185"/>
      <c r="J91" s="185"/>
      <c r="K91" s="185"/>
      <c r="L91" s="185"/>
      <c r="M91" s="185"/>
      <c r="N91" s="185"/>
      <c r="O91" s="185"/>
      <c r="P91" s="185"/>
      <c r="Q91" s="185"/>
      <c r="R91" s="185"/>
      <c r="S91" s="185"/>
      <c r="T91" s="185"/>
      <c r="U91" s="185"/>
      <c r="V91" s="185"/>
      <c r="W91" s="185"/>
      <c r="X91" s="185"/>
      <c r="Y91" s="185"/>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85"/>
      <c r="AX91" s="185"/>
      <c r="AY91" s="185"/>
      <c r="AZ91" s="185"/>
      <c r="BA91" s="185"/>
      <c r="BB91" s="185"/>
      <c r="BC91" s="185"/>
      <c r="BD91" s="185"/>
      <c r="BE91" s="185"/>
      <c r="BF91" s="185"/>
      <c r="BG91" s="185"/>
      <c r="BH91" s="185"/>
      <c r="BI91" s="185"/>
      <c r="BJ91" s="185"/>
      <c r="BK91" s="185"/>
      <c r="BL91" s="185"/>
      <c r="BM91" s="185"/>
      <c r="BN91" s="185"/>
      <c r="BO91" s="185"/>
      <c r="BP91" s="185"/>
      <c r="BQ91" s="185"/>
      <c r="BR91" s="185"/>
      <c r="BS91" s="185"/>
      <c r="BT91" s="185"/>
      <c r="BU91" s="185"/>
      <c r="BV91" s="185"/>
      <c r="BW91" s="185"/>
      <c r="BX91" s="185"/>
      <c r="BY91" s="185"/>
      <c r="BZ91" s="185"/>
      <c r="CA91" s="185"/>
      <c r="CB91" s="185"/>
      <c r="CC91" s="185"/>
      <c r="CD91" s="185"/>
      <c r="CE91" s="185"/>
      <c r="CF91" s="185"/>
      <c r="CG91" s="185"/>
      <c r="CH91" s="185"/>
      <c r="CI91" s="185"/>
      <c r="CJ91" s="185"/>
      <c r="CK91" s="185"/>
      <c r="CL91" s="185"/>
      <c r="CM91" s="185"/>
      <c r="CN91" s="185"/>
      <c r="CO91" s="185"/>
      <c r="CP91" s="185"/>
      <c r="CQ91" s="185"/>
      <c r="CR91" s="185"/>
      <c r="CS91" s="185"/>
      <c r="CT91" s="185"/>
      <c r="CU91" s="185"/>
      <c r="CV91" s="185"/>
      <c r="CW91" s="185"/>
      <c r="CX91" s="185"/>
      <c r="CY91" s="185"/>
      <c r="CZ91" s="185"/>
      <c r="DA91" s="185"/>
    </row>
    <row r="92" spans="1:106" s="189" customFormat="1">
      <c r="A92" s="185" t="s">
        <v>403</v>
      </c>
      <c r="B92" s="185">
        <v>22105890</v>
      </c>
      <c r="C92" s="185" t="s">
        <v>404</v>
      </c>
      <c r="D92" s="228"/>
      <c r="E92" s="185"/>
      <c r="F92" s="185"/>
      <c r="G92" s="229"/>
      <c r="H92" s="185"/>
      <c r="I92" s="185"/>
      <c r="J92" s="185"/>
      <c r="K92" s="185"/>
      <c r="L92" s="185"/>
      <c r="M92" s="185"/>
      <c r="N92" s="185"/>
      <c r="O92" s="185"/>
      <c r="P92" s="185"/>
      <c r="Q92" s="185"/>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c r="AX92" s="185"/>
      <c r="AY92" s="185"/>
      <c r="AZ92" s="185"/>
      <c r="BA92" s="185"/>
      <c r="BB92" s="185"/>
      <c r="BC92" s="185"/>
      <c r="BD92" s="185"/>
      <c r="BE92" s="185"/>
      <c r="BF92" s="185"/>
      <c r="BG92" s="185"/>
      <c r="BH92" s="185"/>
      <c r="BI92" s="185"/>
      <c r="BJ92" s="185"/>
      <c r="BK92" s="185"/>
      <c r="BL92" s="185"/>
      <c r="BM92" s="185"/>
      <c r="BN92" s="185"/>
      <c r="BO92" s="185"/>
      <c r="BP92" s="185"/>
      <c r="BQ92" s="185"/>
      <c r="BR92" s="185"/>
      <c r="BS92" s="185"/>
      <c r="BT92" s="185"/>
      <c r="BU92" s="185"/>
      <c r="BV92" s="185"/>
      <c r="BW92" s="185"/>
      <c r="BX92" s="185"/>
      <c r="BY92" s="185"/>
      <c r="BZ92" s="185"/>
      <c r="CA92" s="185"/>
      <c r="CB92" s="185"/>
      <c r="CC92" s="185"/>
      <c r="CD92" s="185"/>
      <c r="CE92" s="185"/>
      <c r="CF92" s="185"/>
      <c r="CG92" s="185"/>
      <c r="CH92" s="185"/>
      <c r="CI92" s="185"/>
      <c r="CJ92" s="185"/>
      <c r="CK92" s="185"/>
      <c r="CL92" s="185"/>
      <c r="CM92" s="185"/>
      <c r="CN92" s="185"/>
      <c r="CO92" s="185"/>
      <c r="CP92" s="185"/>
      <c r="CQ92" s="185"/>
      <c r="CR92" s="185"/>
      <c r="CS92" s="185"/>
      <c r="CT92" s="185"/>
      <c r="CU92" s="185"/>
      <c r="CV92" s="185"/>
      <c r="CW92" s="185"/>
      <c r="CX92" s="185"/>
      <c r="CY92" s="185"/>
      <c r="CZ92" s="185"/>
      <c r="DA92" s="185"/>
    </row>
    <row r="93" spans="1:106" s="110" customFormat="1">
      <c r="A93" s="107" t="s">
        <v>407</v>
      </c>
      <c r="B93" s="107">
        <v>22108642</v>
      </c>
      <c r="C93" s="107" t="s">
        <v>408</v>
      </c>
      <c r="D93" s="107"/>
      <c r="E93" s="107"/>
      <c r="F93" s="107"/>
      <c r="G93" s="109"/>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row>
    <row r="94" spans="1:106" s="110" customFormat="1">
      <c r="A94" s="107" t="s">
        <v>411</v>
      </c>
      <c r="B94" s="153">
        <v>22102895</v>
      </c>
      <c r="C94" s="157" t="s">
        <v>1251</v>
      </c>
      <c r="D94" s="155">
        <v>44694</v>
      </c>
      <c r="E94" s="153">
        <v>80</v>
      </c>
      <c r="F94" s="153">
        <v>9.3000000000000007</v>
      </c>
      <c r="G94" s="156">
        <v>14.53</v>
      </c>
      <c r="H94" s="153">
        <v>45</v>
      </c>
      <c r="I94" s="153">
        <v>31</v>
      </c>
      <c r="J94" s="153">
        <v>0</v>
      </c>
      <c r="K94" s="153">
        <v>1</v>
      </c>
      <c r="L94" s="153">
        <v>2</v>
      </c>
      <c r="M94" s="153">
        <v>0</v>
      </c>
      <c r="N94" s="153">
        <v>8</v>
      </c>
      <c r="O94" s="153">
        <v>9</v>
      </c>
      <c r="P94" s="153">
        <v>1445</v>
      </c>
      <c r="Q94" s="153">
        <v>42</v>
      </c>
      <c r="R94" s="153">
        <v>28</v>
      </c>
      <c r="S94" s="153">
        <v>22</v>
      </c>
      <c r="T94" s="155">
        <v>27932</v>
      </c>
      <c r="U94" s="153">
        <v>43.59</v>
      </c>
      <c r="V94" s="153">
        <v>2</v>
      </c>
      <c r="W94" s="153">
        <v>1</v>
      </c>
      <c r="X94" s="153">
        <v>1</v>
      </c>
      <c r="Y94" s="153">
        <v>4</v>
      </c>
      <c r="Z94" s="153">
        <v>0</v>
      </c>
      <c r="AA94" s="153">
        <v>1</v>
      </c>
      <c r="AB94" s="153">
        <v>0</v>
      </c>
      <c r="AC94" s="153">
        <v>0</v>
      </c>
      <c r="AD94" s="153">
        <v>0</v>
      </c>
      <c r="AE94" s="153">
        <v>0</v>
      </c>
      <c r="AF94" s="153">
        <v>0</v>
      </c>
      <c r="AG94" s="153">
        <v>0</v>
      </c>
      <c r="AH94" s="153">
        <v>0</v>
      </c>
      <c r="AI94" s="153">
        <v>1</v>
      </c>
      <c r="AJ94" s="153">
        <v>1</v>
      </c>
      <c r="AK94" s="153">
        <v>10</v>
      </c>
      <c r="AL94" s="153">
        <v>1</v>
      </c>
      <c r="AM94" s="153">
        <v>20</v>
      </c>
      <c r="AN94" s="153">
        <v>0</v>
      </c>
      <c r="AO94" s="153">
        <v>0</v>
      </c>
      <c r="AP94" s="153">
        <v>1</v>
      </c>
      <c r="AQ94" s="153">
        <v>1</v>
      </c>
      <c r="AR94" s="153">
        <v>1</v>
      </c>
      <c r="AS94" s="153">
        <v>0</v>
      </c>
      <c r="AT94" s="153">
        <v>0</v>
      </c>
      <c r="AU94" s="153">
        <v>0</v>
      </c>
      <c r="AV94" s="153">
        <v>0</v>
      </c>
      <c r="AW94" s="153">
        <v>0</v>
      </c>
      <c r="AX94" s="153">
        <v>0</v>
      </c>
      <c r="AY94" s="153">
        <v>0</v>
      </c>
      <c r="AZ94" s="153">
        <v>0</v>
      </c>
      <c r="BA94" s="153">
        <v>0</v>
      </c>
      <c r="BB94" s="153">
        <v>0</v>
      </c>
      <c r="BC94" s="153">
        <v>0</v>
      </c>
      <c r="BD94" s="153">
        <v>0</v>
      </c>
      <c r="BE94" s="153">
        <v>0</v>
      </c>
      <c r="BF94" s="153">
        <v>0</v>
      </c>
      <c r="BG94" s="153">
        <v>0</v>
      </c>
      <c r="BH94" s="153">
        <v>0</v>
      </c>
      <c r="BI94" s="153">
        <v>0</v>
      </c>
      <c r="BJ94" s="153">
        <v>0</v>
      </c>
      <c r="BK94" s="153">
        <v>0</v>
      </c>
      <c r="BL94" s="153">
        <v>0</v>
      </c>
      <c r="BM94" s="153">
        <v>0</v>
      </c>
      <c r="BN94" s="153">
        <v>0</v>
      </c>
      <c r="BO94" s="153">
        <v>0</v>
      </c>
      <c r="BP94" s="153">
        <v>0</v>
      </c>
      <c r="BQ94" s="153">
        <v>0</v>
      </c>
      <c r="BR94" s="153">
        <v>0</v>
      </c>
      <c r="BS94" s="153">
        <v>0</v>
      </c>
      <c r="BT94" s="153">
        <v>0</v>
      </c>
      <c r="BU94" s="153">
        <v>0</v>
      </c>
      <c r="BV94" s="153">
        <v>0</v>
      </c>
      <c r="BW94" s="153">
        <v>0</v>
      </c>
      <c r="BX94" s="153">
        <v>0</v>
      </c>
      <c r="BY94" s="153">
        <v>0</v>
      </c>
      <c r="BZ94" s="153">
        <v>0</v>
      </c>
      <c r="CA94" s="153" t="s">
        <v>947</v>
      </c>
      <c r="CB94" s="153">
        <v>0</v>
      </c>
      <c r="CC94" s="153" t="s">
        <v>947</v>
      </c>
      <c r="CD94" s="153">
        <v>1</v>
      </c>
      <c r="CE94" s="153" t="s">
        <v>946</v>
      </c>
      <c r="CF94" s="157" t="s">
        <v>1252</v>
      </c>
      <c r="CG94" s="153">
        <v>0</v>
      </c>
      <c r="CH94" s="153" t="s">
        <v>1253</v>
      </c>
      <c r="CI94" s="153">
        <v>0</v>
      </c>
      <c r="CJ94" s="157" t="s">
        <v>1254</v>
      </c>
      <c r="CK94" s="153" t="s">
        <v>1255</v>
      </c>
      <c r="CL94" s="153">
        <v>0</v>
      </c>
      <c r="CM94" s="153" t="s">
        <v>947</v>
      </c>
      <c r="CN94" s="153" t="s">
        <v>947</v>
      </c>
      <c r="CO94" s="157" t="s">
        <v>1086</v>
      </c>
      <c r="CP94" s="153" t="s">
        <v>1256</v>
      </c>
      <c r="CQ94" s="157" t="s">
        <v>993</v>
      </c>
      <c r="CR94" s="153" t="s">
        <v>1257</v>
      </c>
      <c r="CS94" s="157" t="s">
        <v>1258</v>
      </c>
      <c r="CT94" s="157" t="s">
        <v>1259</v>
      </c>
      <c r="CU94" s="153">
        <v>1</v>
      </c>
      <c r="CV94" s="153" t="s">
        <v>1260</v>
      </c>
      <c r="CW94" s="157" t="s">
        <v>1261</v>
      </c>
      <c r="CX94" s="153">
        <v>1</v>
      </c>
      <c r="CY94" s="157" t="s">
        <v>1149</v>
      </c>
      <c r="CZ94" s="153">
        <v>2</v>
      </c>
      <c r="DA94" s="153"/>
      <c r="DB94" s="158"/>
    </row>
    <row r="95" spans="1:106" s="110" customFormat="1">
      <c r="A95" s="107" t="s">
        <v>415</v>
      </c>
      <c r="B95" s="153">
        <v>22102896</v>
      </c>
      <c r="C95" s="157" t="s">
        <v>1262</v>
      </c>
      <c r="D95" s="155">
        <v>44694</v>
      </c>
      <c r="E95" s="153">
        <v>80.7</v>
      </c>
      <c r="F95" s="153">
        <v>9</v>
      </c>
      <c r="G95" s="156">
        <v>13.82</v>
      </c>
      <c r="H95" s="153">
        <v>44.5</v>
      </c>
      <c r="I95" s="153">
        <v>31</v>
      </c>
      <c r="J95" s="153">
        <v>1</v>
      </c>
      <c r="K95" s="153">
        <v>1</v>
      </c>
      <c r="L95" s="153">
        <v>2</v>
      </c>
      <c r="M95" s="153">
        <v>0</v>
      </c>
      <c r="N95" s="153">
        <v>6</v>
      </c>
      <c r="O95" s="153">
        <v>8</v>
      </c>
      <c r="P95" s="153">
        <v>1405</v>
      </c>
      <c r="Q95" s="153">
        <v>39.5</v>
      </c>
      <c r="R95" s="153">
        <v>28</v>
      </c>
      <c r="S95" s="153">
        <v>25.5</v>
      </c>
      <c r="T95" s="155">
        <v>27932</v>
      </c>
      <c r="U95" s="153">
        <v>43.59</v>
      </c>
      <c r="V95" s="153">
        <v>2</v>
      </c>
      <c r="W95" s="153">
        <v>1</v>
      </c>
      <c r="X95" s="153">
        <v>1</v>
      </c>
      <c r="Y95" s="153">
        <v>4</v>
      </c>
      <c r="Z95" s="153">
        <v>0</v>
      </c>
      <c r="AA95" s="153">
        <v>1</v>
      </c>
      <c r="AB95" s="153">
        <v>0</v>
      </c>
      <c r="AC95" s="153">
        <v>0</v>
      </c>
      <c r="AD95" s="153">
        <v>0</v>
      </c>
      <c r="AE95" s="153">
        <v>0</v>
      </c>
      <c r="AF95" s="153">
        <v>0</v>
      </c>
      <c r="AG95" s="153">
        <v>0</v>
      </c>
      <c r="AH95" s="153">
        <v>0</v>
      </c>
      <c r="AI95" s="153">
        <v>1</v>
      </c>
      <c r="AJ95" s="153">
        <v>1</v>
      </c>
      <c r="AK95" s="153">
        <v>10</v>
      </c>
      <c r="AL95" s="153">
        <v>1</v>
      </c>
      <c r="AM95" s="153">
        <v>20</v>
      </c>
      <c r="AN95" s="153">
        <v>0</v>
      </c>
      <c r="AO95" s="153">
        <v>0</v>
      </c>
      <c r="AP95" s="153">
        <v>1</v>
      </c>
      <c r="AQ95" s="153">
        <v>1</v>
      </c>
      <c r="AR95" s="153">
        <v>1</v>
      </c>
      <c r="AS95" s="153">
        <v>0</v>
      </c>
      <c r="AT95" s="153">
        <v>0</v>
      </c>
      <c r="AU95" s="153">
        <v>0</v>
      </c>
      <c r="AV95" s="153">
        <v>0</v>
      </c>
      <c r="AW95" s="153">
        <v>0</v>
      </c>
      <c r="AX95" s="153">
        <v>0</v>
      </c>
      <c r="AY95" s="153">
        <v>0</v>
      </c>
      <c r="AZ95" s="153">
        <v>0</v>
      </c>
      <c r="BA95" s="153">
        <v>0</v>
      </c>
      <c r="BB95" s="153">
        <v>0</v>
      </c>
      <c r="BC95" s="153">
        <v>0</v>
      </c>
      <c r="BD95" s="153">
        <v>0</v>
      </c>
      <c r="BE95" s="153">
        <v>0</v>
      </c>
      <c r="BF95" s="153">
        <v>0</v>
      </c>
      <c r="BG95" s="153">
        <v>0</v>
      </c>
      <c r="BH95" s="153">
        <v>0</v>
      </c>
      <c r="BI95" s="153">
        <v>0</v>
      </c>
      <c r="BJ95" s="153">
        <v>0</v>
      </c>
      <c r="BK95" s="153">
        <v>1</v>
      </c>
      <c r="BL95" s="153">
        <v>0</v>
      </c>
      <c r="BM95" s="153">
        <v>0</v>
      </c>
      <c r="BN95" s="153">
        <v>0</v>
      </c>
      <c r="BO95" s="153">
        <v>0</v>
      </c>
      <c r="BP95" s="153">
        <v>0</v>
      </c>
      <c r="BQ95" s="153">
        <v>0</v>
      </c>
      <c r="BR95" s="153">
        <v>0</v>
      </c>
      <c r="BS95" s="153">
        <v>1</v>
      </c>
      <c r="BT95" s="153">
        <v>0</v>
      </c>
      <c r="BU95" s="153">
        <v>0</v>
      </c>
      <c r="BV95" s="153">
        <v>0</v>
      </c>
      <c r="BW95" s="153">
        <v>0</v>
      </c>
      <c r="BX95" s="153">
        <v>0</v>
      </c>
      <c r="BY95" s="153">
        <v>0</v>
      </c>
      <c r="BZ95" s="153">
        <v>0</v>
      </c>
      <c r="CA95" s="153" t="s">
        <v>947</v>
      </c>
      <c r="CB95" s="153">
        <v>0</v>
      </c>
      <c r="CC95" s="153" t="s">
        <v>947</v>
      </c>
      <c r="CD95" s="153">
        <v>1</v>
      </c>
      <c r="CE95" s="153" t="s">
        <v>946</v>
      </c>
      <c r="CF95" s="157" t="s">
        <v>1252</v>
      </c>
      <c r="CG95" s="153">
        <v>0</v>
      </c>
      <c r="CH95" s="153" t="s">
        <v>1253</v>
      </c>
      <c r="CI95" s="153">
        <v>0</v>
      </c>
      <c r="CJ95" s="157" t="s">
        <v>1254</v>
      </c>
      <c r="CK95" s="153" t="s">
        <v>1255</v>
      </c>
      <c r="CL95" s="153">
        <v>0</v>
      </c>
      <c r="CM95" s="153" t="s">
        <v>947</v>
      </c>
      <c r="CN95" s="153" t="s">
        <v>947</v>
      </c>
      <c r="CO95" s="157" t="s">
        <v>1086</v>
      </c>
      <c r="CP95" s="153" t="s">
        <v>1256</v>
      </c>
      <c r="CQ95" s="157" t="s">
        <v>993</v>
      </c>
      <c r="CR95" s="153" t="s">
        <v>1257</v>
      </c>
      <c r="CS95" s="157" t="s">
        <v>1258</v>
      </c>
      <c r="CT95" s="157" t="s">
        <v>1259</v>
      </c>
      <c r="CU95" s="153">
        <v>1</v>
      </c>
      <c r="CV95" s="153" t="s">
        <v>1260</v>
      </c>
      <c r="CW95" s="157" t="s">
        <v>1261</v>
      </c>
      <c r="CX95" s="153">
        <v>1</v>
      </c>
      <c r="CY95" s="157" t="s">
        <v>1149</v>
      </c>
      <c r="CZ95" s="153">
        <v>2</v>
      </c>
      <c r="DA95" s="153"/>
      <c r="DB95" s="158"/>
    </row>
    <row r="96" spans="1:106" s="193" customFormat="1">
      <c r="A96" s="194" t="s">
        <v>418</v>
      </c>
      <c r="B96" s="194">
        <v>22104599</v>
      </c>
      <c r="C96" s="194" t="s">
        <v>419</v>
      </c>
      <c r="D96" s="197"/>
      <c r="E96" s="194"/>
      <c r="F96" s="194"/>
      <c r="G96" s="232"/>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c r="AO96" s="194"/>
      <c r="AP96" s="194"/>
      <c r="AQ96" s="194"/>
      <c r="AR96" s="194"/>
      <c r="AS96" s="194"/>
      <c r="AT96" s="194"/>
      <c r="AU96" s="194"/>
      <c r="AV96" s="194"/>
      <c r="AW96" s="194"/>
      <c r="AX96" s="194"/>
      <c r="AY96" s="194"/>
      <c r="AZ96" s="194"/>
      <c r="BA96" s="194"/>
      <c r="BB96" s="194"/>
      <c r="BC96" s="194"/>
      <c r="BD96" s="194"/>
      <c r="BE96" s="194"/>
      <c r="BF96" s="194"/>
      <c r="BG96" s="194"/>
      <c r="BH96" s="194"/>
      <c r="BI96" s="194"/>
      <c r="BJ96" s="194"/>
      <c r="BK96" s="194"/>
      <c r="BL96" s="194"/>
      <c r="BM96" s="194"/>
      <c r="BN96" s="194"/>
      <c r="BO96" s="194"/>
      <c r="BP96" s="194"/>
      <c r="BQ96" s="194"/>
      <c r="BR96" s="194"/>
      <c r="BS96" s="194"/>
      <c r="BT96" s="194"/>
      <c r="BU96" s="194"/>
      <c r="BV96" s="194"/>
      <c r="BW96" s="194"/>
      <c r="BX96" s="194"/>
      <c r="BY96" s="194"/>
      <c r="BZ96" s="194"/>
      <c r="CA96" s="194"/>
      <c r="CB96" s="194"/>
      <c r="CC96" s="194"/>
      <c r="CD96" s="194"/>
      <c r="CE96" s="194"/>
      <c r="CF96" s="194"/>
      <c r="CG96" s="194"/>
      <c r="CH96" s="194"/>
      <c r="CI96" s="194"/>
      <c r="CJ96" s="194"/>
      <c r="CK96" s="194"/>
      <c r="CL96" s="194"/>
      <c r="CM96" s="194"/>
      <c r="CN96" s="194"/>
      <c r="CO96" s="194"/>
      <c r="CP96" s="194"/>
      <c r="CQ96" s="194"/>
      <c r="CR96" s="194"/>
      <c r="CS96" s="194"/>
      <c r="CT96" s="194"/>
      <c r="CU96" s="194"/>
      <c r="CV96" s="194"/>
      <c r="CW96" s="194"/>
      <c r="CX96" s="194"/>
      <c r="CY96" s="194"/>
      <c r="CZ96" s="194"/>
      <c r="DA96" s="194"/>
    </row>
    <row r="97" spans="1:106" s="110" customFormat="1">
      <c r="A97" s="107" t="s">
        <v>422</v>
      </c>
      <c r="B97" s="107">
        <v>5085718</v>
      </c>
      <c r="C97" s="107" t="s">
        <v>423</v>
      </c>
      <c r="D97" s="108"/>
      <c r="E97" s="107"/>
      <c r="F97" s="107"/>
      <c r="G97" s="109"/>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row>
    <row r="98" spans="1:106" s="189" customFormat="1">
      <c r="A98" s="185" t="s">
        <v>426</v>
      </c>
      <c r="B98" s="185">
        <v>22107919</v>
      </c>
      <c r="C98" s="185" t="s">
        <v>427</v>
      </c>
      <c r="D98" s="228"/>
      <c r="E98" s="185"/>
      <c r="F98" s="185"/>
      <c r="G98" s="229"/>
      <c r="H98" s="185"/>
      <c r="I98" s="185"/>
      <c r="J98" s="185"/>
      <c r="K98" s="185"/>
      <c r="L98" s="185"/>
      <c r="M98" s="185"/>
      <c r="N98" s="185"/>
      <c r="O98" s="185"/>
      <c r="P98" s="185"/>
      <c r="Q98" s="185"/>
      <c r="R98" s="185"/>
      <c r="S98" s="185"/>
      <c r="T98" s="185"/>
      <c r="U98" s="185"/>
      <c r="V98" s="185"/>
      <c r="W98" s="185"/>
      <c r="X98" s="185"/>
      <c r="Y98" s="185"/>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85"/>
      <c r="AX98" s="185"/>
      <c r="AY98" s="185"/>
      <c r="AZ98" s="185"/>
      <c r="BA98" s="185"/>
      <c r="BB98" s="185"/>
      <c r="BC98" s="185"/>
      <c r="BD98" s="185"/>
      <c r="BE98" s="185"/>
      <c r="BF98" s="185"/>
      <c r="BG98" s="185"/>
      <c r="BH98" s="185"/>
      <c r="BI98" s="185"/>
      <c r="BJ98" s="185"/>
      <c r="BK98" s="185"/>
      <c r="BL98" s="185"/>
      <c r="BM98" s="185"/>
      <c r="BN98" s="185"/>
      <c r="BO98" s="185"/>
      <c r="BP98" s="185"/>
      <c r="BQ98" s="185"/>
      <c r="BR98" s="185"/>
      <c r="BS98" s="185"/>
      <c r="BT98" s="185"/>
      <c r="BU98" s="185"/>
      <c r="BV98" s="185"/>
      <c r="BW98" s="185"/>
      <c r="BX98" s="185"/>
      <c r="BY98" s="185"/>
      <c r="BZ98" s="185"/>
      <c r="CA98" s="185"/>
      <c r="CB98" s="185"/>
      <c r="CC98" s="185"/>
      <c r="CD98" s="185"/>
      <c r="CE98" s="185"/>
      <c r="CF98" s="185"/>
      <c r="CG98" s="185"/>
      <c r="CH98" s="185"/>
      <c r="CI98" s="185"/>
      <c r="CJ98" s="185"/>
      <c r="CK98" s="185"/>
      <c r="CL98" s="185"/>
      <c r="CM98" s="185"/>
      <c r="CN98" s="185"/>
      <c r="CO98" s="185"/>
      <c r="CP98" s="185"/>
      <c r="CQ98" s="185"/>
      <c r="CR98" s="185"/>
      <c r="CS98" s="185"/>
      <c r="CT98" s="185"/>
      <c r="CU98" s="185"/>
      <c r="CV98" s="185"/>
      <c r="CW98" s="185"/>
      <c r="CX98" s="185"/>
      <c r="CY98" s="185"/>
      <c r="CZ98" s="185"/>
      <c r="DA98" s="185"/>
    </row>
    <row r="99" spans="1:106" s="110" customFormat="1">
      <c r="A99" s="107" t="s">
        <v>429</v>
      </c>
      <c r="B99" s="107">
        <v>22108733</v>
      </c>
      <c r="C99" s="107" t="s">
        <v>430</v>
      </c>
      <c r="D99" s="107"/>
      <c r="E99" s="107"/>
      <c r="F99" s="107"/>
      <c r="G99" s="109"/>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c r="CC99" s="107"/>
      <c r="CD99" s="107"/>
      <c r="CE99" s="107"/>
      <c r="CF99" s="107"/>
      <c r="CG99" s="107"/>
      <c r="CH99" s="107"/>
      <c r="CI99" s="107"/>
      <c r="CJ99" s="107"/>
      <c r="CK99" s="107"/>
      <c r="CL99" s="107"/>
      <c r="CM99" s="107"/>
      <c r="CN99" s="107"/>
      <c r="CO99" s="107"/>
      <c r="CP99" s="107"/>
      <c r="CQ99" s="107"/>
      <c r="CR99" s="107"/>
      <c r="CS99" s="107"/>
      <c r="CT99" s="107"/>
      <c r="CU99" s="107"/>
      <c r="CV99" s="107"/>
      <c r="CW99" s="107"/>
      <c r="CX99" s="107"/>
      <c r="CY99" s="107"/>
      <c r="CZ99" s="107"/>
      <c r="DA99" s="107"/>
    </row>
    <row r="100" spans="1:106" s="189" customFormat="1">
      <c r="A100" s="185" t="s">
        <v>433</v>
      </c>
      <c r="B100" s="186">
        <v>22139029</v>
      </c>
      <c r="C100" s="190" t="s">
        <v>1266</v>
      </c>
      <c r="D100" s="188">
        <v>44648</v>
      </c>
      <c r="E100" s="186">
        <v>77</v>
      </c>
      <c r="F100" s="186">
        <v>9.5</v>
      </c>
      <c r="G100" s="191">
        <v>16.02</v>
      </c>
      <c r="H100" s="186">
        <v>45.5</v>
      </c>
      <c r="I100" s="186">
        <v>31</v>
      </c>
      <c r="J100" s="186">
        <v>6</v>
      </c>
      <c r="K100" s="186">
        <v>1</v>
      </c>
      <c r="L100" s="186">
        <v>1</v>
      </c>
      <c r="M100" s="186">
        <v>0</v>
      </c>
      <c r="N100" s="186">
        <v>1</v>
      </c>
      <c r="O100" s="186">
        <v>3</v>
      </c>
      <c r="P100" s="186">
        <v>890</v>
      </c>
      <c r="Q100" s="186">
        <v>34</v>
      </c>
      <c r="R100" s="186">
        <v>26</v>
      </c>
      <c r="S100" s="186">
        <v>21</v>
      </c>
      <c r="T100" s="188">
        <v>33150</v>
      </c>
      <c r="U100" s="186">
        <v>29.25</v>
      </c>
      <c r="V100" s="186">
        <v>0</v>
      </c>
      <c r="W100" s="186">
        <v>2</v>
      </c>
      <c r="X100" s="186">
        <v>0</v>
      </c>
      <c r="Y100" s="186">
        <v>2</v>
      </c>
      <c r="Z100" s="186">
        <v>0</v>
      </c>
      <c r="AA100" s="186">
        <v>0</v>
      </c>
      <c r="AB100" s="186">
        <v>0</v>
      </c>
      <c r="AC100" s="186">
        <v>0</v>
      </c>
      <c r="AD100" s="186">
        <v>0</v>
      </c>
      <c r="AE100" s="186">
        <v>0</v>
      </c>
      <c r="AF100" s="186">
        <v>0</v>
      </c>
      <c r="AG100" s="186">
        <v>0</v>
      </c>
      <c r="AH100" s="186">
        <v>1</v>
      </c>
      <c r="AI100" s="186">
        <v>1</v>
      </c>
      <c r="AJ100" s="186">
        <v>0</v>
      </c>
      <c r="AK100" s="186">
        <v>0</v>
      </c>
      <c r="AL100" s="186">
        <v>1</v>
      </c>
      <c r="AM100" s="236" t="s">
        <v>1267</v>
      </c>
      <c r="AN100" s="186">
        <v>1</v>
      </c>
      <c r="AO100" s="186" t="s">
        <v>978</v>
      </c>
      <c r="AP100" s="186">
        <v>0</v>
      </c>
      <c r="AQ100" s="186">
        <v>0</v>
      </c>
      <c r="AR100" s="186">
        <v>1</v>
      </c>
      <c r="AS100" s="186">
        <v>0</v>
      </c>
      <c r="AT100" s="186">
        <v>0</v>
      </c>
      <c r="AU100" s="186">
        <v>0</v>
      </c>
      <c r="AV100" s="186">
        <v>0</v>
      </c>
      <c r="AW100" s="186">
        <v>0</v>
      </c>
      <c r="AX100" s="186">
        <v>0</v>
      </c>
      <c r="AY100" s="186">
        <v>0</v>
      </c>
      <c r="AZ100" s="186">
        <v>0</v>
      </c>
      <c r="BA100" s="186">
        <v>0</v>
      </c>
      <c r="BB100" s="186">
        <v>0</v>
      </c>
      <c r="BC100" s="186">
        <v>0</v>
      </c>
      <c r="BD100" s="186">
        <v>0</v>
      </c>
      <c r="BE100" s="186">
        <v>0</v>
      </c>
      <c r="BF100" s="186">
        <v>0</v>
      </c>
      <c r="BG100" s="186">
        <v>0</v>
      </c>
      <c r="BH100" s="186">
        <v>0</v>
      </c>
      <c r="BI100" s="186">
        <v>0</v>
      </c>
      <c r="BJ100" s="186">
        <v>0</v>
      </c>
      <c r="BK100" s="186">
        <v>1</v>
      </c>
      <c r="BL100" s="186">
        <v>0</v>
      </c>
      <c r="BM100" s="186">
        <v>0</v>
      </c>
      <c r="BN100" s="186">
        <v>0</v>
      </c>
      <c r="BO100" s="186">
        <v>0</v>
      </c>
      <c r="BP100" s="186">
        <v>1</v>
      </c>
      <c r="BQ100" s="186">
        <v>1</v>
      </c>
      <c r="BR100" s="186">
        <v>0</v>
      </c>
      <c r="BS100" s="186">
        <v>0</v>
      </c>
      <c r="BT100" s="186">
        <v>0</v>
      </c>
      <c r="BU100" s="186">
        <v>0</v>
      </c>
      <c r="BV100" s="186">
        <v>0</v>
      </c>
      <c r="BW100" s="186">
        <v>0</v>
      </c>
      <c r="BX100" s="186">
        <v>0</v>
      </c>
      <c r="BY100" s="186">
        <v>0</v>
      </c>
      <c r="BZ100" s="186">
        <v>1</v>
      </c>
      <c r="CA100" s="186" t="s">
        <v>1170</v>
      </c>
      <c r="CB100" s="186">
        <v>1</v>
      </c>
      <c r="CC100" s="190" t="s">
        <v>1057</v>
      </c>
      <c r="CD100" s="186">
        <v>1</v>
      </c>
      <c r="CE100" s="190" t="s">
        <v>1268</v>
      </c>
      <c r="CF100" s="190" t="s">
        <v>1269</v>
      </c>
      <c r="CG100" s="186">
        <v>1</v>
      </c>
      <c r="CH100" s="190" t="s">
        <v>1270</v>
      </c>
      <c r="CI100" s="186">
        <v>0</v>
      </c>
      <c r="CJ100" s="186" t="s">
        <v>947</v>
      </c>
      <c r="CK100" s="186" t="s">
        <v>947</v>
      </c>
      <c r="CL100" s="186">
        <v>1</v>
      </c>
      <c r="CM100" s="190" t="s">
        <v>1271</v>
      </c>
      <c r="CN100" s="190" t="s">
        <v>1272</v>
      </c>
      <c r="CO100" s="190" t="s">
        <v>1060</v>
      </c>
      <c r="CP100" s="190" t="s">
        <v>1273</v>
      </c>
      <c r="CQ100" s="190" t="s">
        <v>993</v>
      </c>
      <c r="CR100" s="186">
        <v>0</v>
      </c>
      <c r="CS100" s="186" t="s">
        <v>947</v>
      </c>
      <c r="CT100" s="186" t="s">
        <v>947</v>
      </c>
      <c r="CU100" s="186">
        <v>1</v>
      </c>
      <c r="CV100" s="190" t="s">
        <v>1274</v>
      </c>
      <c r="CW100" s="190" t="s">
        <v>1275</v>
      </c>
      <c r="CX100" s="186">
        <v>1</v>
      </c>
      <c r="CY100" s="190" t="s">
        <v>1276</v>
      </c>
      <c r="CZ100" s="186">
        <v>2</v>
      </c>
      <c r="DA100" s="186"/>
      <c r="DB100" s="187"/>
    </row>
    <row r="101" spans="1:106" s="189" customFormat="1">
      <c r="A101" s="185" t="s">
        <v>437</v>
      </c>
      <c r="B101" s="185">
        <v>22107875</v>
      </c>
      <c r="C101" s="185" t="s">
        <v>438</v>
      </c>
      <c r="D101" s="228"/>
      <c r="E101" s="185"/>
      <c r="F101" s="185"/>
      <c r="G101" s="229"/>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c r="BS101" s="185"/>
      <c r="BT101" s="185"/>
      <c r="BU101" s="185"/>
      <c r="BV101" s="185"/>
      <c r="BW101" s="185"/>
      <c r="BX101" s="185"/>
      <c r="BY101" s="185"/>
      <c r="BZ101" s="185"/>
      <c r="CA101" s="185"/>
      <c r="CB101" s="185"/>
      <c r="CC101" s="185"/>
      <c r="CD101" s="185"/>
      <c r="CE101" s="185"/>
      <c r="CF101" s="185"/>
      <c r="CG101" s="185"/>
      <c r="CH101" s="185"/>
      <c r="CI101" s="185"/>
      <c r="CJ101" s="185"/>
      <c r="CK101" s="185"/>
      <c r="CL101" s="185"/>
      <c r="CM101" s="185"/>
      <c r="CN101" s="185"/>
      <c r="CO101" s="185"/>
      <c r="CP101" s="185"/>
      <c r="CQ101" s="185"/>
      <c r="CR101" s="185"/>
      <c r="CS101" s="185"/>
      <c r="CT101" s="185"/>
      <c r="CU101" s="185"/>
      <c r="CV101" s="185"/>
      <c r="CW101" s="185"/>
      <c r="CX101" s="185"/>
      <c r="CY101" s="185"/>
      <c r="CZ101" s="185"/>
      <c r="DA101" s="185"/>
    </row>
    <row r="102" spans="1:106" s="110" customFormat="1">
      <c r="A102" s="107" t="s">
        <v>441</v>
      </c>
      <c r="B102" s="107">
        <v>22105502</v>
      </c>
      <c r="C102" s="107" t="s">
        <v>442</v>
      </c>
      <c r="D102" s="108"/>
      <c r="E102" s="107"/>
      <c r="F102" s="107"/>
      <c r="G102" s="109"/>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row>
    <row r="103" spans="1:106" s="189" customFormat="1">
      <c r="A103" s="185" t="s">
        <v>445</v>
      </c>
      <c r="B103" s="186">
        <v>22103078</v>
      </c>
      <c r="C103" s="190" t="s">
        <v>1280</v>
      </c>
      <c r="D103" s="188">
        <v>44639</v>
      </c>
      <c r="E103" s="186">
        <v>80.099999999999994</v>
      </c>
      <c r="F103" s="186">
        <v>8.8000000000000007</v>
      </c>
      <c r="G103" s="191">
        <v>13.72</v>
      </c>
      <c r="H103" s="186">
        <v>43.5</v>
      </c>
      <c r="I103" s="186">
        <v>26</v>
      </c>
      <c r="J103" s="186">
        <v>0</v>
      </c>
      <c r="K103" s="186">
        <v>1</v>
      </c>
      <c r="L103" s="186">
        <v>2</v>
      </c>
      <c r="M103" s="186">
        <v>0</v>
      </c>
      <c r="N103" s="186">
        <v>1</v>
      </c>
      <c r="O103" s="186">
        <v>1</v>
      </c>
      <c r="P103" s="186">
        <v>545</v>
      </c>
      <c r="Q103" s="186">
        <v>29</v>
      </c>
      <c r="R103" s="186">
        <v>18</v>
      </c>
      <c r="S103" s="186">
        <v>17</v>
      </c>
      <c r="T103" s="188">
        <v>28995</v>
      </c>
      <c r="U103" s="186">
        <v>40.549999999999997</v>
      </c>
      <c r="V103" s="186">
        <v>2</v>
      </c>
      <c r="W103" s="186">
        <v>2</v>
      </c>
      <c r="X103" s="186">
        <v>1</v>
      </c>
      <c r="Y103" s="186">
        <v>3</v>
      </c>
      <c r="Z103" s="186">
        <v>0</v>
      </c>
      <c r="AA103" s="186">
        <v>1</v>
      </c>
      <c r="AB103" s="186">
        <v>0</v>
      </c>
      <c r="AC103" s="186">
        <v>1</v>
      </c>
      <c r="AD103" s="186">
        <v>0</v>
      </c>
      <c r="AE103" s="186">
        <v>0</v>
      </c>
      <c r="AF103" s="186">
        <v>0</v>
      </c>
      <c r="AG103" s="186">
        <v>0</v>
      </c>
      <c r="AH103" s="186">
        <v>0</v>
      </c>
      <c r="AI103" s="186">
        <v>1</v>
      </c>
      <c r="AJ103" s="186">
        <v>0</v>
      </c>
      <c r="AK103" s="186">
        <v>0</v>
      </c>
      <c r="AL103" s="186">
        <v>1</v>
      </c>
      <c r="AM103" s="186">
        <v>8</v>
      </c>
      <c r="AN103" s="186">
        <v>0</v>
      </c>
      <c r="AO103" s="186">
        <v>0</v>
      </c>
      <c r="AP103" s="186">
        <v>0</v>
      </c>
      <c r="AQ103" s="186">
        <v>0</v>
      </c>
      <c r="AR103" s="186">
        <v>1</v>
      </c>
      <c r="AS103" s="186">
        <v>0</v>
      </c>
      <c r="AT103" s="186">
        <v>0</v>
      </c>
      <c r="AU103" s="186">
        <v>0</v>
      </c>
      <c r="AV103" s="186">
        <v>0</v>
      </c>
      <c r="AW103" s="186">
        <v>0</v>
      </c>
      <c r="AX103" s="186">
        <v>0</v>
      </c>
      <c r="AY103" s="186">
        <v>1</v>
      </c>
      <c r="AZ103" s="186">
        <v>0</v>
      </c>
      <c r="BA103" s="186">
        <v>0</v>
      </c>
      <c r="BB103" s="186">
        <v>0</v>
      </c>
      <c r="BC103" s="186">
        <v>0</v>
      </c>
      <c r="BD103" s="186">
        <v>0</v>
      </c>
      <c r="BE103" s="186">
        <v>0</v>
      </c>
      <c r="BF103" s="186">
        <v>0</v>
      </c>
      <c r="BG103" s="186">
        <v>0</v>
      </c>
      <c r="BH103" s="186">
        <v>1</v>
      </c>
      <c r="BI103" s="186">
        <v>0</v>
      </c>
      <c r="BJ103" s="186">
        <v>0</v>
      </c>
      <c r="BK103" s="186">
        <v>1</v>
      </c>
      <c r="BL103" s="186">
        <v>0</v>
      </c>
      <c r="BM103" s="186">
        <v>1</v>
      </c>
      <c r="BN103" s="186">
        <v>0</v>
      </c>
      <c r="BO103" s="186">
        <v>0</v>
      </c>
      <c r="BP103" s="186">
        <v>0</v>
      </c>
      <c r="BQ103" s="186">
        <v>0</v>
      </c>
      <c r="BR103" s="186">
        <v>0</v>
      </c>
      <c r="BS103" s="186">
        <v>1</v>
      </c>
      <c r="BT103" s="186">
        <v>1</v>
      </c>
      <c r="BU103" s="186">
        <v>0</v>
      </c>
      <c r="BV103" s="186">
        <v>0</v>
      </c>
      <c r="BW103" s="186">
        <v>0</v>
      </c>
      <c r="BX103" s="186">
        <v>0</v>
      </c>
      <c r="BY103" s="186">
        <v>0</v>
      </c>
      <c r="BZ103" s="186">
        <v>1</v>
      </c>
      <c r="CA103" s="186" t="s">
        <v>1125</v>
      </c>
      <c r="CB103" s="186">
        <v>0</v>
      </c>
      <c r="CC103" s="186" t="s">
        <v>947</v>
      </c>
      <c r="CD103" s="186">
        <v>1</v>
      </c>
      <c r="CE103" s="190" t="s">
        <v>1281</v>
      </c>
      <c r="CF103" s="190" t="s">
        <v>1282</v>
      </c>
      <c r="CG103" s="186">
        <v>1</v>
      </c>
      <c r="CH103" s="186" t="s">
        <v>1084</v>
      </c>
      <c r="CI103" s="186">
        <v>1</v>
      </c>
      <c r="CJ103" s="186" t="s">
        <v>1084</v>
      </c>
      <c r="CK103" s="190" t="s">
        <v>1186</v>
      </c>
      <c r="CL103" s="186">
        <v>1</v>
      </c>
      <c r="CM103" s="186" t="s">
        <v>946</v>
      </c>
      <c r="CN103" s="186" t="s">
        <v>1283</v>
      </c>
      <c r="CO103" s="186">
        <v>0</v>
      </c>
      <c r="CP103" s="186" t="s">
        <v>947</v>
      </c>
      <c r="CQ103" s="186" t="s">
        <v>947</v>
      </c>
      <c r="CR103" s="186">
        <v>0</v>
      </c>
      <c r="CS103" s="186" t="s">
        <v>947</v>
      </c>
      <c r="CT103" s="186" t="s">
        <v>947</v>
      </c>
      <c r="CU103" s="186">
        <v>1</v>
      </c>
      <c r="CV103" s="186" t="s">
        <v>1284</v>
      </c>
      <c r="CW103" s="190" t="s">
        <v>1285</v>
      </c>
      <c r="CX103" s="186">
        <v>1</v>
      </c>
      <c r="CY103" s="190" t="s">
        <v>1149</v>
      </c>
      <c r="CZ103" s="186">
        <v>2</v>
      </c>
      <c r="DA103" s="186"/>
      <c r="DB103" s="187"/>
    </row>
    <row r="104" spans="1:106" s="193" customFormat="1">
      <c r="A104" s="194" t="s">
        <v>449</v>
      </c>
      <c r="B104" s="194">
        <v>22105498</v>
      </c>
      <c r="C104" s="194" t="s">
        <v>450</v>
      </c>
      <c r="D104" s="197"/>
      <c r="E104" s="194"/>
      <c r="F104" s="194"/>
      <c r="G104" s="232"/>
      <c r="H104" s="194"/>
      <c r="I104" s="194"/>
      <c r="J104" s="194"/>
      <c r="K104" s="194"/>
      <c r="L104" s="194"/>
      <c r="M104" s="194"/>
      <c r="N104" s="194"/>
      <c r="O104" s="194"/>
      <c r="P104" s="194"/>
      <c r="Q104" s="194"/>
      <c r="R104" s="194"/>
      <c r="S104" s="194"/>
      <c r="T104" s="194"/>
      <c r="U104" s="194"/>
      <c r="V104" s="194"/>
      <c r="W104" s="194"/>
      <c r="X104" s="194"/>
      <c r="Y104" s="194"/>
      <c r="Z104" s="194"/>
      <c r="AA104" s="194"/>
      <c r="AB104" s="194"/>
      <c r="AC104" s="194"/>
      <c r="AD104" s="194"/>
      <c r="AE104" s="194"/>
      <c r="AF104" s="194"/>
      <c r="AG104" s="194"/>
      <c r="AH104" s="194"/>
      <c r="AI104" s="194"/>
      <c r="AJ104" s="194"/>
      <c r="AK104" s="194"/>
      <c r="AL104" s="194"/>
      <c r="AM104" s="194"/>
      <c r="AN104" s="194"/>
      <c r="AO104" s="194"/>
      <c r="AP104" s="194"/>
      <c r="AQ104" s="194"/>
      <c r="AR104" s="194"/>
      <c r="AS104" s="194"/>
      <c r="AT104" s="194"/>
      <c r="AU104" s="194"/>
      <c r="AV104" s="194"/>
      <c r="AW104" s="194"/>
      <c r="AX104" s="194"/>
      <c r="AY104" s="194"/>
      <c r="AZ104" s="194"/>
      <c r="BA104" s="194"/>
      <c r="BB104" s="194"/>
      <c r="BC104" s="194"/>
      <c r="BD104" s="194"/>
      <c r="BE104" s="194"/>
      <c r="BF104" s="194"/>
      <c r="BG104" s="194"/>
      <c r="BH104" s="194"/>
      <c r="BI104" s="194"/>
      <c r="BJ104" s="194"/>
      <c r="BK104" s="194"/>
      <c r="BL104" s="194"/>
      <c r="BM104" s="194"/>
      <c r="BN104" s="194"/>
      <c r="BO104" s="194"/>
      <c r="BP104" s="194"/>
      <c r="BQ104" s="194"/>
      <c r="BR104" s="194"/>
      <c r="BS104" s="194"/>
      <c r="BT104" s="194"/>
      <c r="BU104" s="194"/>
      <c r="BV104" s="194"/>
      <c r="BW104" s="194"/>
      <c r="BX104" s="194"/>
      <c r="BY104" s="194"/>
      <c r="BZ104" s="194"/>
      <c r="CA104" s="194"/>
      <c r="CB104" s="194"/>
      <c r="CC104" s="194"/>
      <c r="CD104" s="194"/>
      <c r="CE104" s="194"/>
      <c r="CF104" s="194"/>
      <c r="CG104" s="194"/>
      <c r="CH104" s="194"/>
      <c r="CI104" s="194"/>
      <c r="CJ104" s="194"/>
      <c r="CK104" s="194"/>
      <c r="CL104" s="194"/>
      <c r="CM104" s="194"/>
      <c r="CN104" s="194"/>
      <c r="CO104" s="194"/>
      <c r="CP104" s="194"/>
      <c r="CQ104" s="194"/>
      <c r="CR104" s="194"/>
      <c r="CS104" s="194"/>
      <c r="CT104" s="194"/>
      <c r="CU104" s="194"/>
      <c r="CV104" s="194"/>
      <c r="CW104" s="194"/>
      <c r="CX104" s="194"/>
      <c r="CY104" s="194"/>
      <c r="CZ104" s="194"/>
      <c r="DA104" s="194"/>
    </row>
    <row r="105" spans="1:106" s="193" customFormat="1">
      <c r="A105" s="194" t="s">
        <v>454</v>
      </c>
      <c r="B105" s="194">
        <v>22107550</v>
      </c>
      <c r="C105" s="194" t="s">
        <v>455</v>
      </c>
      <c r="D105" s="194"/>
      <c r="E105" s="194"/>
      <c r="F105" s="194"/>
      <c r="G105" s="232"/>
      <c r="H105" s="194"/>
      <c r="I105" s="194"/>
      <c r="J105" s="194"/>
      <c r="K105" s="194"/>
      <c r="L105" s="194"/>
      <c r="M105" s="194"/>
      <c r="N105" s="194"/>
      <c r="O105" s="194"/>
      <c r="P105" s="194"/>
      <c r="Q105" s="194"/>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4"/>
      <c r="BN105" s="194"/>
      <c r="BO105" s="194"/>
      <c r="BP105" s="194"/>
      <c r="BQ105" s="194"/>
      <c r="BR105" s="194"/>
      <c r="BS105" s="194"/>
      <c r="BT105" s="194"/>
      <c r="BU105" s="194"/>
      <c r="BV105" s="194"/>
      <c r="BW105" s="194"/>
      <c r="BX105" s="194"/>
      <c r="BY105" s="194"/>
      <c r="BZ105" s="194"/>
      <c r="CA105" s="194"/>
      <c r="CB105" s="194"/>
      <c r="CC105" s="194"/>
      <c r="CD105" s="194"/>
      <c r="CE105" s="194"/>
      <c r="CF105" s="194"/>
      <c r="CG105" s="194"/>
      <c r="CH105" s="194"/>
      <c r="CI105" s="194"/>
      <c r="CJ105" s="194"/>
      <c r="CK105" s="194"/>
      <c r="CL105" s="194"/>
      <c r="CM105" s="194"/>
      <c r="CN105" s="194"/>
      <c r="CO105" s="194"/>
      <c r="CP105" s="194"/>
      <c r="CQ105" s="194"/>
      <c r="CR105" s="194"/>
      <c r="CS105" s="194"/>
      <c r="CT105" s="194"/>
      <c r="CU105" s="194"/>
      <c r="CV105" s="194"/>
      <c r="CW105" s="194"/>
      <c r="CX105" s="194"/>
      <c r="CY105" s="194"/>
      <c r="CZ105" s="194"/>
      <c r="DA105" s="194"/>
    </row>
    <row r="106" spans="1:106" s="110" customFormat="1">
      <c r="A106" s="107" t="s">
        <v>458</v>
      </c>
      <c r="B106" s="107">
        <v>22107191</v>
      </c>
      <c r="C106" s="107" t="s">
        <v>459</v>
      </c>
      <c r="D106" s="108"/>
      <c r="E106" s="107"/>
      <c r="F106" s="107"/>
      <c r="G106" s="109"/>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row>
    <row r="107" spans="1:106" s="110" customFormat="1">
      <c r="A107" s="107" t="s">
        <v>463</v>
      </c>
      <c r="B107" s="107">
        <v>22107192</v>
      </c>
      <c r="C107" s="107" t="s">
        <v>464</v>
      </c>
      <c r="D107" s="108"/>
      <c r="E107" s="107"/>
      <c r="F107" s="107"/>
      <c r="G107" s="109"/>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row>
    <row r="108" spans="1:106" s="193" customFormat="1">
      <c r="A108" s="194" t="s">
        <v>466</v>
      </c>
      <c r="B108" s="194">
        <v>22108569</v>
      </c>
      <c r="C108" s="194" t="s">
        <v>467</v>
      </c>
      <c r="D108" s="194"/>
      <c r="E108" s="194"/>
      <c r="F108" s="194"/>
      <c r="G108" s="232"/>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c r="AF108" s="194"/>
      <c r="AG108" s="194"/>
      <c r="AH108" s="194"/>
      <c r="AI108" s="194"/>
      <c r="AJ108" s="194"/>
      <c r="AK108" s="194"/>
      <c r="AL108" s="194"/>
      <c r="AM108" s="194"/>
      <c r="AN108" s="194"/>
      <c r="AO108" s="194"/>
      <c r="AP108" s="194"/>
      <c r="AQ108" s="194"/>
      <c r="AR108" s="194"/>
      <c r="AS108" s="194"/>
      <c r="AT108" s="194"/>
      <c r="AU108" s="194"/>
      <c r="AV108" s="194"/>
      <c r="AW108" s="194"/>
      <c r="AX108" s="194"/>
      <c r="AY108" s="194"/>
      <c r="AZ108" s="194"/>
      <c r="BA108" s="194"/>
      <c r="BB108" s="194"/>
      <c r="BC108" s="194"/>
      <c r="BD108" s="194"/>
      <c r="BE108" s="194"/>
      <c r="BF108" s="194"/>
      <c r="BG108" s="194"/>
      <c r="BH108" s="194"/>
      <c r="BI108" s="194"/>
      <c r="BJ108" s="194"/>
      <c r="BK108" s="194"/>
      <c r="BL108" s="194"/>
      <c r="BM108" s="194"/>
      <c r="BN108" s="194"/>
      <c r="BO108" s="194"/>
      <c r="BP108" s="194"/>
      <c r="BQ108" s="194"/>
      <c r="BR108" s="194"/>
      <c r="BS108" s="194"/>
      <c r="BT108" s="194"/>
      <c r="BU108" s="194"/>
      <c r="BV108" s="194"/>
      <c r="BW108" s="194"/>
      <c r="BX108" s="194"/>
      <c r="BY108" s="194"/>
      <c r="BZ108" s="194"/>
      <c r="CA108" s="194"/>
      <c r="CB108" s="194"/>
      <c r="CC108" s="194"/>
      <c r="CD108" s="194"/>
      <c r="CE108" s="194"/>
      <c r="CF108" s="194"/>
      <c r="CG108" s="194"/>
      <c r="CH108" s="194"/>
      <c r="CI108" s="194"/>
      <c r="CJ108" s="194"/>
      <c r="CK108" s="194"/>
      <c r="CL108" s="194"/>
      <c r="CM108" s="194"/>
      <c r="CN108" s="194"/>
      <c r="CO108" s="194"/>
      <c r="CP108" s="194"/>
      <c r="CQ108" s="194"/>
      <c r="CR108" s="194"/>
      <c r="CS108" s="194"/>
      <c r="CT108" s="194"/>
      <c r="CU108" s="194"/>
      <c r="CV108" s="194"/>
      <c r="CW108" s="194"/>
      <c r="CX108" s="194"/>
      <c r="CY108" s="194"/>
      <c r="CZ108" s="194"/>
      <c r="DA108" s="194"/>
    </row>
    <row r="109" spans="1:106" s="189" customFormat="1">
      <c r="A109" s="185" t="s">
        <v>470</v>
      </c>
      <c r="B109" s="186">
        <v>22103283</v>
      </c>
      <c r="C109" s="190" t="s">
        <v>1292</v>
      </c>
      <c r="D109" s="188">
        <v>44697</v>
      </c>
      <c r="E109" s="186">
        <v>86</v>
      </c>
      <c r="F109" s="186">
        <v>10.9</v>
      </c>
      <c r="G109" s="191">
        <v>14.74</v>
      </c>
      <c r="H109" s="186">
        <v>46</v>
      </c>
      <c r="I109" s="186">
        <v>31</v>
      </c>
      <c r="J109" s="186">
        <v>2</v>
      </c>
      <c r="K109" s="186">
        <v>1</v>
      </c>
      <c r="L109" s="186">
        <v>2</v>
      </c>
      <c r="M109" s="186">
        <v>0</v>
      </c>
      <c r="N109" s="186">
        <v>7</v>
      </c>
      <c r="O109" s="186">
        <v>8</v>
      </c>
      <c r="P109" s="186">
        <v>1275</v>
      </c>
      <c r="Q109" s="186">
        <v>40.5</v>
      </c>
      <c r="R109" s="186">
        <v>27.2</v>
      </c>
      <c r="S109" s="186">
        <v>23.5</v>
      </c>
      <c r="T109" s="188">
        <v>29882</v>
      </c>
      <c r="U109" s="186">
        <v>38.340000000000003</v>
      </c>
      <c r="V109" s="186">
        <v>0</v>
      </c>
      <c r="W109" s="186">
        <v>1</v>
      </c>
      <c r="X109" s="186">
        <v>1</v>
      </c>
      <c r="Y109" s="186">
        <v>1</v>
      </c>
      <c r="Z109" s="186">
        <v>1</v>
      </c>
      <c r="AA109" s="186">
        <v>1</v>
      </c>
      <c r="AB109" s="186">
        <v>0</v>
      </c>
      <c r="AC109" s="186">
        <v>0</v>
      </c>
      <c r="AD109" s="186">
        <v>0</v>
      </c>
      <c r="AE109" s="186">
        <v>0</v>
      </c>
      <c r="AF109" s="186">
        <v>0</v>
      </c>
      <c r="AG109" s="186">
        <v>0</v>
      </c>
      <c r="AH109" s="186">
        <v>1</v>
      </c>
      <c r="AI109" s="186">
        <v>0</v>
      </c>
      <c r="AJ109" s="186">
        <v>0</v>
      </c>
      <c r="AK109" s="186">
        <v>0</v>
      </c>
      <c r="AL109" s="186">
        <v>0</v>
      </c>
      <c r="AM109" s="186">
        <v>0</v>
      </c>
      <c r="AN109" s="186">
        <v>0</v>
      </c>
      <c r="AO109" s="186">
        <v>0</v>
      </c>
      <c r="AP109" s="186">
        <v>0</v>
      </c>
      <c r="AQ109" s="186">
        <v>0</v>
      </c>
      <c r="AR109" s="186">
        <v>1</v>
      </c>
      <c r="AS109" s="186">
        <v>0</v>
      </c>
      <c r="AT109" s="186">
        <v>0</v>
      </c>
      <c r="AU109" s="186">
        <v>0</v>
      </c>
      <c r="AV109" s="186">
        <v>0</v>
      </c>
      <c r="AW109" s="186">
        <v>0</v>
      </c>
      <c r="AX109" s="186">
        <v>0</v>
      </c>
      <c r="AY109" s="186">
        <v>0</v>
      </c>
      <c r="AZ109" s="186">
        <v>0</v>
      </c>
      <c r="BA109" s="186">
        <v>0</v>
      </c>
      <c r="BB109" s="186">
        <v>0</v>
      </c>
      <c r="BC109" s="186">
        <v>0</v>
      </c>
      <c r="BD109" s="186">
        <v>0</v>
      </c>
      <c r="BE109" s="186">
        <v>0</v>
      </c>
      <c r="BF109" s="186">
        <v>0</v>
      </c>
      <c r="BG109" s="186">
        <v>0</v>
      </c>
      <c r="BH109" s="186">
        <v>0</v>
      </c>
      <c r="BI109" s="186">
        <v>0</v>
      </c>
      <c r="BJ109" s="186">
        <v>0</v>
      </c>
      <c r="BK109" s="186">
        <v>1</v>
      </c>
      <c r="BL109" s="186">
        <v>0</v>
      </c>
      <c r="BM109" s="186">
        <v>0</v>
      </c>
      <c r="BN109" s="186" t="s">
        <v>978</v>
      </c>
      <c r="BO109" s="186" t="s">
        <v>978</v>
      </c>
      <c r="BP109" s="186">
        <v>0</v>
      </c>
      <c r="BQ109" s="186">
        <v>1</v>
      </c>
      <c r="BR109" s="186">
        <v>0</v>
      </c>
      <c r="BS109" s="186">
        <v>0</v>
      </c>
      <c r="BT109" s="186">
        <v>0</v>
      </c>
      <c r="BU109" s="186">
        <v>0</v>
      </c>
      <c r="BV109" s="186">
        <v>0</v>
      </c>
      <c r="BW109" s="186">
        <v>0</v>
      </c>
      <c r="BX109" s="186">
        <v>0</v>
      </c>
      <c r="BY109" s="186">
        <v>0</v>
      </c>
      <c r="BZ109" s="186">
        <v>1</v>
      </c>
      <c r="CA109" s="186" t="s">
        <v>1293</v>
      </c>
      <c r="CB109" s="186">
        <v>0</v>
      </c>
      <c r="CC109" s="186" t="s">
        <v>947</v>
      </c>
      <c r="CD109" s="186">
        <v>1</v>
      </c>
      <c r="CE109" s="186" t="s">
        <v>946</v>
      </c>
      <c r="CF109" s="190" t="s">
        <v>1057</v>
      </c>
      <c r="CG109" s="186">
        <v>1</v>
      </c>
      <c r="CH109" s="186" t="s">
        <v>1210</v>
      </c>
      <c r="CI109" s="186">
        <v>0</v>
      </c>
      <c r="CJ109" s="186" t="s">
        <v>947</v>
      </c>
      <c r="CK109" s="186" t="s">
        <v>947</v>
      </c>
      <c r="CL109" s="186">
        <v>1</v>
      </c>
      <c r="CM109" s="186" t="s">
        <v>1294</v>
      </c>
      <c r="CN109" s="190" t="s">
        <v>1243</v>
      </c>
      <c r="CO109" s="186" t="s">
        <v>1295</v>
      </c>
      <c r="CP109" s="190" t="s">
        <v>1296</v>
      </c>
      <c r="CQ109" s="190" t="s">
        <v>1297</v>
      </c>
      <c r="CR109" s="190" t="s">
        <v>1298</v>
      </c>
      <c r="CS109" s="190" t="s">
        <v>1299</v>
      </c>
      <c r="CT109" s="190" t="s">
        <v>1004</v>
      </c>
      <c r="CU109" s="186">
        <v>0</v>
      </c>
      <c r="CV109" s="186" t="s">
        <v>947</v>
      </c>
      <c r="CW109" s="186" t="s">
        <v>947</v>
      </c>
      <c r="CX109" s="186">
        <v>1</v>
      </c>
      <c r="CY109" s="190" t="s">
        <v>1276</v>
      </c>
      <c r="CZ109" s="186">
        <v>2</v>
      </c>
      <c r="DA109" s="186"/>
      <c r="DB109" s="187"/>
    </row>
    <row r="110" spans="1:106" s="189" customFormat="1">
      <c r="A110" s="185" t="s">
        <v>474</v>
      </c>
      <c r="B110" s="185">
        <v>22107215</v>
      </c>
      <c r="C110" s="185" t="s">
        <v>475</v>
      </c>
      <c r="D110" s="228"/>
      <c r="E110" s="185"/>
      <c r="F110" s="185"/>
      <c r="G110" s="229"/>
      <c r="H110" s="185"/>
      <c r="I110" s="185"/>
      <c r="J110" s="185"/>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c r="BO110" s="185"/>
      <c r="BP110" s="185"/>
      <c r="BQ110" s="185"/>
      <c r="BR110" s="185"/>
      <c r="BS110" s="185"/>
      <c r="BT110" s="185"/>
      <c r="BU110" s="185"/>
      <c r="BV110" s="185"/>
      <c r="BW110" s="185"/>
      <c r="BX110" s="185"/>
      <c r="BY110" s="185"/>
      <c r="BZ110" s="185"/>
      <c r="CA110" s="185"/>
      <c r="CB110" s="185"/>
      <c r="CC110" s="185"/>
      <c r="CD110" s="185"/>
      <c r="CE110" s="185"/>
      <c r="CF110" s="185"/>
      <c r="CG110" s="185"/>
      <c r="CH110" s="185"/>
      <c r="CI110" s="185"/>
      <c r="CJ110" s="185"/>
      <c r="CK110" s="185"/>
      <c r="CL110" s="185"/>
      <c r="CM110" s="185"/>
      <c r="CN110" s="185"/>
      <c r="CO110" s="185"/>
      <c r="CP110" s="185"/>
      <c r="CQ110" s="185"/>
      <c r="CR110" s="185"/>
      <c r="CS110" s="185"/>
      <c r="CT110" s="185"/>
      <c r="CU110" s="185"/>
      <c r="CV110" s="185"/>
      <c r="CW110" s="185"/>
      <c r="CX110" s="185"/>
      <c r="CY110" s="185"/>
      <c r="CZ110" s="185"/>
      <c r="DA110" s="185"/>
    </row>
    <row r="111" spans="1:106" s="203" customFormat="1">
      <c r="A111" s="202" t="s">
        <v>478</v>
      </c>
      <c r="B111" s="202">
        <v>22106269</v>
      </c>
      <c r="C111" s="202" t="s">
        <v>479</v>
      </c>
      <c r="D111" s="258"/>
      <c r="E111" s="202"/>
      <c r="F111" s="202"/>
      <c r="G111" s="237"/>
      <c r="H111" s="202"/>
      <c r="I111" s="202"/>
      <c r="J111" s="202"/>
      <c r="K111" s="202"/>
      <c r="L111" s="202"/>
      <c r="M111" s="202"/>
      <c r="N111" s="202"/>
      <c r="O111" s="202"/>
      <c r="P111" s="202"/>
      <c r="Q111" s="202"/>
      <c r="R111" s="202"/>
      <c r="S111" s="202"/>
      <c r="T111" s="202"/>
      <c r="U111" s="202"/>
      <c r="V111" s="202"/>
      <c r="W111" s="202"/>
      <c r="X111" s="202"/>
      <c r="Y111" s="202"/>
      <c r="Z111" s="202"/>
      <c r="AA111" s="202"/>
      <c r="AB111" s="202"/>
      <c r="AC111" s="202"/>
      <c r="AD111" s="202"/>
      <c r="AE111" s="202"/>
      <c r="AF111" s="202"/>
      <c r="AG111" s="202"/>
      <c r="AH111" s="202"/>
      <c r="AI111" s="202"/>
      <c r="AJ111" s="202"/>
      <c r="AK111" s="202"/>
      <c r="AL111" s="202"/>
      <c r="AM111" s="202"/>
      <c r="AN111" s="202"/>
      <c r="AO111" s="202"/>
      <c r="AP111" s="202"/>
      <c r="AQ111" s="202"/>
      <c r="AR111" s="202"/>
      <c r="AS111" s="202"/>
      <c r="AT111" s="202"/>
      <c r="AU111" s="202"/>
      <c r="AV111" s="202"/>
      <c r="AW111" s="202"/>
      <c r="AX111" s="202"/>
      <c r="AY111" s="202"/>
      <c r="AZ111" s="202"/>
      <c r="BA111" s="202"/>
      <c r="BB111" s="202"/>
      <c r="BC111" s="202"/>
      <c r="BD111" s="202"/>
      <c r="BE111" s="202"/>
      <c r="BF111" s="202"/>
      <c r="BG111" s="202"/>
      <c r="BH111" s="202"/>
      <c r="BI111" s="202"/>
      <c r="BJ111" s="202"/>
      <c r="BK111" s="202"/>
      <c r="BL111" s="202"/>
      <c r="BM111" s="202"/>
      <c r="BN111" s="202"/>
      <c r="BO111" s="202"/>
      <c r="BP111" s="202"/>
      <c r="BQ111" s="202"/>
      <c r="BR111" s="202"/>
      <c r="BS111" s="202"/>
      <c r="BT111" s="202"/>
      <c r="BU111" s="202"/>
      <c r="BV111" s="202"/>
      <c r="BW111" s="202"/>
      <c r="BX111" s="202"/>
      <c r="BY111" s="202"/>
      <c r="BZ111" s="202"/>
      <c r="CA111" s="202"/>
      <c r="CB111" s="202"/>
      <c r="CC111" s="202"/>
      <c r="CD111" s="202"/>
      <c r="CE111" s="202"/>
      <c r="CF111" s="202"/>
      <c r="CG111" s="202"/>
      <c r="CH111" s="202"/>
      <c r="CI111" s="202"/>
      <c r="CJ111" s="202"/>
      <c r="CK111" s="202"/>
      <c r="CL111" s="202"/>
      <c r="CM111" s="202"/>
      <c r="CN111" s="202"/>
      <c r="CO111" s="202"/>
      <c r="CP111" s="202"/>
      <c r="CQ111" s="202"/>
      <c r="CR111" s="202"/>
      <c r="CS111" s="202"/>
      <c r="CT111" s="202"/>
      <c r="CU111" s="202"/>
      <c r="CV111" s="202"/>
      <c r="CW111" s="202"/>
      <c r="CX111" s="202"/>
      <c r="CY111" s="202"/>
      <c r="CZ111" s="202"/>
      <c r="DA111" s="202"/>
    </row>
    <row r="112" spans="1:106" s="189" customFormat="1">
      <c r="A112" s="185" t="s">
        <v>482</v>
      </c>
      <c r="B112" s="186">
        <v>21928733</v>
      </c>
      <c r="C112" s="190" t="s">
        <v>1302</v>
      </c>
      <c r="D112" s="188">
        <v>44491</v>
      </c>
      <c r="E112" s="186">
        <v>93</v>
      </c>
      <c r="F112" s="186">
        <v>12</v>
      </c>
      <c r="G112" s="191">
        <v>13.87</v>
      </c>
      <c r="H112" s="186">
        <v>48</v>
      </c>
      <c r="I112" s="186">
        <v>24</v>
      </c>
      <c r="J112" s="186">
        <v>5</v>
      </c>
      <c r="K112" s="186">
        <v>1</v>
      </c>
      <c r="L112" s="186">
        <v>1</v>
      </c>
      <c r="M112" s="186">
        <v>0</v>
      </c>
      <c r="N112" s="186"/>
      <c r="O112" s="186"/>
      <c r="P112" s="186">
        <v>885</v>
      </c>
      <c r="Q112" s="186">
        <v>34</v>
      </c>
      <c r="R112" s="186">
        <v>23</v>
      </c>
      <c r="S112" s="186">
        <v>22</v>
      </c>
      <c r="T112" s="188">
        <v>31198</v>
      </c>
      <c r="U112" s="186">
        <v>33.659999999999997</v>
      </c>
      <c r="V112" s="186">
        <v>2</v>
      </c>
      <c r="W112" s="186">
        <v>1</v>
      </c>
      <c r="X112" s="186">
        <v>2</v>
      </c>
      <c r="Y112" s="186">
        <v>3</v>
      </c>
      <c r="Z112" s="186">
        <v>0</v>
      </c>
      <c r="AA112" s="186">
        <v>0</v>
      </c>
      <c r="AB112" s="186">
        <v>0</v>
      </c>
      <c r="AC112" s="186">
        <v>0</v>
      </c>
      <c r="AD112" s="186">
        <v>0</v>
      </c>
      <c r="AE112" s="186">
        <v>0</v>
      </c>
      <c r="AF112" s="186">
        <v>0</v>
      </c>
      <c r="AG112" s="186">
        <v>0</v>
      </c>
      <c r="AH112" s="186">
        <v>0</v>
      </c>
      <c r="AI112" s="186">
        <v>1</v>
      </c>
      <c r="AJ112" s="186">
        <v>0</v>
      </c>
      <c r="AK112" s="186">
        <v>0</v>
      </c>
      <c r="AL112" s="186">
        <v>1</v>
      </c>
      <c r="AM112" s="186">
        <v>10</v>
      </c>
      <c r="AN112" s="186">
        <v>0</v>
      </c>
      <c r="AO112" s="186">
        <v>0</v>
      </c>
      <c r="AP112" s="186">
        <v>0</v>
      </c>
      <c r="AQ112" s="186">
        <v>0</v>
      </c>
      <c r="AR112" s="186">
        <v>1</v>
      </c>
      <c r="AS112" s="186">
        <v>0</v>
      </c>
      <c r="AT112" s="186">
        <v>0</v>
      </c>
      <c r="AU112" s="186">
        <v>0</v>
      </c>
      <c r="AV112" s="186">
        <v>0</v>
      </c>
      <c r="AW112" s="186">
        <v>0</v>
      </c>
      <c r="AX112" s="186">
        <v>0</v>
      </c>
      <c r="AY112" s="186">
        <v>1</v>
      </c>
      <c r="AZ112" s="186">
        <v>0</v>
      </c>
      <c r="BA112" s="186">
        <v>0</v>
      </c>
      <c r="BB112" s="186">
        <v>0</v>
      </c>
      <c r="BC112" s="186">
        <v>0</v>
      </c>
      <c r="BD112" s="186">
        <v>0</v>
      </c>
      <c r="BE112" s="186">
        <v>0</v>
      </c>
      <c r="BF112" s="186">
        <v>0</v>
      </c>
      <c r="BG112" s="186">
        <v>0</v>
      </c>
      <c r="BH112" s="186">
        <v>0</v>
      </c>
      <c r="BI112" s="186">
        <v>0</v>
      </c>
      <c r="BJ112" s="190" t="s">
        <v>1303</v>
      </c>
      <c r="BK112" s="186">
        <v>1</v>
      </c>
      <c r="BL112" s="186">
        <v>0</v>
      </c>
      <c r="BM112" s="186">
        <v>1</v>
      </c>
      <c r="BN112" s="186">
        <v>0</v>
      </c>
      <c r="BO112" s="186">
        <v>0</v>
      </c>
      <c r="BP112" s="186">
        <v>1</v>
      </c>
      <c r="BQ112" s="186">
        <v>0</v>
      </c>
      <c r="BR112" s="186">
        <v>0</v>
      </c>
      <c r="BS112" s="186">
        <v>0</v>
      </c>
      <c r="BT112" s="186">
        <v>1</v>
      </c>
      <c r="BU112" s="186">
        <v>0</v>
      </c>
      <c r="BV112" s="190" t="s">
        <v>1304</v>
      </c>
      <c r="BW112" s="186">
        <v>0</v>
      </c>
      <c r="BX112" s="186">
        <v>0</v>
      </c>
      <c r="BY112" s="186">
        <v>0</v>
      </c>
      <c r="BZ112" s="186">
        <v>1</v>
      </c>
      <c r="CA112" s="186" t="s">
        <v>1000</v>
      </c>
      <c r="CB112" s="186">
        <v>1</v>
      </c>
      <c r="CC112" s="190" t="s">
        <v>1057</v>
      </c>
      <c r="CD112" s="186">
        <v>1</v>
      </c>
      <c r="CE112" s="186" t="s">
        <v>1011</v>
      </c>
      <c r="CF112" s="190" t="s">
        <v>980</v>
      </c>
      <c r="CG112" s="186">
        <v>1</v>
      </c>
      <c r="CH112" s="186" t="s">
        <v>1305</v>
      </c>
      <c r="CI112" s="186">
        <v>0</v>
      </c>
      <c r="CJ112" s="186" t="s">
        <v>947</v>
      </c>
      <c r="CK112" s="186" t="s">
        <v>947</v>
      </c>
      <c r="CL112" s="186">
        <v>0</v>
      </c>
      <c r="CM112" s="186" t="s">
        <v>947</v>
      </c>
      <c r="CN112" s="186" t="s">
        <v>947</v>
      </c>
      <c r="CO112" s="190" t="s">
        <v>1060</v>
      </c>
      <c r="CP112" s="186" t="s">
        <v>1306</v>
      </c>
      <c r="CQ112" s="190" t="s">
        <v>993</v>
      </c>
      <c r="CR112" s="186">
        <v>0</v>
      </c>
      <c r="CS112" s="186" t="s">
        <v>947</v>
      </c>
      <c r="CT112" s="186" t="s">
        <v>947</v>
      </c>
      <c r="CU112" s="186">
        <v>0</v>
      </c>
      <c r="CV112" s="186" t="s">
        <v>947</v>
      </c>
      <c r="CW112" s="186" t="s">
        <v>947</v>
      </c>
      <c r="CX112" s="186">
        <v>1</v>
      </c>
      <c r="CY112" s="186" t="s">
        <v>1307</v>
      </c>
      <c r="CZ112" s="186">
        <v>2</v>
      </c>
      <c r="DA112" s="186"/>
      <c r="DB112" s="187"/>
    </row>
    <row r="113" spans="1:106" s="193" customFormat="1">
      <c r="A113" s="194" t="s">
        <v>486</v>
      </c>
      <c r="B113" s="194">
        <v>22104710</v>
      </c>
      <c r="C113" s="194" t="s">
        <v>487</v>
      </c>
      <c r="D113" s="197"/>
      <c r="E113" s="194"/>
      <c r="F113" s="194"/>
      <c r="G113" s="232"/>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94"/>
      <c r="AH113" s="194"/>
      <c r="AI113" s="194"/>
      <c r="AJ113" s="194"/>
      <c r="AK113" s="194"/>
      <c r="AL113" s="194"/>
      <c r="AM113" s="194"/>
      <c r="AN113" s="194"/>
      <c r="AO113" s="194"/>
      <c r="AP113" s="194"/>
      <c r="AQ113" s="194"/>
      <c r="AR113" s="194"/>
      <c r="AS113" s="194"/>
      <c r="AT113" s="194"/>
      <c r="AU113" s="194"/>
      <c r="AV113" s="194"/>
      <c r="AW113" s="194"/>
      <c r="AX113" s="194"/>
      <c r="AY113" s="194"/>
      <c r="AZ113" s="194"/>
      <c r="BA113" s="194"/>
      <c r="BB113" s="194"/>
      <c r="BC113" s="194"/>
      <c r="BD113" s="194"/>
      <c r="BE113" s="194"/>
      <c r="BF113" s="194"/>
      <c r="BG113" s="194"/>
      <c r="BH113" s="194"/>
      <c r="BI113" s="194"/>
      <c r="BJ113" s="194"/>
      <c r="BK113" s="194"/>
      <c r="BL113" s="194"/>
      <c r="BM113" s="194"/>
      <c r="BN113" s="194"/>
      <c r="BO113" s="194"/>
      <c r="BP113" s="194"/>
      <c r="BQ113" s="194"/>
      <c r="BR113" s="194"/>
      <c r="BS113" s="194"/>
      <c r="BT113" s="194"/>
      <c r="BU113" s="194"/>
      <c r="BV113" s="194"/>
      <c r="BW113" s="194"/>
      <c r="BX113" s="194"/>
      <c r="BY113" s="194"/>
      <c r="BZ113" s="194"/>
      <c r="CA113" s="194"/>
      <c r="CB113" s="194"/>
      <c r="CC113" s="194"/>
      <c r="CD113" s="194"/>
      <c r="CE113" s="194"/>
      <c r="CF113" s="194"/>
      <c r="CG113" s="194"/>
      <c r="CH113" s="194"/>
      <c r="CI113" s="194"/>
      <c r="CJ113" s="194"/>
      <c r="CK113" s="194"/>
      <c r="CL113" s="194"/>
      <c r="CM113" s="194"/>
      <c r="CN113" s="194"/>
      <c r="CO113" s="194"/>
      <c r="CP113" s="194"/>
      <c r="CQ113" s="194"/>
      <c r="CR113" s="194"/>
      <c r="CS113" s="194"/>
      <c r="CT113" s="194"/>
      <c r="CU113" s="194"/>
      <c r="CV113" s="194"/>
      <c r="CW113" s="194"/>
      <c r="CX113" s="194"/>
      <c r="CY113" s="194"/>
      <c r="CZ113" s="194"/>
      <c r="DA113" s="194"/>
    </row>
    <row r="114" spans="1:106" s="110" customFormat="1">
      <c r="A114" s="107" t="s">
        <v>490</v>
      </c>
      <c r="B114" s="107">
        <v>22105636</v>
      </c>
      <c r="C114" s="107" t="s">
        <v>491</v>
      </c>
      <c r="D114" s="108"/>
      <c r="E114" s="107"/>
      <c r="F114" s="107"/>
      <c r="G114" s="109"/>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row>
    <row r="115" spans="1:106" s="189" customFormat="1">
      <c r="A115" s="185" t="s">
        <v>494</v>
      </c>
      <c r="B115" s="185">
        <v>22104579</v>
      </c>
      <c r="C115" s="185" t="s">
        <v>495</v>
      </c>
      <c r="D115" s="195"/>
      <c r="E115" s="185"/>
      <c r="F115" s="185"/>
      <c r="G115" s="229"/>
      <c r="H115" s="185"/>
      <c r="I115" s="185"/>
      <c r="J115" s="185"/>
      <c r="K115" s="185"/>
      <c r="L115" s="185"/>
      <c r="M115" s="185"/>
      <c r="N115" s="185"/>
      <c r="O115" s="185"/>
      <c r="P115" s="185"/>
      <c r="Q115" s="185"/>
      <c r="R115" s="185"/>
      <c r="S115" s="185"/>
      <c r="T115" s="185"/>
      <c r="U115" s="185"/>
      <c r="V115" s="185"/>
      <c r="W115" s="185"/>
      <c r="X115" s="185"/>
      <c r="Y115" s="185"/>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5"/>
      <c r="BO115" s="185"/>
      <c r="BP115" s="185"/>
      <c r="BQ115" s="185"/>
      <c r="BR115" s="185"/>
      <c r="BS115" s="185"/>
      <c r="BT115" s="185"/>
      <c r="BU115" s="185"/>
      <c r="BV115" s="185"/>
      <c r="BW115" s="185"/>
      <c r="BX115" s="185"/>
      <c r="BY115" s="185"/>
      <c r="BZ115" s="185"/>
      <c r="CA115" s="185"/>
      <c r="CB115" s="185"/>
      <c r="CC115" s="185"/>
      <c r="CD115" s="185"/>
      <c r="CE115" s="185"/>
      <c r="CF115" s="185"/>
      <c r="CG115" s="185"/>
      <c r="CH115" s="185"/>
      <c r="CI115" s="185"/>
      <c r="CJ115" s="185"/>
      <c r="CK115" s="185"/>
      <c r="CL115" s="185"/>
      <c r="CM115" s="185"/>
      <c r="CN115" s="185"/>
      <c r="CO115" s="185"/>
      <c r="CP115" s="185"/>
      <c r="CQ115" s="185"/>
      <c r="CR115" s="185"/>
      <c r="CS115" s="185"/>
      <c r="CT115" s="185"/>
      <c r="CU115" s="185"/>
      <c r="CV115" s="185"/>
      <c r="CW115" s="185"/>
      <c r="CX115" s="185"/>
      <c r="CY115" s="185"/>
      <c r="CZ115" s="185"/>
      <c r="DA115" s="185"/>
    </row>
    <row r="116" spans="1:106" s="189" customFormat="1">
      <c r="A116" s="185" t="s">
        <v>499</v>
      </c>
      <c r="B116" s="185">
        <v>22108091</v>
      </c>
      <c r="C116" s="185" t="s">
        <v>500</v>
      </c>
      <c r="D116" s="228"/>
      <c r="E116" s="185"/>
      <c r="F116" s="185"/>
      <c r="G116" s="229"/>
      <c r="H116" s="185"/>
      <c r="I116" s="185"/>
      <c r="J116" s="185"/>
      <c r="K116" s="185"/>
      <c r="L116" s="185"/>
      <c r="M116" s="185"/>
      <c r="N116" s="185"/>
      <c r="O116" s="185"/>
      <c r="P116" s="185"/>
      <c r="Q116" s="185"/>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5"/>
      <c r="BO116" s="185"/>
      <c r="BP116" s="185"/>
      <c r="BQ116" s="185"/>
      <c r="BR116" s="185"/>
      <c r="BS116" s="185"/>
      <c r="BT116" s="185"/>
      <c r="BU116" s="185"/>
      <c r="BV116" s="185"/>
      <c r="BW116" s="185"/>
      <c r="BX116" s="185"/>
      <c r="BY116" s="185"/>
      <c r="BZ116" s="185"/>
      <c r="CA116" s="185"/>
      <c r="CB116" s="185"/>
      <c r="CC116" s="185"/>
      <c r="CD116" s="185"/>
      <c r="CE116" s="185"/>
      <c r="CF116" s="185"/>
      <c r="CG116" s="185"/>
      <c r="CH116" s="185"/>
      <c r="CI116" s="185"/>
      <c r="CJ116" s="185"/>
      <c r="CK116" s="185"/>
      <c r="CL116" s="185"/>
      <c r="CM116" s="185"/>
      <c r="CN116" s="185"/>
      <c r="CO116" s="185"/>
      <c r="CP116" s="185"/>
      <c r="CQ116" s="185"/>
      <c r="CR116" s="185"/>
      <c r="CS116" s="185"/>
      <c r="CT116" s="185"/>
      <c r="CU116" s="185"/>
      <c r="CV116" s="185"/>
      <c r="CW116" s="185"/>
      <c r="CX116" s="185"/>
      <c r="CY116" s="185"/>
      <c r="CZ116" s="185"/>
      <c r="DA116" s="185"/>
    </row>
    <row r="117" spans="1:106" s="193" customFormat="1">
      <c r="A117" s="194" t="s">
        <v>503</v>
      </c>
      <c r="B117" s="194">
        <v>22108353</v>
      </c>
      <c r="C117" s="194" t="s">
        <v>504</v>
      </c>
      <c r="D117" s="194"/>
      <c r="E117" s="194"/>
      <c r="F117" s="194"/>
      <c r="G117" s="232"/>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c r="AO117" s="194"/>
      <c r="AP117" s="194"/>
      <c r="AQ117" s="194"/>
      <c r="AR117" s="194"/>
      <c r="AS117" s="194"/>
      <c r="AT117" s="194"/>
      <c r="AU117" s="194"/>
      <c r="AV117" s="194"/>
      <c r="AW117" s="194"/>
      <c r="AX117" s="194"/>
      <c r="AY117" s="194"/>
      <c r="AZ117" s="194"/>
      <c r="BA117" s="194"/>
      <c r="BB117" s="194"/>
      <c r="BC117" s="194"/>
      <c r="BD117" s="194"/>
      <c r="BE117" s="194"/>
      <c r="BF117" s="194"/>
      <c r="BG117" s="194"/>
      <c r="BH117" s="194"/>
      <c r="BI117" s="194"/>
      <c r="BJ117" s="194"/>
      <c r="BK117" s="194"/>
      <c r="BL117" s="194"/>
      <c r="BM117" s="194"/>
      <c r="BN117" s="194"/>
      <c r="BO117" s="194"/>
      <c r="BP117" s="194"/>
      <c r="BQ117" s="194"/>
      <c r="BR117" s="194"/>
      <c r="BS117" s="194"/>
      <c r="BT117" s="194"/>
      <c r="BU117" s="194"/>
      <c r="BV117" s="194"/>
      <c r="BW117" s="194"/>
      <c r="BX117" s="194"/>
      <c r="BY117" s="194"/>
      <c r="BZ117" s="194"/>
      <c r="CA117" s="194"/>
      <c r="CB117" s="194"/>
      <c r="CC117" s="194"/>
      <c r="CD117" s="194"/>
      <c r="CE117" s="194"/>
      <c r="CF117" s="194"/>
      <c r="CG117" s="194"/>
      <c r="CH117" s="194"/>
      <c r="CI117" s="194"/>
      <c r="CJ117" s="194"/>
      <c r="CK117" s="194"/>
      <c r="CL117" s="194"/>
      <c r="CM117" s="194"/>
      <c r="CN117" s="194"/>
      <c r="CO117" s="194"/>
      <c r="CP117" s="194"/>
      <c r="CQ117" s="194"/>
      <c r="CR117" s="194"/>
      <c r="CS117" s="194"/>
      <c r="CT117" s="194"/>
      <c r="CU117" s="194"/>
      <c r="CV117" s="194"/>
      <c r="CW117" s="194"/>
      <c r="CX117" s="194"/>
      <c r="CY117" s="194"/>
      <c r="CZ117" s="194"/>
      <c r="DA117" s="194"/>
    </row>
    <row r="118" spans="1:106" s="189" customFormat="1">
      <c r="A118" s="185" t="s">
        <v>507</v>
      </c>
      <c r="B118" s="186">
        <v>22102665</v>
      </c>
      <c r="C118" s="190" t="s">
        <v>1315</v>
      </c>
      <c r="D118" s="188">
        <v>44651</v>
      </c>
      <c r="E118" s="186">
        <v>85</v>
      </c>
      <c r="F118" s="186">
        <v>10.4</v>
      </c>
      <c r="G118" s="191">
        <v>14.39</v>
      </c>
      <c r="H118" s="186">
        <v>48</v>
      </c>
      <c r="I118" s="186">
        <v>31</v>
      </c>
      <c r="J118" s="186">
        <v>1</v>
      </c>
      <c r="K118" s="186">
        <v>1</v>
      </c>
      <c r="L118" s="186">
        <v>2</v>
      </c>
      <c r="M118" s="186">
        <v>0</v>
      </c>
      <c r="N118" s="186">
        <v>6</v>
      </c>
      <c r="O118" s="186">
        <v>9</v>
      </c>
      <c r="P118" s="186">
        <v>1175</v>
      </c>
      <c r="Q118" s="186">
        <v>38.5</v>
      </c>
      <c r="R118" s="186">
        <v>27.5</v>
      </c>
      <c r="S118" s="186">
        <v>23.5</v>
      </c>
      <c r="T118" s="188">
        <v>31953</v>
      </c>
      <c r="U118" s="186">
        <v>32.53</v>
      </c>
      <c r="V118" s="186">
        <v>0</v>
      </c>
      <c r="W118" s="186">
        <v>2</v>
      </c>
      <c r="X118" s="186">
        <v>3</v>
      </c>
      <c r="Y118" s="186">
        <v>2</v>
      </c>
      <c r="Z118" s="186">
        <v>1</v>
      </c>
      <c r="AA118" s="186">
        <v>0</v>
      </c>
      <c r="AB118" s="186">
        <v>1</v>
      </c>
      <c r="AC118" s="186">
        <v>0</v>
      </c>
      <c r="AD118" s="186">
        <v>0</v>
      </c>
      <c r="AE118" s="186">
        <v>0</v>
      </c>
      <c r="AF118" s="186">
        <v>0</v>
      </c>
      <c r="AG118" s="186">
        <v>0</v>
      </c>
      <c r="AH118" s="186">
        <v>0</v>
      </c>
      <c r="AI118" s="186">
        <v>1</v>
      </c>
      <c r="AJ118" s="186">
        <v>0</v>
      </c>
      <c r="AK118" s="186">
        <v>0</v>
      </c>
      <c r="AL118" s="186">
        <v>0</v>
      </c>
      <c r="AM118" s="186">
        <v>0</v>
      </c>
      <c r="AN118" s="186">
        <v>0</v>
      </c>
      <c r="AO118" s="186">
        <v>0</v>
      </c>
      <c r="AP118" s="186">
        <v>1</v>
      </c>
      <c r="AQ118" s="186">
        <v>1</v>
      </c>
      <c r="AR118" s="186">
        <v>2</v>
      </c>
      <c r="AS118" s="186">
        <v>0</v>
      </c>
      <c r="AT118" s="186">
        <v>0</v>
      </c>
      <c r="AU118" s="186">
        <v>0</v>
      </c>
      <c r="AV118" s="186">
        <v>0</v>
      </c>
      <c r="AW118" s="186">
        <v>0</v>
      </c>
      <c r="AX118" s="186">
        <v>0</v>
      </c>
      <c r="AY118" s="186">
        <v>0</v>
      </c>
      <c r="AZ118" s="186">
        <v>0</v>
      </c>
      <c r="BA118" s="186">
        <v>0</v>
      </c>
      <c r="BB118" s="186">
        <v>0</v>
      </c>
      <c r="BC118" s="186">
        <v>0</v>
      </c>
      <c r="BD118" s="186">
        <v>0</v>
      </c>
      <c r="BE118" s="186">
        <v>0</v>
      </c>
      <c r="BF118" s="186">
        <v>0</v>
      </c>
      <c r="BG118" s="186">
        <v>0</v>
      </c>
      <c r="BH118" s="186">
        <v>0</v>
      </c>
      <c r="BI118" s="186">
        <v>0</v>
      </c>
      <c r="BJ118" s="186">
        <v>0</v>
      </c>
      <c r="BK118" s="186">
        <v>0</v>
      </c>
      <c r="BL118" s="186">
        <v>0</v>
      </c>
      <c r="BM118" s="186">
        <v>0</v>
      </c>
      <c r="BN118" s="186">
        <v>0</v>
      </c>
      <c r="BO118" s="186">
        <v>0</v>
      </c>
      <c r="BP118" s="186">
        <v>0</v>
      </c>
      <c r="BQ118" s="186">
        <v>0</v>
      </c>
      <c r="BR118" s="186">
        <v>0</v>
      </c>
      <c r="BS118" s="186">
        <v>0</v>
      </c>
      <c r="BT118" s="186">
        <v>0</v>
      </c>
      <c r="BU118" s="186">
        <v>0</v>
      </c>
      <c r="BV118" s="186">
        <v>0</v>
      </c>
      <c r="BW118" s="186">
        <v>0</v>
      </c>
      <c r="BX118" s="186">
        <v>0</v>
      </c>
      <c r="BY118" s="186">
        <v>0</v>
      </c>
      <c r="BZ118" s="186">
        <v>1</v>
      </c>
      <c r="CA118" s="186" t="s">
        <v>1316</v>
      </c>
      <c r="CB118" s="186">
        <v>1</v>
      </c>
      <c r="CC118" s="190" t="s">
        <v>1057</v>
      </c>
      <c r="CD118" s="186">
        <v>1</v>
      </c>
      <c r="CE118" s="186" t="s">
        <v>946</v>
      </c>
      <c r="CF118" s="190" t="s">
        <v>1317</v>
      </c>
      <c r="CG118" s="186">
        <v>1</v>
      </c>
      <c r="CH118" s="186" t="s">
        <v>1318</v>
      </c>
      <c r="CI118" s="186">
        <v>0</v>
      </c>
      <c r="CJ118" s="186" t="s">
        <v>947</v>
      </c>
      <c r="CK118" s="186" t="s">
        <v>947</v>
      </c>
      <c r="CL118" s="186">
        <v>1</v>
      </c>
      <c r="CM118" s="186" t="s">
        <v>1293</v>
      </c>
      <c r="CN118" s="190" t="s">
        <v>1004</v>
      </c>
      <c r="CO118" s="190" t="s">
        <v>1060</v>
      </c>
      <c r="CP118" s="186" t="s">
        <v>1318</v>
      </c>
      <c r="CQ118" s="190" t="s">
        <v>993</v>
      </c>
      <c r="CR118" s="186">
        <v>0</v>
      </c>
      <c r="CS118" s="186" t="s">
        <v>947</v>
      </c>
      <c r="CT118" s="186" t="s">
        <v>947</v>
      </c>
      <c r="CU118" s="186">
        <v>0</v>
      </c>
      <c r="CV118" s="186" t="s">
        <v>947</v>
      </c>
      <c r="CW118" s="186" t="s">
        <v>947</v>
      </c>
      <c r="CX118" s="186">
        <v>1</v>
      </c>
      <c r="CY118" s="190" t="s">
        <v>1149</v>
      </c>
      <c r="CZ118" s="186"/>
      <c r="DA118" s="186"/>
      <c r="DB118" s="187"/>
    </row>
    <row r="119" spans="1:106" s="189" customFormat="1">
      <c r="A119" s="185" t="s">
        <v>510</v>
      </c>
      <c r="B119" s="185">
        <v>22108869</v>
      </c>
      <c r="C119" s="185" t="s">
        <v>511</v>
      </c>
      <c r="D119" s="185"/>
      <c r="E119" s="185"/>
      <c r="F119" s="185"/>
      <c r="G119" s="229"/>
      <c r="H119" s="185"/>
      <c r="I119" s="185"/>
      <c r="J119" s="185"/>
      <c r="K119" s="185"/>
      <c r="L119" s="185"/>
      <c r="M119" s="185"/>
      <c r="N119" s="185"/>
      <c r="O119" s="185"/>
      <c r="P119" s="185"/>
      <c r="Q119" s="185"/>
      <c r="R119" s="185"/>
      <c r="S119" s="185"/>
      <c r="T119" s="185"/>
      <c r="U119" s="185"/>
      <c r="V119" s="185"/>
      <c r="W119" s="185"/>
      <c r="X119" s="185"/>
      <c r="Y119" s="185"/>
      <c r="Z119" s="185"/>
      <c r="AA119" s="185"/>
      <c r="AB119" s="185"/>
      <c r="AC119" s="185"/>
      <c r="AD119" s="185"/>
      <c r="AE119" s="185"/>
      <c r="AF119" s="185"/>
      <c r="AG119" s="185"/>
      <c r="AH119" s="185"/>
      <c r="AI119" s="185"/>
      <c r="AJ119" s="185"/>
      <c r="AK119" s="185"/>
      <c r="AL119" s="185"/>
      <c r="AM119" s="185"/>
      <c r="AN119" s="185"/>
      <c r="AO119" s="185"/>
      <c r="AP119" s="185"/>
      <c r="AQ119" s="185"/>
      <c r="AR119" s="185"/>
      <c r="AS119" s="185"/>
      <c r="AT119" s="185"/>
      <c r="AU119" s="185"/>
      <c r="AV119" s="185"/>
      <c r="AW119" s="185"/>
      <c r="AX119" s="185"/>
      <c r="AY119" s="185"/>
      <c r="AZ119" s="185"/>
      <c r="BA119" s="185"/>
      <c r="BB119" s="185"/>
      <c r="BC119" s="185"/>
      <c r="BD119" s="185"/>
      <c r="BE119" s="185"/>
      <c r="BF119" s="185"/>
      <c r="BG119" s="185"/>
      <c r="BH119" s="185"/>
      <c r="BI119" s="185"/>
      <c r="BJ119" s="185"/>
      <c r="BK119" s="185"/>
      <c r="BL119" s="185"/>
      <c r="BM119" s="185"/>
      <c r="BN119" s="185"/>
      <c r="BO119" s="185"/>
      <c r="BP119" s="185"/>
      <c r="BQ119" s="185"/>
      <c r="BR119" s="185"/>
      <c r="BS119" s="185"/>
      <c r="BT119" s="185"/>
      <c r="BU119" s="185"/>
      <c r="BV119" s="185"/>
      <c r="BW119" s="185"/>
      <c r="BX119" s="185"/>
      <c r="BY119" s="185"/>
      <c r="BZ119" s="185"/>
      <c r="CA119" s="185"/>
      <c r="CB119" s="185"/>
      <c r="CC119" s="185"/>
      <c r="CD119" s="185"/>
      <c r="CE119" s="185"/>
      <c r="CF119" s="185"/>
      <c r="CG119" s="185"/>
      <c r="CH119" s="185"/>
      <c r="CI119" s="185"/>
      <c r="CJ119" s="185"/>
      <c r="CK119" s="185"/>
      <c r="CL119" s="185"/>
      <c r="CM119" s="185"/>
      <c r="CN119" s="185"/>
      <c r="CO119" s="185"/>
      <c r="CP119" s="185"/>
      <c r="CQ119" s="185"/>
      <c r="CR119" s="185"/>
      <c r="CS119" s="185"/>
      <c r="CT119" s="185"/>
      <c r="CU119" s="185"/>
      <c r="CV119" s="185"/>
      <c r="CW119" s="185"/>
      <c r="CX119" s="185"/>
      <c r="CY119" s="185"/>
      <c r="CZ119" s="185"/>
      <c r="DA119" s="185"/>
    </row>
    <row r="120" spans="1:106" s="193" customFormat="1">
      <c r="A120" s="194" t="s">
        <v>514</v>
      </c>
      <c r="B120" s="194">
        <v>22107197</v>
      </c>
      <c r="C120" s="194" t="s">
        <v>515</v>
      </c>
      <c r="D120" s="200"/>
      <c r="E120" s="194"/>
      <c r="F120" s="194"/>
      <c r="G120" s="232"/>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4"/>
      <c r="AE120" s="194"/>
      <c r="AF120" s="194"/>
      <c r="AG120" s="194"/>
      <c r="AH120" s="194"/>
      <c r="AI120" s="194"/>
      <c r="AJ120" s="194"/>
      <c r="AK120" s="194"/>
      <c r="AL120" s="194"/>
      <c r="AM120" s="194"/>
      <c r="AN120" s="194"/>
      <c r="AO120" s="194"/>
      <c r="AP120" s="194"/>
      <c r="AQ120" s="194"/>
      <c r="AR120" s="194"/>
      <c r="AS120" s="194"/>
      <c r="AT120" s="194"/>
      <c r="AU120" s="194"/>
      <c r="AV120" s="194"/>
      <c r="AW120" s="194"/>
      <c r="AX120" s="194"/>
      <c r="AY120" s="194"/>
      <c r="AZ120" s="194"/>
      <c r="BA120" s="194"/>
      <c r="BB120" s="194"/>
      <c r="BC120" s="194"/>
      <c r="BD120" s="194"/>
      <c r="BE120" s="194"/>
      <c r="BF120" s="194"/>
      <c r="BG120" s="194"/>
      <c r="BH120" s="194"/>
      <c r="BI120" s="194"/>
      <c r="BJ120" s="194"/>
      <c r="BK120" s="194"/>
      <c r="BL120" s="194"/>
      <c r="BM120" s="194"/>
      <c r="BN120" s="194"/>
      <c r="BO120" s="194"/>
      <c r="BP120" s="194"/>
      <c r="BQ120" s="194"/>
      <c r="BR120" s="194"/>
      <c r="BS120" s="194"/>
      <c r="BT120" s="194"/>
      <c r="BU120" s="194"/>
      <c r="BV120" s="194"/>
      <c r="BW120" s="194"/>
      <c r="BX120" s="194"/>
      <c r="BY120" s="194"/>
      <c r="BZ120" s="194"/>
      <c r="CA120" s="194"/>
      <c r="CB120" s="194"/>
      <c r="CC120" s="194"/>
      <c r="CD120" s="194"/>
      <c r="CE120" s="194"/>
      <c r="CF120" s="194"/>
      <c r="CG120" s="194"/>
      <c r="CH120" s="194"/>
      <c r="CI120" s="194"/>
      <c r="CJ120" s="194"/>
      <c r="CK120" s="194"/>
      <c r="CL120" s="194"/>
      <c r="CM120" s="194"/>
      <c r="CN120" s="194"/>
      <c r="CO120" s="194"/>
      <c r="CP120" s="194"/>
      <c r="CQ120" s="194"/>
      <c r="CR120" s="194"/>
      <c r="CS120" s="194"/>
      <c r="CT120" s="194"/>
      <c r="CU120" s="194"/>
      <c r="CV120" s="194"/>
      <c r="CW120" s="194"/>
      <c r="CX120" s="194"/>
      <c r="CY120" s="194"/>
      <c r="CZ120" s="194"/>
      <c r="DA120" s="194"/>
    </row>
    <row r="121" spans="1:106" s="189" customFormat="1">
      <c r="A121" s="185" t="s">
        <v>517</v>
      </c>
      <c r="B121" s="185">
        <v>5085978</v>
      </c>
      <c r="C121" s="185" t="s">
        <v>518</v>
      </c>
      <c r="D121" s="228"/>
      <c r="E121" s="185"/>
      <c r="F121" s="185"/>
      <c r="G121" s="229"/>
      <c r="H121" s="185"/>
      <c r="I121" s="185"/>
      <c r="J121" s="185"/>
      <c r="K121" s="185"/>
      <c r="L121" s="185"/>
      <c r="M121" s="185"/>
      <c r="N121" s="185"/>
      <c r="O121" s="185"/>
      <c r="P121" s="185"/>
      <c r="Q121" s="185"/>
      <c r="R121" s="185"/>
      <c r="S121" s="185"/>
      <c r="T121" s="185"/>
      <c r="U121" s="185"/>
      <c r="V121" s="185"/>
      <c r="W121" s="185"/>
      <c r="X121" s="185"/>
      <c r="Y121" s="185"/>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c r="AX121" s="185"/>
      <c r="AY121" s="185"/>
      <c r="AZ121" s="185"/>
      <c r="BA121" s="185"/>
      <c r="BB121" s="185"/>
      <c r="BC121" s="185"/>
      <c r="BD121" s="185"/>
      <c r="BE121" s="185"/>
      <c r="BF121" s="185"/>
      <c r="BG121" s="185"/>
      <c r="BH121" s="185"/>
      <c r="BI121" s="185"/>
      <c r="BJ121" s="185"/>
      <c r="BK121" s="185"/>
      <c r="BL121" s="185"/>
      <c r="BM121" s="185"/>
      <c r="BN121" s="185"/>
      <c r="BO121" s="185"/>
      <c r="BP121" s="185"/>
      <c r="BQ121" s="185"/>
      <c r="BR121" s="185"/>
      <c r="BS121" s="185"/>
      <c r="BT121" s="185"/>
      <c r="BU121" s="185"/>
      <c r="BV121" s="185"/>
      <c r="BW121" s="185"/>
      <c r="BX121" s="185"/>
      <c r="BY121" s="185"/>
      <c r="BZ121" s="185"/>
      <c r="CA121" s="185"/>
      <c r="CB121" s="185"/>
      <c r="CC121" s="185"/>
      <c r="CD121" s="185"/>
      <c r="CE121" s="185"/>
      <c r="CF121" s="185"/>
      <c r="CG121" s="185"/>
      <c r="CH121" s="185"/>
      <c r="CI121" s="185"/>
      <c r="CJ121" s="185"/>
      <c r="CK121" s="185"/>
      <c r="CL121" s="185"/>
      <c r="CM121" s="185"/>
      <c r="CN121" s="185"/>
      <c r="CO121" s="185"/>
      <c r="CP121" s="185"/>
      <c r="CQ121" s="185"/>
      <c r="CR121" s="185"/>
      <c r="CS121" s="185"/>
      <c r="CT121" s="185"/>
      <c r="CU121" s="185"/>
      <c r="CV121" s="185"/>
      <c r="CW121" s="185"/>
      <c r="CX121" s="185"/>
      <c r="CY121" s="185"/>
      <c r="CZ121" s="185"/>
      <c r="DA121" s="185"/>
    </row>
    <row r="122" spans="1:106" s="193" customFormat="1">
      <c r="A122" s="194" t="s">
        <v>522</v>
      </c>
      <c r="B122" s="194">
        <v>22107708</v>
      </c>
      <c r="C122" s="194" t="s">
        <v>523</v>
      </c>
      <c r="D122" s="200"/>
      <c r="E122" s="194"/>
      <c r="F122" s="194"/>
      <c r="G122" s="232"/>
      <c r="H122" s="194"/>
      <c r="I122" s="194"/>
      <c r="J122" s="194"/>
      <c r="K122" s="194"/>
      <c r="L122" s="194"/>
      <c r="M122" s="194"/>
      <c r="N122" s="194"/>
      <c r="O122" s="194"/>
      <c r="P122" s="194"/>
      <c r="Q122" s="194"/>
      <c r="R122" s="194"/>
      <c r="S122" s="194"/>
      <c r="T122" s="194"/>
      <c r="U122" s="194"/>
      <c r="V122" s="194"/>
      <c r="W122" s="194"/>
      <c r="X122" s="194"/>
      <c r="Y122" s="194"/>
      <c r="Z122" s="194"/>
      <c r="AA122" s="194"/>
      <c r="AB122" s="194"/>
      <c r="AC122" s="194"/>
      <c r="AD122" s="194"/>
      <c r="AE122" s="194"/>
      <c r="AF122" s="194"/>
      <c r="AG122" s="194"/>
      <c r="AH122" s="194"/>
      <c r="AI122" s="194"/>
      <c r="AJ122" s="194"/>
      <c r="AK122" s="194"/>
      <c r="AL122" s="194"/>
      <c r="AM122" s="194"/>
      <c r="AN122" s="194"/>
      <c r="AO122" s="194"/>
      <c r="AP122" s="194"/>
      <c r="AQ122" s="194"/>
      <c r="AR122" s="194"/>
      <c r="AS122" s="194"/>
      <c r="AT122" s="194"/>
      <c r="AU122" s="194"/>
      <c r="AV122" s="194"/>
      <c r="AW122" s="194"/>
      <c r="AX122" s="194"/>
      <c r="AY122" s="194"/>
      <c r="AZ122" s="194"/>
      <c r="BA122" s="194"/>
      <c r="BB122" s="194"/>
      <c r="BC122" s="194"/>
      <c r="BD122" s="194"/>
      <c r="BE122" s="194"/>
      <c r="BF122" s="194"/>
      <c r="BG122" s="194"/>
      <c r="BH122" s="194"/>
      <c r="BI122" s="194"/>
      <c r="BJ122" s="194"/>
      <c r="BK122" s="194"/>
      <c r="BL122" s="194"/>
      <c r="BM122" s="194"/>
      <c r="BN122" s="194"/>
      <c r="BO122" s="194"/>
      <c r="BP122" s="194"/>
      <c r="BQ122" s="194"/>
      <c r="BR122" s="194"/>
      <c r="BS122" s="194"/>
      <c r="BT122" s="194"/>
      <c r="BU122" s="194"/>
      <c r="BV122" s="194"/>
      <c r="BW122" s="194"/>
      <c r="BX122" s="194"/>
      <c r="BY122" s="194"/>
      <c r="BZ122" s="194"/>
      <c r="CA122" s="194"/>
      <c r="CB122" s="194"/>
      <c r="CC122" s="194"/>
      <c r="CD122" s="194"/>
      <c r="CE122" s="194"/>
      <c r="CF122" s="194"/>
      <c r="CG122" s="194"/>
      <c r="CH122" s="194"/>
      <c r="CI122" s="194"/>
      <c r="CJ122" s="194"/>
      <c r="CK122" s="194"/>
      <c r="CL122" s="194"/>
      <c r="CM122" s="194"/>
      <c r="CN122" s="194"/>
      <c r="CO122" s="194"/>
      <c r="CP122" s="194"/>
      <c r="CQ122" s="194"/>
      <c r="CR122" s="194"/>
      <c r="CS122" s="194"/>
      <c r="CT122" s="194"/>
      <c r="CU122" s="194"/>
      <c r="CV122" s="194"/>
      <c r="CW122" s="194"/>
      <c r="CX122" s="194"/>
      <c r="CY122" s="194"/>
      <c r="CZ122" s="194"/>
      <c r="DA122" s="194"/>
    </row>
    <row r="123" spans="1:106" s="189" customFormat="1">
      <c r="A123" s="185" t="s">
        <v>527</v>
      </c>
      <c r="B123" s="185">
        <v>22107105</v>
      </c>
      <c r="C123" s="185" t="s">
        <v>528</v>
      </c>
      <c r="D123" s="228"/>
      <c r="E123" s="185"/>
      <c r="F123" s="185"/>
      <c r="G123" s="229"/>
      <c r="H123" s="185"/>
      <c r="I123" s="185"/>
      <c r="J123" s="185"/>
      <c r="K123" s="185"/>
      <c r="L123" s="185"/>
      <c r="M123" s="185"/>
      <c r="N123" s="185"/>
      <c r="O123" s="185"/>
      <c r="P123" s="185"/>
      <c r="Q123" s="185"/>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5"/>
      <c r="BN123" s="185"/>
      <c r="BO123" s="185"/>
      <c r="BP123" s="185"/>
      <c r="BQ123" s="185"/>
      <c r="BR123" s="185"/>
      <c r="BS123" s="185"/>
      <c r="BT123" s="185"/>
      <c r="BU123" s="185"/>
      <c r="BV123" s="185"/>
      <c r="BW123" s="185"/>
      <c r="BX123" s="185"/>
      <c r="BY123" s="185"/>
      <c r="BZ123" s="185"/>
      <c r="CA123" s="185"/>
      <c r="CB123" s="185"/>
      <c r="CC123" s="185"/>
      <c r="CD123" s="185"/>
      <c r="CE123" s="185"/>
      <c r="CF123" s="185"/>
      <c r="CG123" s="185"/>
      <c r="CH123" s="185"/>
      <c r="CI123" s="185"/>
      <c r="CJ123" s="185"/>
      <c r="CK123" s="185"/>
      <c r="CL123" s="185"/>
      <c r="CM123" s="185"/>
      <c r="CN123" s="185"/>
      <c r="CO123" s="185"/>
      <c r="CP123" s="185"/>
      <c r="CQ123" s="185"/>
      <c r="CR123" s="185"/>
      <c r="CS123" s="185"/>
      <c r="CT123" s="185"/>
      <c r="CU123" s="185"/>
      <c r="CV123" s="185"/>
      <c r="CW123" s="185"/>
      <c r="CX123" s="185"/>
      <c r="CY123" s="185"/>
      <c r="CZ123" s="185"/>
      <c r="DA123" s="185"/>
    </row>
    <row r="124" spans="1:106" s="189" customFormat="1">
      <c r="A124" s="185" t="s">
        <v>531</v>
      </c>
      <c r="B124" s="185">
        <v>22107106</v>
      </c>
      <c r="C124" s="185" t="s">
        <v>532</v>
      </c>
      <c r="D124" s="228"/>
      <c r="E124" s="185"/>
      <c r="F124" s="185"/>
      <c r="G124" s="229"/>
      <c r="H124" s="185"/>
      <c r="I124" s="185"/>
      <c r="J124" s="185"/>
      <c r="K124" s="185"/>
      <c r="L124" s="185"/>
      <c r="M124" s="185"/>
      <c r="N124" s="185"/>
      <c r="O124" s="185"/>
      <c r="P124" s="185"/>
      <c r="Q124" s="185"/>
      <c r="R124" s="185"/>
      <c r="S124" s="185"/>
      <c r="T124" s="185"/>
      <c r="U124" s="185"/>
      <c r="V124" s="185"/>
      <c r="W124" s="185"/>
      <c r="X124" s="185"/>
      <c r="Y124" s="185"/>
      <c r="Z124" s="185"/>
      <c r="AA124" s="185"/>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85"/>
      <c r="AX124" s="185"/>
      <c r="AY124" s="185"/>
      <c r="AZ124" s="185"/>
      <c r="BA124" s="185"/>
      <c r="BB124" s="185"/>
      <c r="BC124" s="185"/>
      <c r="BD124" s="185"/>
      <c r="BE124" s="185"/>
      <c r="BF124" s="185"/>
      <c r="BG124" s="185"/>
      <c r="BH124" s="185"/>
      <c r="BI124" s="185"/>
      <c r="BJ124" s="185"/>
      <c r="BK124" s="185"/>
      <c r="BL124" s="185"/>
      <c r="BM124" s="185"/>
      <c r="BN124" s="185"/>
      <c r="BO124" s="185"/>
      <c r="BP124" s="185"/>
      <c r="BQ124" s="185"/>
      <c r="BR124" s="185"/>
      <c r="BS124" s="185"/>
      <c r="BT124" s="185"/>
      <c r="BU124" s="185"/>
      <c r="BV124" s="185"/>
      <c r="BW124" s="185"/>
      <c r="BX124" s="185"/>
      <c r="BY124" s="185"/>
      <c r="BZ124" s="185"/>
      <c r="CA124" s="185"/>
      <c r="CB124" s="185"/>
      <c r="CC124" s="185"/>
      <c r="CD124" s="185"/>
      <c r="CE124" s="185"/>
      <c r="CF124" s="185"/>
      <c r="CG124" s="185"/>
      <c r="CH124" s="185"/>
      <c r="CI124" s="185"/>
      <c r="CJ124" s="185"/>
      <c r="CK124" s="185"/>
      <c r="CL124" s="185"/>
      <c r="CM124" s="185"/>
      <c r="CN124" s="185"/>
      <c r="CO124" s="185"/>
      <c r="CP124" s="185"/>
      <c r="CQ124" s="185"/>
      <c r="CR124" s="185"/>
      <c r="CS124" s="185"/>
      <c r="CT124" s="185"/>
      <c r="CU124" s="185"/>
      <c r="CV124" s="185"/>
      <c r="CW124" s="185"/>
      <c r="CX124" s="185"/>
      <c r="CY124" s="185"/>
      <c r="CZ124" s="185"/>
      <c r="DA124" s="185"/>
    </row>
    <row r="125" spans="1:106" s="110" customFormat="1">
      <c r="A125" s="107" t="s">
        <v>533</v>
      </c>
      <c r="B125" s="153">
        <v>22100078</v>
      </c>
      <c r="C125" s="157" t="s">
        <v>1328</v>
      </c>
      <c r="D125" s="155">
        <v>44502</v>
      </c>
      <c r="E125" s="153">
        <v>91.4</v>
      </c>
      <c r="F125" s="153">
        <v>15.4</v>
      </c>
      <c r="G125" s="156">
        <v>18.43</v>
      </c>
      <c r="H125" s="153">
        <v>48.8</v>
      </c>
      <c r="I125" s="153">
        <v>39</v>
      </c>
      <c r="J125" s="153">
        <v>1</v>
      </c>
      <c r="K125" s="153">
        <v>0</v>
      </c>
      <c r="L125" s="153">
        <v>2</v>
      </c>
      <c r="M125" s="153">
        <v>0</v>
      </c>
      <c r="N125" s="153">
        <v>9</v>
      </c>
      <c r="O125" s="153">
        <v>10</v>
      </c>
      <c r="P125" s="153">
        <v>3240</v>
      </c>
      <c r="Q125" s="153">
        <v>51</v>
      </c>
      <c r="R125" s="153">
        <v>35.5</v>
      </c>
      <c r="S125" s="153">
        <v>33</v>
      </c>
      <c r="T125" s="155">
        <v>34437</v>
      </c>
      <c r="U125" s="153">
        <v>25.13</v>
      </c>
      <c r="V125" s="153">
        <v>1</v>
      </c>
      <c r="W125" s="153">
        <v>0</v>
      </c>
      <c r="X125" s="153">
        <v>3</v>
      </c>
      <c r="Y125" s="153">
        <v>1</v>
      </c>
      <c r="Z125" s="153">
        <v>0</v>
      </c>
      <c r="AA125" s="153">
        <v>0</v>
      </c>
      <c r="AB125" s="153">
        <v>0</v>
      </c>
      <c r="AC125" s="153">
        <v>0</v>
      </c>
      <c r="AD125" s="153">
        <v>0</v>
      </c>
      <c r="AE125" s="153">
        <v>0</v>
      </c>
      <c r="AF125" s="153">
        <v>0</v>
      </c>
      <c r="AG125" s="153">
        <v>0</v>
      </c>
      <c r="AH125" s="153">
        <v>0</v>
      </c>
      <c r="AI125" s="153">
        <v>0</v>
      </c>
      <c r="AJ125" s="153">
        <v>0</v>
      </c>
      <c r="AK125" s="153">
        <v>0</v>
      </c>
      <c r="AL125" s="153">
        <v>0</v>
      </c>
      <c r="AM125" s="153">
        <v>0</v>
      </c>
      <c r="AN125" s="153">
        <v>0</v>
      </c>
      <c r="AO125" s="153">
        <v>0</v>
      </c>
      <c r="AP125" s="153">
        <v>0</v>
      </c>
      <c r="AQ125" s="153">
        <v>0</v>
      </c>
      <c r="AR125" s="153" t="s">
        <v>1021</v>
      </c>
      <c r="AS125" s="153">
        <v>1</v>
      </c>
      <c r="AT125" s="153">
        <v>0</v>
      </c>
      <c r="AU125" s="153">
        <v>0</v>
      </c>
      <c r="AV125" s="153">
        <v>1</v>
      </c>
      <c r="AW125" s="153">
        <v>0</v>
      </c>
      <c r="AX125" s="153">
        <v>0</v>
      </c>
      <c r="AY125" s="153">
        <v>0</v>
      </c>
      <c r="AZ125" s="153">
        <v>0</v>
      </c>
      <c r="BA125" s="153">
        <v>0</v>
      </c>
      <c r="BB125" s="153">
        <v>0</v>
      </c>
      <c r="BC125" s="153">
        <v>0</v>
      </c>
      <c r="BD125" s="153">
        <v>0</v>
      </c>
      <c r="BE125" s="153">
        <v>0</v>
      </c>
      <c r="BF125" s="153">
        <v>0</v>
      </c>
      <c r="BG125" s="153">
        <v>0</v>
      </c>
      <c r="BH125" s="153">
        <v>0</v>
      </c>
      <c r="BI125" s="153">
        <v>0</v>
      </c>
      <c r="BJ125" s="153">
        <v>0</v>
      </c>
      <c r="BK125" s="153">
        <v>1</v>
      </c>
      <c r="BL125" s="153">
        <v>0</v>
      </c>
      <c r="BM125" s="153">
        <v>0</v>
      </c>
      <c r="BN125" s="153">
        <v>1</v>
      </c>
      <c r="BO125" s="153">
        <v>0</v>
      </c>
      <c r="BP125" s="153">
        <v>0</v>
      </c>
      <c r="BQ125" s="153">
        <v>0</v>
      </c>
      <c r="BR125" s="153">
        <v>0</v>
      </c>
      <c r="BS125" s="153">
        <v>0</v>
      </c>
      <c r="BT125" s="153">
        <v>0</v>
      </c>
      <c r="BU125" s="153">
        <v>0</v>
      </c>
      <c r="BV125" s="153">
        <v>0</v>
      </c>
      <c r="BW125" s="153">
        <v>0</v>
      </c>
      <c r="BX125" s="153">
        <v>0</v>
      </c>
      <c r="BY125" s="153">
        <v>0</v>
      </c>
      <c r="BZ125" s="153">
        <v>1</v>
      </c>
      <c r="CA125" s="153" t="s">
        <v>1278</v>
      </c>
      <c r="CB125" s="153">
        <v>0</v>
      </c>
      <c r="CC125" s="153" t="s">
        <v>947</v>
      </c>
      <c r="CD125" s="153">
        <v>1</v>
      </c>
      <c r="CE125" s="153" t="s">
        <v>960</v>
      </c>
      <c r="CF125" s="157" t="s">
        <v>1329</v>
      </c>
      <c r="CG125" s="153">
        <v>0</v>
      </c>
      <c r="CH125" s="153" t="s">
        <v>947</v>
      </c>
      <c r="CI125" s="153">
        <v>0</v>
      </c>
      <c r="CJ125" s="153" t="s">
        <v>947</v>
      </c>
      <c r="CK125" s="153" t="s">
        <v>947</v>
      </c>
      <c r="CL125" s="153">
        <v>1</v>
      </c>
      <c r="CM125" s="153" t="s">
        <v>960</v>
      </c>
      <c r="CN125" s="157" t="s">
        <v>1004</v>
      </c>
      <c r="CO125" s="153">
        <v>0</v>
      </c>
      <c r="CP125" s="153" t="s">
        <v>947</v>
      </c>
      <c r="CQ125" s="153" t="s">
        <v>947</v>
      </c>
      <c r="CR125" s="153">
        <v>0</v>
      </c>
      <c r="CS125" s="153" t="s">
        <v>947</v>
      </c>
      <c r="CT125" s="153" t="s">
        <v>947</v>
      </c>
      <c r="CU125" s="153">
        <v>1</v>
      </c>
      <c r="CV125" s="157" t="s">
        <v>1004</v>
      </c>
      <c r="CW125" s="157" t="s">
        <v>1330</v>
      </c>
      <c r="CX125" s="153">
        <v>1</v>
      </c>
      <c r="CY125" s="153" t="s">
        <v>1016</v>
      </c>
      <c r="CZ125" s="153">
        <v>2</v>
      </c>
      <c r="DA125" s="153"/>
      <c r="DB125" s="158"/>
    </row>
    <row r="126" spans="1:106" s="193" customFormat="1">
      <c r="A126" s="194" t="s">
        <v>537</v>
      </c>
      <c r="B126" s="194">
        <v>22108137</v>
      </c>
      <c r="C126" s="194" t="s">
        <v>538</v>
      </c>
      <c r="D126" s="200"/>
      <c r="E126" s="194"/>
      <c r="F126" s="194"/>
      <c r="G126" s="232"/>
      <c r="H126" s="194"/>
      <c r="I126" s="194"/>
      <c r="J126" s="194"/>
      <c r="K126" s="194"/>
      <c r="L126" s="194"/>
      <c r="M126" s="194"/>
      <c r="N126" s="194"/>
      <c r="O126" s="194"/>
      <c r="P126" s="194"/>
      <c r="Q126" s="194"/>
      <c r="R126" s="194"/>
      <c r="S126" s="194"/>
      <c r="T126" s="194"/>
      <c r="U126" s="194"/>
      <c r="V126" s="194"/>
      <c r="W126" s="194"/>
      <c r="X126" s="194"/>
      <c r="Y126" s="194"/>
      <c r="Z126" s="194"/>
      <c r="AA126" s="194"/>
      <c r="AB126" s="194"/>
      <c r="AC126" s="194"/>
      <c r="AD126" s="194"/>
      <c r="AE126" s="194"/>
      <c r="AF126" s="194"/>
      <c r="AG126" s="194"/>
      <c r="AH126" s="194"/>
      <c r="AI126" s="194"/>
      <c r="AJ126" s="194"/>
      <c r="AK126" s="194"/>
      <c r="AL126" s="194"/>
      <c r="AM126" s="194"/>
      <c r="AN126" s="194"/>
      <c r="AO126" s="194"/>
      <c r="AP126" s="194"/>
      <c r="AQ126" s="194"/>
      <c r="AR126" s="194"/>
      <c r="AS126" s="194"/>
      <c r="AT126" s="194"/>
      <c r="AU126" s="194"/>
      <c r="AV126" s="194"/>
      <c r="AW126" s="194"/>
      <c r="AX126" s="194"/>
      <c r="AY126" s="194"/>
      <c r="AZ126" s="194"/>
      <c r="BA126" s="194"/>
      <c r="BB126" s="194"/>
      <c r="BC126" s="194"/>
      <c r="BD126" s="194"/>
      <c r="BE126" s="194"/>
      <c r="BF126" s="194"/>
      <c r="BG126" s="194"/>
      <c r="BH126" s="194"/>
      <c r="BI126" s="194"/>
      <c r="BJ126" s="194"/>
      <c r="BK126" s="194"/>
      <c r="BL126" s="194"/>
      <c r="BM126" s="194"/>
      <c r="BN126" s="194"/>
      <c r="BO126" s="194"/>
      <c r="BP126" s="194"/>
      <c r="BQ126" s="194"/>
      <c r="BR126" s="194"/>
      <c r="BS126" s="194"/>
      <c r="BT126" s="194"/>
      <c r="BU126" s="194"/>
      <c r="BV126" s="194"/>
      <c r="BW126" s="194"/>
      <c r="BX126" s="194"/>
      <c r="BY126" s="194"/>
      <c r="BZ126" s="194"/>
      <c r="CA126" s="194"/>
      <c r="CB126" s="194"/>
      <c r="CC126" s="194"/>
      <c r="CD126" s="194"/>
      <c r="CE126" s="194"/>
      <c r="CF126" s="194"/>
      <c r="CG126" s="194"/>
      <c r="CH126" s="194"/>
      <c r="CI126" s="194"/>
      <c r="CJ126" s="194"/>
      <c r="CK126" s="194"/>
      <c r="CL126" s="194"/>
      <c r="CM126" s="194"/>
      <c r="CN126" s="194"/>
      <c r="CO126" s="194"/>
      <c r="CP126" s="194"/>
      <c r="CQ126" s="194"/>
      <c r="CR126" s="194"/>
      <c r="CS126" s="194"/>
      <c r="CT126" s="194"/>
      <c r="CU126" s="194"/>
      <c r="CV126" s="194"/>
      <c r="CW126" s="194"/>
      <c r="CX126" s="194"/>
      <c r="CY126" s="194"/>
      <c r="CZ126" s="194"/>
      <c r="DA126" s="194"/>
    </row>
    <row r="127" spans="1:106" s="110" customFormat="1">
      <c r="A127" s="107" t="s">
        <v>541</v>
      </c>
      <c r="B127" s="107">
        <v>22108221</v>
      </c>
      <c r="C127" s="107" t="s">
        <v>542</v>
      </c>
      <c r="D127" s="108"/>
      <c r="E127" s="107"/>
      <c r="F127" s="107"/>
      <c r="G127" s="109"/>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row>
    <row r="128" spans="1:106" s="189" customFormat="1">
      <c r="A128" s="185" t="s">
        <v>544</v>
      </c>
      <c r="B128" s="186">
        <v>22100560</v>
      </c>
      <c r="C128" s="190" t="s">
        <v>1331</v>
      </c>
      <c r="D128" s="188">
        <v>44505</v>
      </c>
      <c r="E128" s="186">
        <v>86</v>
      </c>
      <c r="F128" s="186">
        <v>11.5</v>
      </c>
      <c r="G128" s="191">
        <v>15.55</v>
      </c>
      <c r="H128" s="186">
        <v>47.5</v>
      </c>
      <c r="I128" s="186">
        <v>29</v>
      </c>
      <c r="J128" s="186">
        <v>6</v>
      </c>
      <c r="K128" s="186">
        <v>1</v>
      </c>
      <c r="L128" s="186">
        <v>2</v>
      </c>
      <c r="M128" s="186">
        <v>0</v>
      </c>
      <c r="N128" s="186">
        <v>8</v>
      </c>
      <c r="O128" s="186">
        <v>9</v>
      </c>
      <c r="P128" s="186">
        <v>1325</v>
      </c>
      <c r="Q128" s="186">
        <v>38.5</v>
      </c>
      <c r="R128" s="186">
        <v>26</v>
      </c>
      <c r="S128" s="186">
        <v>24</v>
      </c>
      <c r="T128" s="188">
        <v>31580</v>
      </c>
      <c r="U128" s="186">
        <v>33.07</v>
      </c>
      <c r="V128" s="186">
        <v>1</v>
      </c>
      <c r="W128" s="186">
        <v>1</v>
      </c>
      <c r="X128" s="186">
        <v>4</v>
      </c>
      <c r="Y128" s="186">
        <v>2</v>
      </c>
      <c r="Z128" s="186">
        <v>0</v>
      </c>
      <c r="AA128" s="186">
        <v>0</v>
      </c>
      <c r="AB128" s="186">
        <v>0</v>
      </c>
      <c r="AC128" s="186">
        <v>1</v>
      </c>
      <c r="AD128" s="186">
        <v>0</v>
      </c>
      <c r="AE128" s="186">
        <v>0</v>
      </c>
      <c r="AF128" s="186">
        <v>0</v>
      </c>
      <c r="AG128" s="186">
        <v>0</v>
      </c>
      <c r="AH128" s="186">
        <v>0</v>
      </c>
      <c r="AI128" s="186">
        <v>1</v>
      </c>
      <c r="AJ128" s="186">
        <v>0</v>
      </c>
      <c r="AK128" s="186">
        <v>0</v>
      </c>
      <c r="AL128" s="186">
        <v>0</v>
      </c>
      <c r="AM128" s="186">
        <v>0</v>
      </c>
      <c r="AN128" s="186">
        <v>1</v>
      </c>
      <c r="AO128" s="186">
        <v>4</v>
      </c>
      <c r="AP128" s="186">
        <v>0</v>
      </c>
      <c r="AQ128" s="186">
        <v>0</v>
      </c>
      <c r="AR128" s="186">
        <v>1</v>
      </c>
      <c r="AS128" s="186">
        <v>0</v>
      </c>
      <c r="AT128" s="186">
        <v>0</v>
      </c>
      <c r="AU128" s="186">
        <v>0</v>
      </c>
      <c r="AV128" s="186">
        <v>0</v>
      </c>
      <c r="AW128" s="186">
        <v>0</v>
      </c>
      <c r="AX128" s="186">
        <v>0</v>
      </c>
      <c r="AY128" s="186">
        <v>0</v>
      </c>
      <c r="AZ128" s="186">
        <v>0</v>
      </c>
      <c r="BA128" s="186">
        <v>0</v>
      </c>
      <c r="BB128" s="186">
        <v>0</v>
      </c>
      <c r="BC128" s="186">
        <v>0</v>
      </c>
      <c r="BD128" s="186">
        <v>0</v>
      </c>
      <c r="BE128" s="186">
        <v>0</v>
      </c>
      <c r="BF128" s="186">
        <v>0</v>
      </c>
      <c r="BG128" s="186">
        <v>0</v>
      </c>
      <c r="BH128" s="186">
        <v>0</v>
      </c>
      <c r="BI128" s="186">
        <v>0</v>
      </c>
      <c r="BJ128" s="186">
        <v>0</v>
      </c>
      <c r="BK128" s="186">
        <v>1</v>
      </c>
      <c r="BL128" s="186">
        <v>0</v>
      </c>
      <c r="BM128" s="186">
        <v>0</v>
      </c>
      <c r="BN128" s="186">
        <v>0</v>
      </c>
      <c r="BO128" s="186">
        <v>0</v>
      </c>
      <c r="BP128" s="186">
        <v>0</v>
      </c>
      <c r="BQ128" s="186">
        <v>0</v>
      </c>
      <c r="BR128" s="186">
        <v>0</v>
      </c>
      <c r="BS128" s="186">
        <v>1</v>
      </c>
      <c r="BT128" s="186">
        <v>0</v>
      </c>
      <c r="BU128" s="186">
        <v>0</v>
      </c>
      <c r="BV128" s="186">
        <v>0</v>
      </c>
      <c r="BW128" s="186">
        <v>0</v>
      </c>
      <c r="BX128" s="186">
        <v>0</v>
      </c>
      <c r="BY128" s="186">
        <v>0</v>
      </c>
      <c r="BZ128" s="186">
        <v>1</v>
      </c>
      <c r="CA128" s="186" t="s">
        <v>986</v>
      </c>
      <c r="CB128" s="186">
        <v>1</v>
      </c>
      <c r="CC128" s="190" t="s">
        <v>1057</v>
      </c>
      <c r="CD128" s="186">
        <v>1</v>
      </c>
      <c r="CE128" s="186" t="s">
        <v>1332</v>
      </c>
      <c r="CF128" s="190" t="s">
        <v>1333</v>
      </c>
      <c r="CG128" s="186">
        <v>1</v>
      </c>
      <c r="CH128" s="186" t="s">
        <v>1334</v>
      </c>
      <c r="CI128" s="186">
        <v>1</v>
      </c>
      <c r="CJ128" s="186" t="s">
        <v>1335</v>
      </c>
      <c r="CK128" s="190" t="s">
        <v>1336</v>
      </c>
      <c r="CL128" s="186">
        <v>1</v>
      </c>
      <c r="CM128" s="186" t="s">
        <v>1337</v>
      </c>
      <c r="CN128" s="190" t="s">
        <v>1338</v>
      </c>
      <c r="CO128" s="190" t="s">
        <v>1060</v>
      </c>
      <c r="CP128" s="186" t="s">
        <v>1334</v>
      </c>
      <c r="CQ128" s="190" t="s">
        <v>993</v>
      </c>
      <c r="CR128" s="186">
        <v>0</v>
      </c>
      <c r="CS128" s="186" t="s">
        <v>947</v>
      </c>
      <c r="CT128" s="186" t="s">
        <v>947</v>
      </c>
      <c r="CU128" s="186">
        <v>1</v>
      </c>
      <c r="CV128" s="186" t="s">
        <v>1339</v>
      </c>
      <c r="CW128" s="190" t="s">
        <v>1340</v>
      </c>
      <c r="CX128" s="186">
        <v>1</v>
      </c>
      <c r="CY128" s="188">
        <v>43803</v>
      </c>
      <c r="CZ128" s="186">
        <v>2</v>
      </c>
      <c r="DA128" s="186"/>
      <c r="DB128" s="187"/>
    </row>
    <row r="129" spans="1:105" s="189" customFormat="1">
      <c r="A129" s="185" t="s">
        <v>548</v>
      </c>
      <c r="B129" s="185">
        <v>22108557</v>
      </c>
      <c r="C129" s="185" t="s">
        <v>549</v>
      </c>
      <c r="D129" s="185"/>
      <c r="E129" s="185"/>
      <c r="F129" s="185"/>
      <c r="G129" s="229"/>
      <c r="H129" s="185"/>
      <c r="I129" s="185"/>
      <c r="J129" s="185"/>
      <c r="K129" s="185"/>
      <c r="L129" s="185"/>
      <c r="M129" s="185"/>
      <c r="N129" s="185"/>
      <c r="O129" s="185"/>
      <c r="P129" s="185"/>
      <c r="Q129" s="185"/>
      <c r="R129" s="185"/>
      <c r="S129" s="185"/>
      <c r="T129" s="185"/>
      <c r="U129" s="185"/>
      <c r="V129" s="185"/>
      <c r="W129" s="185"/>
      <c r="X129" s="185"/>
      <c r="Y129" s="185"/>
      <c r="Z129" s="185"/>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c r="AY129" s="185"/>
      <c r="AZ129" s="185"/>
      <c r="BA129" s="185"/>
      <c r="BB129" s="185"/>
      <c r="BC129" s="185"/>
      <c r="BD129" s="185"/>
      <c r="BE129" s="185"/>
      <c r="BF129" s="185"/>
      <c r="BG129" s="185"/>
      <c r="BH129" s="185"/>
      <c r="BI129" s="185"/>
      <c r="BJ129" s="185"/>
      <c r="BK129" s="185"/>
      <c r="BL129" s="185"/>
      <c r="BM129" s="185"/>
      <c r="BN129" s="185"/>
      <c r="BO129" s="185"/>
      <c r="BP129" s="185"/>
      <c r="BQ129" s="185"/>
      <c r="BR129" s="185"/>
      <c r="BS129" s="185"/>
      <c r="BT129" s="185"/>
      <c r="BU129" s="185"/>
      <c r="BV129" s="185"/>
      <c r="BW129" s="185"/>
      <c r="BX129" s="185"/>
      <c r="BY129" s="185"/>
      <c r="BZ129" s="185"/>
      <c r="CA129" s="185"/>
      <c r="CB129" s="185"/>
      <c r="CC129" s="185"/>
      <c r="CD129" s="185"/>
      <c r="CE129" s="185"/>
      <c r="CF129" s="185"/>
      <c r="CG129" s="185"/>
      <c r="CH129" s="185"/>
      <c r="CI129" s="185"/>
      <c r="CJ129" s="185"/>
      <c r="CK129" s="185"/>
      <c r="CL129" s="185"/>
      <c r="CM129" s="185"/>
      <c r="CN129" s="185"/>
      <c r="CO129" s="185"/>
      <c r="CP129" s="185"/>
      <c r="CQ129" s="185"/>
      <c r="CR129" s="185"/>
      <c r="CS129" s="185"/>
      <c r="CT129" s="185"/>
      <c r="CU129" s="185"/>
      <c r="CV129" s="185"/>
      <c r="CW129" s="185"/>
      <c r="CX129" s="185"/>
      <c r="CY129" s="185"/>
      <c r="CZ129" s="185"/>
      <c r="DA129" s="185"/>
    </row>
    <row r="130" spans="1:105" s="193" customFormat="1">
      <c r="A130" s="194" t="s">
        <v>551</v>
      </c>
      <c r="B130" s="194">
        <v>22103485</v>
      </c>
      <c r="C130" s="194" t="s">
        <v>552</v>
      </c>
      <c r="D130" s="197"/>
      <c r="E130" s="194"/>
      <c r="F130" s="194"/>
      <c r="G130" s="232"/>
      <c r="H130" s="194"/>
      <c r="I130" s="194"/>
      <c r="J130" s="194"/>
      <c r="K130" s="194"/>
      <c r="L130" s="194"/>
      <c r="M130" s="194"/>
      <c r="N130" s="194"/>
      <c r="O130" s="194"/>
      <c r="P130" s="194"/>
      <c r="Q130" s="194"/>
      <c r="R130" s="194"/>
      <c r="S130" s="194"/>
      <c r="T130" s="194"/>
      <c r="U130" s="194"/>
      <c r="V130" s="194"/>
      <c r="W130" s="194"/>
      <c r="X130" s="194"/>
      <c r="Y130" s="194"/>
      <c r="Z130" s="194"/>
      <c r="AA130" s="194"/>
      <c r="AB130" s="194"/>
      <c r="AC130" s="194"/>
      <c r="AD130" s="194"/>
      <c r="AE130" s="194"/>
      <c r="AF130" s="194"/>
      <c r="AG130" s="194"/>
      <c r="AH130" s="194"/>
      <c r="AI130" s="194"/>
      <c r="AJ130" s="194"/>
      <c r="AK130" s="194"/>
      <c r="AL130" s="194"/>
      <c r="AM130" s="194"/>
      <c r="AN130" s="194"/>
      <c r="AO130" s="194"/>
      <c r="AP130" s="194"/>
      <c r="AQ130" s="194"/>
      <c r="AR130" s="194"/>
      <c r="AS130" s="194"/>
      <c r="AT130" s="194"/>
      <c r="AU130" s="194"/>
      <c r="AV130" s="194"/>
      <c r="AW130" s="194"/>
      <c r="AX130" s="194"/>
      <c r="AY130" s="194"/>
      <c r="AZ130" s="194"/>
      <c r="BA130" s="194"/>
      <c r="BB130" s="194"/>
      <c r="BC130" s="194"/>
      <c r="BD130" s="194"/>
      <c r="BE130" s="194"/>
      <c r="BF130" s="194"/>
      <c r="BG130" s="194"/>
      <c r="BH130" s="194"/>
      <c r="BI130" s="194"/>
      <c r="BJ130" s="194"/>
      <c r="BK130" s="194"/>
      <c r="BL130" s="194"/>
      <c r="BM130" s="194"/>
      <c r="BN130" s="194"/>
      <c r="BO130" s="194"/>
      <c r="BP130" s="194"/>
      <c r="BQ130" s="194"/>
      <c r="BR130" s="194"/>
      <c r="BS130" s="194"/>
      <c r="BT130" s="194"/>
      <c r="BU130" s="194"/>
      <c r="BV130" s="194"/>
      <c r="BW130" s="194"/>
      <c r="BX130" s="194"/>
      <c r="BY130" s="194"/>
      <c r="BZ130" s="194"/>
      <c r="CA130" s="194"/>
      <c r="CB130" s="194"/>
      <c r="CC130" s="194"/>
      <c r="CD130" s="194"/>
      <c r="CE130" s="194"/>
      <c r="CF130" s="194"/>
      <c r="CG130" s="194"/>
      <c r="CH130" s="194"/>
      <c r="CI130" s="194"/>
      <c r="CJ130" s="194"/>
      <c r="CK130" s="194"/>
      <c r="CL130" s="194"/>
      <c r="CM130" s="194"/>
      <c r="CN130" s="194"/>
      <c r="CO130" s="194"/>
      <c r="CP130" s="194"/>
      <c r="CQ130" s="194"/>
      <c r="CR130" s="194"/>
      <c r="CS130" s="194"/>
      <c r="CT130" s="194"/>
      <c r="CU130" s="194"/>
      <c r="CV130" s="194"/>
      <c r="CW130" s="194"/>
      <c r="CX130" s="194"/>
      <c r="CY130" s="194"/>
      <c r="CZ130" s="194"/>
      <c r="DA130" s="194"/>
    </row>
    <row r="131" spans="1:105" s="193" customFormat="1">
      <c r="A131" s="194" t="s">
        <v>555</v>
      </c>
      <c r="B131" s="194">
        <v>22282241</v>
      </c>
      <c r="C131" s="194" t="s">
        <v>556</v>
      </c>
      <c r="D131" s="200"/>
      <c r="E131" s="194"/>
      <c r="F131" s="194"/>
      <c r="G131" s="232"/>
      <c r="H131" s="194"/>
      <c r="I131" s="194"/>
      <c r="J131" s="194"/>
      <c r="K131" s="194"/>
      <c r="L131" s="194"/>
      <c r="M131" s="194"/>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c r="AO131" s="194"/>
      <c r="AP131" s="194"/>
      <c r="AQ131" s="194"/>
      <c r="AR131" s="194"/>
      <c r="AS131" s="194"/>
      <c r="AT131" s="194"/>
      <c r="AU131" s="194"/>
      <c r="AV131" s="194"/>
      <c r="AW131" s="194"/>
      <c r="AX131" s="194"/>
      <c r="AY131" s="194"/>
      <c r="AZ131" s="194"/>
      <c r="BA131" s="194"/>
      <c r="BB131" s="194"/>
      <c r="BC131" s="194"/>
      <c r="BD131" s="194"/>
      <c r="BE131" s="194"/>
      <c r="BF131" s="194"/>
      <c r="BG131" s="194"/>
      <c r="BH131" s="194"/>
      <c r="BI131" s="194"/>
      <c r="BJ131" s="194"/>
      <c r="BK131" s="194"/>
      <c r="BL131" s="194"/>
      <c r="BM131" s="194"/>
      <c r="BN131" s="194"/>
      <c r="BO131" s="194"/>
      <c r="BP131" s="194"/>
      <c r="BQ131" s="194"/>
      <c r="BR131" s="194"/>
      <c r="BS131" s="194"/>
      <c r="BT131" s="194"/>
      <c r="BU131" s="194"/>
      <c r="BV131" s="194"/>
      <c r="BW131" s="194"/>
      <c r="BX131" s="194"/>
      <c r="BY131" s="194"/>
      <c r="BZ131" s="194"/>
      <c r="CA131" s="194"/>
      <c r="CB131" s="194"/>
      <c r="CC131" s="194"/>
      <c r="CD131" s="194"/>
      <c r="CE131" s="194"/>
      <c r="CF131" s="194"/>
      <c r="CG131" s="194"/>
      <c r="CH131" s="194"/>
      <c r="CI131" s="194"/>
      <c r="CJ131" s="194"/>
      <c r="CK131" s="194"/>
      <c r="CL131" s="194"/>
      <c r="CM131" s="194"/>
      <c r="CN131" s="194"/>
      <c r="CO131" s="194"/>
      <c r="CP131" s="194"/>
      <c r="CQ131" s="194"/>
      <c r="CR131" s="194"/>
      <c r="CS131" s="194"/>
      <c r="CT131" s="194"/>
      <c r="CU131" s="194"/>
      <c r="CV131" s="194"/>
      <c r="CW131" s="194"/>
      <c r="CX131" s="194"/>
      <c r="CY131" s="194"/>
      <c r="CZ131" s="194"/>
      <c r="DA131" s="194"/>
    </row>
    <row r="132" spans="1:105" s="110" customFormat="1">
      <c r="A132" s="107" t="s">
        <v>558</v>
      </c>
      <c r="B132" s="107">
        <v>22108320</v>
      </c>
      <c r="C132" s="107" t="s">
        <v>559</v>
      </c>
      <c r="D132" s="108"/>
      <c r="E132" s="107"/>
      <c r="F132" s="107"/>
      <c r="G132" s="109"/>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row>
    <row r="133" spans="1:105" s="110" customFormat="1">
      <c r="A133" s="107" t="s">
        <v>562</v>
      </c>
      <c r="B133" s="107">
        <v>22108974</v>
      </c>
      <c r="C133" s="107" t="s">
        <v>563</v>
      </c>
      <c r="D133" s="107"/>
      <c r="E133" s="107"/>
      <c r="F133" s="107"/>
      <c r="G133" s="109"/>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row>
    <row r="134" spans="1:105" s="189" customFormat="1">
      <c r="A134" s="185" t="s">
        <v>566</v>
      </c>
      <c r="B134" s="185">
        <v>22107651</v>
      </c>
      <c r="C134" s="185" t="s">
        <v>567</v>
      </c>
      <c r="D134" s="228"/>
      <c r="E134" s="185"/>
      <c r="F134" s="185"/>
      <c r="G134" s="229"/>
      <c r="H134" s="185"/>
      <c r="I134" s="185"/>
      <c r="J134" s="185"/>
      <c r="K134" s="185"/>
      <c r="L134" s="185"/>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5"/>
      <c r="CA134" s="185"/>
      <c r="CB134" s="185"/>
      <c r="CC134" s="185"/>
      <c r="CD134" s="185"/>
      <c r="CE134" s="185"/>
      <c r="CF134" s="185"/>
      <c r="CG134" s="185"/>
      <c r="CH134" s="185"/>
      <c r="CI134" s="185"/>
      <c r="CJ134" s="185"/>
      <c r="CK134" s="185"/>
      <c r="CL134" s="185"/>
      <c r="CM134" s="185"/>
      <c r="CN134" s="185"/>
      <c r="CO134" s="185"/>
      <c r="CP134" s="185"/>
      <c r="CQ134" s="185"/>
      <c r="CR134" s="185"/>
      <c r="CS134" s="185"/>
      <c r="CT134" s="185"/>
      <c r="CU134" s="185"/>
      <c r="CV134" s="185"/>
      <c r="CW134" s="185"/>
      <c r="CX134" s="185"/>
      <c r="CY134" s="185"/>
      <c r="CZ134" s="185"/>
      <c r="DA134" s="185"/>
    </row>
    <row r="135" spans="1:105" s="110" customFormat="1">
      <c r="A135" s="107" t="s">
        <v>570</v>
      </c>
      <c r="B135" s="107">
        <v>22108335</v>
      </c>
      <c r="C135" s="107" t="s">
        <v>571</v>
      </c>
      <c r="D135" s="108"/>
      <c r="E135" s="107"/>
      <c r="F135" s="107"/>
      <c r="G135" s="109"/>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row>
    <row r="136" spans="1:105" s="193" customFormat="1">
      <c r="A136" s="194" t="s">
        <v>573</v>
      </c>
      <c r="B136" s="194">
        <v>22107996</v>
      </c>
      <c r="C136" s="194" t="s">
        <v>574</v>
      </c>
      <c r="D136" s="200"/>
      <c r="E136" s="194"/>
      <c r="F136" s="194"/>
      <c r="G136" s="232"/>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c r="AP136" s="194"/>
      <c r="AQ136" s="194"/>
      <c r="AR136" s="194"/>
      <c r="AS136" s="194"/>
      <c r="AT136" s="194"/>
      <c r="AU136" s="194"/>
      <c r="AV136" s="194"/>
      <c r="AW136" s="194"/>
      <c r="AX136" s="194"/>
      <c r="AY136" s="194"/>
      <c r="AZ136" s="194"/>
      <c r="BA136" s="194"/>
      <c r="BB136" s="194"/>
      <c r="BC136" s="194"/>
      <c r="BD136" s="194"/>
      <c r="BE136" s="194"/>
      <c r="BF136" s="194"/>
      <c r="BG136" s="194"/>
      <c r="BH136" s="194"/>
      <c r="BI136" s="194"/>
      <c r="BJ136" s="194"/>
      <c r="BK136" s="194"/>
      <c r="BL136" s="194"/>
      <c r="BM136" s="194"/>
      <c r="BN136" s="194"/>
      <c r="BO136" s="194"/>
      <c r="BP136" s="194"/>
      <c r="BQ136" s="194"/>
      <c r="BR136" s="194"/>
      <c r="BS136" s="194"/>
      <c r="BT136" s="194"/>
      <c r="BU136" s="194"/>
      <c r="BV136" s="194"/>
      <c r="BW136" s="194"/>
      <c r="BX136" s="194"/>
      <c r="BY136" s="194"/>
      <c r="BZ136" s="194"/>
      <c r="CA136" s="194"/>
      <c r="CB136" s="194"/>
      <c r="CC136" s="194"/>
      <c r="CD136" s="194"/>
      <c r="CE136" s="194"/>
      <c r="CF136" s="194"/>
      <c r="CG136" s="194"/>
      <c r="CH136" s="194"/>
      <c r="CI136" s="194"/>
      <c r="CJ136" s="194"/>
      <c r="CK136" s="194"/>
      <c r="CL136" s="194"/>
      <c r="CM136" s="194"/>
      <c r="CN136" s="194"/>
      <c r="CO136" s="194"/>
      <c r="CP136" s="194"/>
      <c r="CQ136" s="194"/>
      <c r="CR136" s="194"/>
      <c r="CS136" s="194"/>
      <c r="CT136" s="194"/>
      <c r="CU136" s="194"/>
      <c r="CV136" s="194"/>
      <c r="CW136" s="194"/>
      <c r="CX136" s="194"/>
      <c r="CY136" s="194"/>
      <c r="CZ136" s="194"/>
      <c r="DA136" s="194"/>
    </row>
    <row r="137" spans="1:105" s="189" customFormat="1">
      <c r="A137" s="185" t="s">
        <v>576</v>
      </c>
      <c r="B137" s="185">
        <v>22108333</v>
      </c>
      <c r="C137" s="185" t="s">
        <v>577</v>
      </c>
      <c r="D137" s="228"/>
      <c r="E137" s="185"/>
      <c r="F137" s="185"/>
      <c r="G137" s="229"/>
      <c r="H137" s="185"/>
      <c r="I137" s="185"/>
      <c r="J137" s="185"/>
      <c r="K137" s="185"/>
      <c r="L137" s="185"/>
      <c r="M137" s="185"/>
      <c r="N137" s="185"/>
      <c r="O137" s="185"/>
      <c r="P137" s="185"/>
      <c r="Q137" s="185"/>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c r="BK137" s="185"/>
      <c r="BL137" s="185"/>
      <c r="BM137" s="185"/>
      <c r="BN137" s="185"/>
      <c r="BO137" s="185"/>
      <c r="BP137" s="185"/>
      <c r="BQ137" s="185"/>
      <c r="BR137" s="185"/>
      <c r="BS137" s="185"/>
      <c r="BT137" s="185"/>
      <c r="BU137" s="185"/>
      <c r="BV137" s="185"/>
      <c r="BW137" s="185"/>
      <c r="BX137" s="185"/>
      <c r="BY137" s="185"/>
      <c r="BZ137" s="185"/>
      <c r="CA137" s="185"/>
      <c r="CB137" s="185"/>
      <c r="CC137" s="185"/>
      <c r="CD137" s="185"/>
      <c r="CE137" s="185"/>
      <c r="CF137" s="185"/>
      <c r="CG137" s="185"/>
      <c r="CH137" s="185"/>
      <c r="CI137" s="185"/>
      <c r="CJ137" s="185"/>
      <c r="CK137" s="185"/>
      <c r="CL137" s="185"/>
      <c r="CM137" s="185"/>
      <c r="CN137" s="185"/>
      <c r="CO137" s="185"/>
      <c r="CP137" s="185"/>
      <c r="CQ137" s="185"/>
      <c r="CR137" s="185"/>
      <c r="CS137" s="185"/>
      <c r="CT137" s="185"/>
      <c r="CU137" s="185"/>
      <c r="CV137" s="185"/>
      <c r="CW137" s="185"/>
      <c r="CX137" s="185"/>
      <c r="CY137" s="185"/>
      <c r="CZ137" s="185"/>
      <c r="DA137" s="185"/>
    </row>
    <row r="138" spans="1:105" s="189" customFormat="1">
      <c r="A138" s="185" t="s">
        <v>580</v>
      </c>
      <c r="B138" s="185">
        <v>22107506</v>
      </c>
      <c r="C138" s="185" t="s">
        <v>581</v>
      </c>
      <c r="D138" s="228"/>
      <c r="E138" s="185"/>
      <c r="F138" s="185"/>
      <c r="G138" s="229"/>
      <c r="H138" s="185"/>
      <c r="I138" s="185"/>
      <c r="J138" s="185"/>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c r="AX138" s="185"/>
      <c r="AY138" s="185"/>
      <c r="AZ138" s="185"/>
      <c r="BA138" s="185"/>
      <c r="BB138" s="185"/>
      <c r="BC138" s="185"/>
      <c r="BD138" s="185"/>
      <c r="BE138" s="185"/>
      <c r="BF138" s="185"/>
      <c r="BG138" s="185"/>
      <c r="BH138" s="185"/>
      <c r="BI138" s="185"/>
      <c r="BJ138" s="185"/>
      <c r="BK138" s="185"/>
      <c r="BL138" s="185"/>
      <c r="BM138" s="185"/>
      <c r="BN138" s="185"/>
      <c r="BO138" s="185"/>
      <c r="BP138" s="185"/>
      <c r="BQ138" s="185"/>
      <c r="BR138" s="185"/>
      <c r="BS138" s="185"/>
      <c r="BT138" s="185"/>
      <c r="BU138" s="185"/>
      <c r="BV138" s="185"/>
      <c r="BW138" s="185"/>
      <c r="BX138" s="185"/>
      <c r="BY138" s="185"/>
      <c r="BZ138" s="185"/>
      <c r="CA138" s="185"/>
      <c r="CB138" s="185"/>
      <c r="CC138" s="185"/>
      <c r="CD138" s="185"/>
      <c r="CE138" s="185"/>
      <c r="CF138" s="185"/>
      <c r="CG138" s="185"/>
      <c r="CH138" s="185"/>
      <c r="CI138" s="185"/>
      <c r="CJ138" s="185"/>
      <c r="CK138" s="185"/>
      <c r="CL138" s="185"/>
      <c r="CM138" s="185"/>
      <c r="CN138" s="185"/>
      <c r="CO138" s="185"/>
      <c r="CP138" s="185"/>
      <c r="CQ138" s="185"/>
      <c r="CR138" s="185"/>
      <c r="CS138" s="185"/>
      <c r="CT138" s="185"/>
      <c r="CU138" s="185"/>
      <c r="CV138" s="185"/>
      <c r="CW138" s="185"/>
      <c r="CX138" s="185"/>
      <c r="CY138" s="185"/>
      <c r="CZ138" s="185"/>
      <c r="DA138" s="185"/>
    </row>
    <row r="139" spans="1:105" s="193" customFormat="1">
      <c r="A139" s="194" t="s">
        <v>584</v>
      </c>
      <c r="B139" s="194">
        <v>22106433</v>
      </c>
      <c r="C139" s="194" t="s">
        <v>585</v>
      </c>
      <c r="D139" s="194"/>
      <c r="E139" s="194"/>
      <c r="F139" s="194"/>
      <c r="G139" s="232"/>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4"/>
      <c r="AS139" s="194"/>
      <c r="AT139" s="194"/>
      <c r="AU139" s="194"/>
      <c r="AV139" s="194"/>
      <c r="AW139" s="194"/>
      <c r="AX139" s="194"/>
      <c r="AY139" s="194"/>
      <c r="AZ139" s="194"/>
      <c r="BA139" s="194"/>
      <c r="BB139" s="194"/>
      <c r="BC139" s="194"/>
      <c r="BD139" s="194"/>
      <c r="BE139" s="194"/>
      <c r="BF139" s="194"/>
      <c r="BG139" s="194"/>
      <c r="BH139" s="194"/>
      <c r="BI139" s="194"/>
      <c r="BJ139" s="194"/>
      <c r="BK139" s="194"/>
      <c r="BL139" s="194"/>
      <c r="BM139" s="194"/>
      <c r="BN139" s="194"/>
      <c r="BO139" s="194"/>
      <c r="BP139" s="194"/>
      <c r="BQ139" s="194"/>
      <c r="BR139" s="194"/>
      <c r="BS139" s="194"/>
      <c r="BT139" s="194"/>
      <c r="BU139" s="194"/>
      <c r="BV139" s="194"/>
      <c r="BW139" s="194"/>
      <c r="BX139" s="194"/>
      <c r="BY139" s="194"/>
      <c r="BZ139" s="194"/>
      <c r="CA139" s="194"/>
      <c r="CB139" s="194"/>
      <c r="CC139" s="194"/>
      <c r="CD139" s="194"/>
      <c r="CE139" s="194"/>
      <c r="CF139" s="194"/>
      <c r="CG139" s="194"/>
      <c r="CH139" s="194"/>
      <c r="CI139" s="194"/>
      <c r="CJ139" s="194"/>
      <c r="CK139" s="194"/>
      <c r="CL139" s="194"/>
      <c r="CM139" s="194"/>
      <c r="CN139" s="194"/>
      <c r="CO139" s="194"/>
      <c r="CP139" s="194"/>
      <c r="CQ139" s="194"/>
      <c r="CR139" s="194"/>
      <c r="CS139" s="194"/>
      <c r="CT139" s="194"/>
      <c r="CU139" s="194"/>
      <c r="CV139" s="194"/>
      <c r="CW139" s="194"/>
      <c r="CX139" s="194"/>
      <c r="CY139" s="194"/>
      <c r="CZ139" s="194"/>
      <c r="DA139" s="194"/>
    </row>
    <row r="140" spans="1:105" s="110" customFormat="1">
      <c r="A140" s="107" t="s">
        <v>589</v>
      </c>
      <c r="B140" s="107">
        <v>22108915</v>
      </c>
      <c r="C140" s="107" t="s">
        <v>590</v>
      </c>
      <c r="D140" s="107"/>
      <c r="E140" s="107"/>
      <c r="F140" s="107"/>
      <c r="G140" s="109"/>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row>
    <row r="141" spans="1:105" s="110" customFormat="1">
      <c r="A141" s="107" t="s">
        <v>593</v>
      </c>
      <c r="B141" s="107">
        <v>16902223</v>
      </c>
      <c r="C141" s="107" t="s">
        <v>594</v>
      </c>
      <c r="D141" s="107"/>
      <c r="E141" s="107"/>
      <c r="F141" s="107"/>
      <c r="G141" s="109"/>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row>
    <row r="142" spans="1:105" s="189" customFormat="1">
      <c r="A142" s="185" t="s">
        <v>597</v>
      </c>
      <c r="B142" s="185">
        <v>22108084</v>
      </c>
      <c r="C142" s="185" t="s">
        <v>598</v>
      </c>
      <c r="D142" s="228"/>
      <c r="E142" s="185"/>
      <c r="F142" s="185"/>
      <c r="G142" s="229"/>
      <c r="H142" s="185"/>
      <c r="I142" s="185"/>
      <c r="J142" s="185"/>
      <c r="K142" s="185"/>
      <c r="L142" s="185"/>
      <c r="M142" s="185"/>
      <c r="N142" s="185"/>
      <c r="O142" s="185"/>
      <c r="P142" s="185"/>
      <c r="Q142" s="185"/>
      <c r="R142" s="185"/>
      <c r="S142" s="185"/>
      <c r="T142" s="185"/>
      <c r="U142" s="185"/>
      <c r="V142" s="185"/>
      <c r="W142" s="185"/>
      <c r="X142" s="185"/>
      <c r="Y142" s="185"/>
      <c r="Z142" s="185"/>
      <c r="AA142" s="185"/>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85"/>
      <c r="AX142" s="185"/>
      <c r="AY142" s="185"/>
      <c r="AZ142" s="185"/>
      <c r="BA142" s="185"/>
      <c r="BB142" s="185"/>
      <c r="BC142" s="185"/>
      <c r="BD142" s="185"/>
      <c r="BE142" s="185"/>
      <c r="BF142" s="185"/>
      <c r="BG142" s="185"/>
      <c r="BH142" s="185"/>
      <c r="BI142" s="185"/>
      <c r="BJ142" s="185"/>
      <c r="BK142" s="185"/>
      <c r="BL142" s="185"/>
      <c r="BM142" s="185"/>
      <c r="BN142" s="185"/>
      <c r="BO142" s="185"/>
      <c r="BP142" s="185"/>
      <c r="BQ142" s="185"/>
      <c r="BR142" s="185"/>
      <c r="BS142" s="185"/>
      <c r="BT142" s="185"/>
      <c r="BU142" s="185"/>
      <c r="BV142" s="185"/>
      <c r="BW142" s="185"/>
      <c r="BX142" s="185"/>
      <c r="BY142" s="185"/>
      <c r="BZ142" s="185"/>
      <c r="CA142" s="185"/>
      <c r="CB142" s="185"/>
      <c r="CC142" s="185"/>
      <c r="CD142" s="185"/>
      <c r="CE142" s="185"/>
      <c r="CF142" s="185"/>
      <c r="CG142" s="185"/>
      <c r="CH142" s="185"/>
      <c r="CI142" s="185"/>
      <c r="CJ142" s="185"/>
      <c r="CK142" s="185"/>
      <c r="CL142" s="185"/>
      <c r="CM142" s="185"/>
      <c r="CN142" s="185"/>
      <c r="CO142" s="185"/>
      <c r="CP142" s="185"/>
      <c r="CQ142" s="185"/>
      <c r="CR142" s="185"/>
      <c r="CS142" s="185"/>
      <c r="CT142" s="185"/>
      <c r="CU142" s="185"/>
      <c r="CV142" s="185"/>
      <c r="CW142" s="185"/>
      <c r="CX142" s="185"/>
      <c r="CY142" s="185"/>
      <c r="CZ142" s="185"/>
      <c r="DA142" s="185"/>
    </row>
    <row r="143" spans="1:105" s="189" customFormat="1">
      <c r="A143" s="185" t="s">
        <v>601</v>
      </c>
      <c r="B143" s="185">
        <v>22107115</v>
      </c>
      <c r="C143" s="185" t="s">
        <v>602</v>
      </c>
      <c r="D143" s="228"/>
      <c r="E143" s="185"/>
      <c r="F143" s="185"/>
      <c r="G143" s="229"/>
      <c r="H143" s="185"/>
      <c r="I143" s="185"/>
      <c r="J143" s="185"/>
      <c r="K143" s="185"/>
      <c r="L143" s="185"/>
      <c r="M143" s="185"/>
      <c r="N143" s="185"/>
      <c r="O143" s="185"/>
      <c r="P143" s="185"/>
      <c r="Q143" s="185"/>
      <c r="R143" s="185"/>
      <c r="S143" s="185"/>
      <c r="T143" s="185"/>
      <c r="U143" s="185"/>
      <c r="V143" s="185"/>
      <c r="W143" s="185"/>
      <c r="X143" s="185"/>
      <c r="Y143" s="185"/>
      <c r="Z143" s="185"/>
      <c r="AA143" s="185"/>
      <c r="AB143" s="185"/>
      <c r="AC143" s="185"/>
      <c r="AD143" s="185"/>
      <c r="AE143" s="185"/>
      <c r="AF143" s="185"/>
      <c r="AG143" s="185"/>
      <c r="AH143" s="185"/>
      <c r="AI143" s="185"/>
      <c r="AJ143" s="185"/>
      <c r="AK143" s="185"/>
      <c r="AL143" s="185"/>
      <c r="AM143" s="185"/>
      <c r="AN143" s="185"/>
      <c r="AO143" s="185"/>
      <c r="AP143" s="185"/>
      <c r="AQ143" s="185"/>
      <c r="AR143" s="185"/>
      <c r="AS143" s="185"/>
      <c r="AT143" s="185"/>
      <c r="AU143" s="185"/>
      <c r="AV143" s="185"/>
      <c r="AW143" s="185"/>
      <c r="AX143" s="185"/>
      <c r="AY143" s="185"/>
      <c r="AZ143" s="185"/>
      <c r="BA143" s="185"/>
      <c r="BB143" s="185"/>
      <c r="BC143" s="185"/>
      <c r="BD143" s="185"/>
      <c r="BE143" s="185"/>
      <c r="BF143" s="185"/>
      <c r="BG143" s="185"/>
      <c r="BH143" s="185"/>
      <c r="BI143" s="185"/>
      <c r="BJ143" s="185"/>
      <c r="BK143" s="185"/>
      <c r="BL143" s="185"/>
      <c r="BM143" s="185"/>
      <c r="BN143" s="185"/>
      <c r="BO143" s="185"/>
      <c r="BP143" s="185"/>
      <c r="BQ143" s="185"/>
      <c r="BR143" s="185"/>
      <c r="BS143" s="185"/>
      <c r="BT143" s="185"/>
      <c r="BU143" s="185"/>
      <c r="BV143" s="185"/>
      <c r="BW143" s="185"/>
      <c r="BX143" s="185"/>
      <c r="BY143" s="185"/>
      <c r="BZ143" s="185"/>
      <c r="CA143" s="185"/>
      <c r="CB143" s="185"/>
      <c r="CC143" s="185"/>
      <c r="CD143" s="185"/>
      <c r="CE143" s="185"/>
      <c r="CF143" s="185"/>
      <c r="CG143" s="185"/>
      <c r="CH143" s="185"/>
      <c r="CI143" s="185"/>
      <c r="CJ143" s="185"/>
      <c r="CK143" s="185"/>
      <c r="CL143" s="185"/>
      <c r="CM143" s="185"/>
      <c r="CN143" s="185"/>
      <c r="CO143" s="185"/>
      <c r="CP143" s="185"/>
      <c r="CQ143" s="185"/>
      <c r="CR143" s="185"/>
      <c r="CS143" s="185"/>
      <c r="CT143" s="185"/>
      <c r="CU143" s="185"/>
      <c r="CV143" s="185"/>
      <c r="CW143" s="185"/>
      <c r="CX143" s="185"/>
      <c r="CY143" s="185"/>
      <c r="CZ143" s="185"/>
      <c r="DA143" s="185"/>
    </row>
    <row r="144" spans="1:105" s="189" customFormat="1">
      <c r="A144" s="185" t="s">
        <v>604</v>
      </c>
      <c r="B144" s="185">
        <v>22106626</v>
      </c>
      <c r="C144" s="185" t="s">
        <v>605</v>
      </c>
      <c r="D144" s="228"/>
      <c r="E144" s="185"/>
      <c r="F144" s="185"/>
      <c r="G144" s="229"/>
      <c r="H144" s="185"/>
      <c r="I144" s="185"/>
      <c r="J144" s="18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c r="AX144" s="185"/>
      <c r="AY144" s="185"/>
      <c r="AZ144" s="185"/>
      <c r="BA144" s="185"/>
      <c r="BB144" s="185"/>
      <c r="BC144" s="185"/>
      <c r="BD144" s="185"/>
      <c r="BE144" s="185"/>
      <c r="BF144" s="185"/>
      <c r="BG144" s="185"/>
      <c r="BH144" s="185"/>
      <c r="BI144" s="185"/>
      <c r="BJ144" s="185"/>
      <c r="BK144" s="185"/>
      <c r="BL144" s="185"/>
      <c r="BM144" s="185"/>
      <c r="BN144" s="185"/>
      <c r="BO144" s="185"/>
      <c r="BP144" s="185"/>
      <c r="BQ144" s="185"/>
      <c r="BR144" s="185"/>
      <c r="BS144" s="185"/>
      <c r="BT144" s="185"/>
      <c r="BU144" s="185"/>
      <c r="BV144" s="185"/>
      <c r="BW144" s="185"/>
      <c r="BX144" s="185"/>
      <c r="BY144" s="185"/>
      <c r="BZ144" s="185"/>
      <c r="CA144" s="185"/>
      <c r="CB144" s="185"/>
      <c r="CC144" s="185"/>
      <c r="CD144" s="185"/>
      <c r="CE144" s="185"/>
      <c r="CF144" s="185"/>
      <c r="CG144" s="185"/>
      <c r="CH144" s="185"/>
      <c r="CI144" s="185"/>
      <c r="CJ144" s="185"/>
      <c r="CK144" s="185"/>
      <c r="CL144" s="185"/>
      <c r="CM144" s="185"/>
      <c r="CN144" s="185"/>
      <c r="CO144" s="185"/>
      <c r="CP144" s="185"/>
      <c r="CQ144" s="185"/>
      <c r="CR144" s="185"/>
      <c r="CS144" s="185"/>
      <c r="CT144" s="185"/>
      <c r="CU144" s="185"/>
      <c r="CV144" s="185"/>
      <c r="CW144" s="185"/>
      <c r="CX144" s="185"/>
      <c r="CY144" s="185"/>
      <c r="CZ144" s="185"/>
      <c r="DA144" s="185"/>
    </row>
    <row r="145" spans="1:106" s="189" customFormat="1">
      <c r="A145" s="185" t="s">
        <v>608</v>
      </c>
      <c r="B145" s="185">
        <v>22109189</v>
      </c>
      <c r="C145" s="185" t="s">
        <v>609</v>
      </c>
      <c r="D145" s="185"/>
      <c r="E145" s="185"/>
      <c r="F145" s="185"/>
      <c r="G145" s="229"/>
      <c r="H145" s="185"/>
      <c r="I145" s="185"/>
      <c r="J145" s="185"/>
      <c r="K145" s="185"/>
      <c r="L145" s="185"/>
      <c r="M145" s="185"/>
      <c r="N145" s="185"/>
      <c r="O145" s="185"/>
      <c r="P145" s="185"/>
      <c r="Q145" s="185"/>
      <c r="R145" s="185"/>
      <c r="S145" s="185"/>
      <c r="T145" s="185"/>
      <c r="U145" s="185"/>
      <c r="V145" s="185"/>
      <c r="W145" s="185"/>
      <c r="X145" s="185"/>
      <c r="Y145" s="185"/>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c r="AX145" s="185"/>
      <c r="AY145" s="185"/>
      <c r="AZ145" s="185"/>
      <c r="BA145" s="185"/>
      <c r="BB145" s="185"/>
      <c r="BC145" s="185"/>
      <c r="BD145" s="185"/>
      <c r="BE145" s="185"/>
      <c r="BF145" s="185"/>
      <c r="BG145" s="185"/>
      <c r="BH145" s="185"/>
      <c r="BI145" s="185"/>
      <c r="BJ145" s="185"/>
      <c r="BK145" s="185"/>
      <c r="BL145" s="185"/>
      <c r="BM145" s="185"/>
      <c r="BN145" s="185"/>
      <c r="BO145" s="185"/>
      <c r="BP145" s="185"/>
      <c r="BQ145" s="185"/>
      <c r="BR145" s="185"/>
      <c r="BS145" s="185"/>
      <c r="BT145" s="185"/>
      <c r="BU145" s="185"/>
      <c r="BV145" s="185"/>
      <c r="BW145" s="185"/>
      <c r="BX145" s="185"/>
      <c r="BY145" s="185"/>
      <c r="BZ145" s="185"/>
      <c r="CA145" s="185"/>
      <c r="CB145" s="185"/>
      <c r="CC145" s="185"/>
      <c r="CD145" s="185"/>
      <c r="CE145" s="185"/>
      <c r="CF145" s="185"/>
      <c r="CG145" s="185"/>
      <c r="CH145" s="185"/>
      <c r="CI145" s="185"/>
      <c r="CJ145" s="185"/>
      <c r="CK145" s="185"/>
      <c r="CL145" s="185"/>
      <c r="CM145" s="185"/>
      <c r="CN145" s="185"/>
      <c r="CO145" s="185"/>
      <c r="CP145" s="185"/>
      <c r="CQ145" s="185"/>
      <c r="CR145" s="185"/>
      <c r="CS145" s="185"/>
      <c r="CT145" s="185"/>
      <c r="CU145" s="185"/>
      <c r="CV145" s="185"/>
      <c r="CW145" s="185"/>
      <c r="CX145" s="185"/>
      <c r="CY145" s="185"/>
      <c r="CZ145" s="185"/>
      <c r="DA145" s="185"/>
    </row>
    <row r="146" spans="1:106" s="193" customFormat="1">
      <c r="A146" s="194" t="s">
        <v>611</v>
      </c>
      <c r="B146" s="194">
        <v>22109134</v>
      </c>
      <c r="C146" s="194" t="s">
        <v>612</v>
      </c>
      <c r="D146" s="194"/>
      <c r="E146" s="194"/>
      <c r="F146" s="194"/>
      <c r="G146" s="232"/>
      <c r="H146" s="194"/>
      <c r="I146" s="194"/>
      <c r="J146" s="194"/>
      <c r="K146" s="194"/>
      <c r="L146" s="194"/>
      <c r="M146" s="194"/>
      <c r="N146" s="194"/>
      <c r="O146" s="194"/>
      <c r="P146" s="194"/>
      <c r="Q146" s="194"/>
      <c r="R146" s="194"/>
      <c r="S146" s="194"/>
      <c r="T146" s="194"/>
      <c r="U146" s="194"/>
      <c r="V146" s="194"/>
      <c r="W146" s="194"/>
      <c r="X146" s="194"/>
      <c r="Y146" s="194"/>
      <c r="Z146" s="194"/>
      <c r="AA146" s="194"/>
      <c r="AB146" s="194"/>
      <c r="AC146" s="194"/>
      <c r="AD146" s="194"/>
      <c r="AE146" s="194"/>
      <c r="AF146" s="194"/>
      <c r="AG146" s="194"/>
      <c r="AH146" s="194"/>
      <c r="AI146" s="194"/>
      <c r="AJ146" s="194"/>
      <c r="AK146" s="194"/>
      <c r="AL146" s="194"/>
      <c r="AM146" s="194"/>
      <c r="AN146" s="194"/>
      <c r="AO146" s="194"/>
      <c r="AP146" s="194"/>
      <c r="AQ146" s="194"/>
      <c r="AR146" s="194"/>
      <c r="AS146" s="194"/>
      <c r="AT146" s="194"/>
      <c r="AU146" s="194"/>
      <c r="AV146" s="194"/>
      <c r="AW146" s="194"/>
      <c r="AX146" s="194"/>
      <c r="AY146" s="194"/>
      <c r="AZ146" s="194"/>
      <c r="BA146" s="194"/>
      <c r="BB146" s="194"/>
      <c r="BC146" s="194"/>
      <c r="BD146" s="194"/>
      <c r="BE146" s="194"/>
      <c r="BF146" s="194"/>
      <c r="BG146" s="194"/>
      <c r="BH146" s="194"/>
      <c r="BI146" s="194"/>
      <c r="BJ146" s="194"/>
      <c r="BK146" s="194"/>
      <c r="BL146" s="194"/>
      <c r="BM146" s="194"/>
      <c r="BN146" s="194"/>
      <c r="BO146" s="194"/>
      <c r="BP146" s="194"/>
      <c r="BQ146" s="194"/>
      <c r="BR146" s="194"/>
      <c r="BS146" s="194"/>
      <c r="BT146" s="194"/>
      <c r="BU146" s="194"/>
      <c r="BV146" s="194"/>
      <c r="BW146" s="194"/>
      <c r="BX146" s="194"/>
      <c r="BY146" s="194"/>
      <c r="BZ146" s="194"/>
      <c r="CA146" s="194"/>
      <c r="CB146" s="194"/>
      <c r="CC146" s="194"/>
      <c r="CD146" s="194"/>
      <c r="CE146" s="194"/>
      <c r="CF146" s="194"/>
      <c r="CG146" s="194"/>
      <c r="CH146" s="194"/>
      <c r="CI146" s="194"/>
      <c r="CJ146" s="194"/>
      <c r="CK146" s="194"/>
      <c r="CL146" s="194"/>
      <c r="CM146" s="194"/>
      <c r="CN146" s="194"/>
      <c r="CO146" s="194"/>
      <c r="CP146" s="194"/>
      <c r="CQ146" s="194"/>
      <c r="CR146" s="194"/>
      <c r="CS146" s="194"/>
      <c r="CT146" s="194"/>
      <c r="CU146" s="194"/>
      <c r="CV146" s="194"/>
      <c r="CW146" s="194"/>
      <c r="CX146" s="194"/>
      <c r="CY146" s="194"/>
      <c r="CZ146" s="194"/>
      <c r="DA146" s="194"/>
    </row>
    <row r="147" spans="1:106" s="189" customFormat="1">
      <c r="A147" s="185" t="s">
        <v>615</v>
      </c>
      <c r="B147" s="186">
        <v>22101864</v>
      </c>
      <c r="C147" s="190" t="s">
        <v>1401</v>
      </c>
      <c r="D147" s="188">
        <v>44557</v>
      </c>
      <c r="E147" s="186">
        <v>86.3</v>
      </c>
      <c r="F147" s="186">
        <v>10.8</v>
      </c>
      <c r="G147" s="191">
        <v>14.5</v>
      </c>
      <c r="H147" s="186">
        <v>48.1</v>
      </c>
      <c r="I147" s="186">
        <v>31</v>
      </c>
      <c r="J147" s="186">
        <v>3</v>
      </c>
      <c r="K147" s="186">
        <v>1</v>
      </c>
      <c r="L147" s="186">
        <v>2</v>
      </c>
      <c r="M147" s="186">
        <v>0</v>
      </c>
      <c r="N147" s="186">
        <v>8</v>
      </c>
      <c r="O147" s="186">
        <v>9</v>
      </c>
      <c r="P147" s="186">
        <v>1360</v>
      </c>
      <c r="Q147" s="186">
        <v>40</v>
      </c>
      <c r="R147" s="186">
        <v>29</v>
      </c>
      <c r="S147" s="186">
        <v>24.5</v>
      </c>
      <c r="T147" s="188">
        <v>31956</v>
      </c>
      <c r="U147" s="186">
        <v>32.340000000000003</v>
      </c>
      <c r="V147" s="186">
        <v>1</v>
      </c>
      <c r="W147" s="186">
        <v>1</v>
      </c>
      <c r="X147" s="186">
        <v>0</v>
      </c>
      <c r="Y147" s="186">
        <v>3</v>
      </c>
      <c r="Z147" s="186">
        <v>0</v>
      </c>
      <c r="AA147" s="186">
        <v>0</v>
      </c>
      <c r="AB147" s="186">
        <v>0</v>
      </c>
      <c r="AC147" s="186">
        <v>0</v>
      </c>
      <c r="AD147" s="186">
        <v>0</v>
      </c>
      <c r="AE147" s="186">
        <v>1</v>
      </c>
      <c r="AF147" s="186">
        <v>0</v>
      </c>
      <c r="AG147" s="186">
        <v>0</v>
      </c>
      <c r="AH147" s="186">
        <v>1</v>
      </c>
      <c r="AI147" s="186">
        <v>0</v>
      </c>
      <c r="AJ147" s="186">
        <v>0</v>
      </c>
      <c r="AK147" s="186">
        <v>0</v>
      </c>
      <c r="AL147" s="186">
        <v>0</v>
      </c>
      <c r="AM147" s="186">
        <v>0</v>
      </c>
      <c r="AN147" s="186">
        <v>0</v>
      </c>
      <c r="AO147" s="186">
        <v>0</v>
      </c>
      <c r="AP147" s="186">
        <v>0</v>
      </c>
      <c r="AQ147" s="186">
        <v>0</v>
      </c>
      <c r="AR147" s="186">
        <v>2</v>
      </c>
      <c r="AS147" s="186">
        <v>0</v>
      </c>
      <c r="AT147" s="186">
        <v>0</v>
      </c>
      <c r="AU147" s="186">
        <v>0</v>
      </c>
      <c r="AV147" s="186">
        <v>0</v>
      </c>
      <c r="AW147" s="186">
        <v>0</v>
      </c>
      <c r="AX147" s="186">
        <v>0</v>
      </c>
      <c r="AY147" s="186">
        <v>0</v>
      </c>
      <c r="AZ147" s="186">
        <v>0</v>
      </c>
      <c r="BA147" s="186">
        <v>0</v>
      </c>
      <c r="BB147" s="186">
        <v>0</v>
      </c>
      <c r="BC147" s="186">
        <v>0</v>
      </c>
      <c r="BD147" s="186">
        <v>0</v>
      </c>
      <c r="BE147" s="186">
        <v>0</v>
      </c>
      <c r="BF147" s="186">
        <v>0</v>
      </c>
      <c r="BG147" s="186">
        <v>0</v>
      </c>
      <c r="BH147" s="186">
        <v>0</v>
      </c>
      <c r="BI147" s="186">
        <v>0</v>
      </c>
      <c r="BJ147" s="186">
        <v>0</v>
      </c>
      <c r="BK147" s="186">
        <v>1</v>
      </c>
      <c r="BL147" s="186">
        <v>0</v>
      </c>
      <c r="BM147" s="186">
        <v>1</v>
      </c>
      <c r="BN147" s="186">
        <v>0</v>
      </c>
      <c r="BO147" s="186">
        <v>0</v>
      </c>
      <c r="BP147" s="186">
        <v>0</v>
      </c>
      <c r="BQ147" s="186">
        <v>0</v>
      </c>
      <c r="BR147" s="186">
        <v>0</v>
      </c>
      <c r="BS147" s="186">
        <v>0</v>
      </c>
      <c r="BT147" s="186">
        <v>0</v>
      </c>
      <c r="BU147" s="186">
        <v>0</v>
      </c>
      <c r="BV147" s="190" t="s">
        <v>1111</v>
      </c>
      <c r="BW147" s="186">
        <v>0</v>
      </c>
      <c r="BX147" s="186">
        <v>0</v>
      </c>
      <c r="BY147" s="186">
        <v>0</v>
      </c>
      <c r="BZ147" s="186">
        <v>1</v>
      </c>
      <c r="CA147" s="186" t="s">
        <v>1293</v>
      </c>
      <c r="CB147" s="186">
        <v>1</v>
      </c>
      <c r="CC147" s="190" t="s">
        <v>1057</v>
      </c>
      <c r="CD147" s="186">
        <v>1</v>
      </c>
      <c r="CE147" s="190" t="s">
        <v>1151</v>
      </c>
      <c r="CF147" s="190" t="s">
        <v>1402</v>
      </c>
      <c r="CG147" s="186">
        <v>1</v>
      </c>
      <c r="CH147" s="186" t="s">
        <v>1199</v>
      </c>
      <c r="CI147" s="186">
        <v>0</v>
      </c>
      <c r="CJ147" s="186" t="s">
        <v>947</v>
      </c>
      <c r="CK147" s="186" t="s">
        <v>947</v>
      </c>
      <c r="CL147" s="186">
        <v>1</v>
      </c>
      <c r="CM147" s="190" t="s">
        <v>1403</v>
      </c>
      <c r="CN147" s="190" t="s">
        <v>982</v>
      </c>
      <c r="CO147" s="186">
        <v>0</v>
      </c>
      <c r="CP147" s="186" t="s">
        <v>947</v>
      </c>
      <c r="CQ147" s="186" t="s">
        <v>947</v>
      </c>
      <c r="CR147" s="186">
        <v>0</v>
      </c>
      <c r="CS147" s="186" t="s">
        <v>947</v>
      </c>
      <c r="CT147" s="186" t="s">
        <v>947</v>
      </c>
      <c r="CU147" s="186">
        <v>1</v>
      </c>
      <c r="CV147" s="190" t="s">
        <v>1004</v>
      </c>
      <c r="CW147" s="190" t="s">
        <v>1111</v>
      </c>
      <c r="CX147" s="186">
        <v>1</v>
      </c>
      <c r="CY147" s="190" t="s">
        <v>1078</v>
      </c>
      <c r="CZ147" s="186">
        <v>2</v>
      </c>
      <c r="DA147" s="186"/>
      <c r="DB147" s="187"/>
    </row>
    <row r="148" spans="1:106" s="189" customFormat="1">
      <c r="A148" s="185" t="s">
        <v>619</v>
      </c>
      <c r="B148" s="186">
        <v>22101865</v>
      </c>
      <c r="C148" s="190" t="s">
        <v>1404</v>
      </c>
      <c r="D148" s="188">
        <v>44557</v>
      </c>
      <c r="E148" s="186">
        <v>87</v>
      </c>
      <c r="F148" s="186">
        <v>10.4</v>
      </c>
      <c r="G148" s="191">
        <v>13.74</v>
      </c>
      <c r="H148" s="186">
        <v>48.1</v>
      </c>
      <c r="I148" s="186">
        <v>31</v>
      </c>
      <c r="J148" s="186">
        <v>3</v>
      </c>
      <c r="K148" s="186">
        <v>1</v>
      </c>
      <c r="L148" s="186">
        <v>2</v>
      </c>
      <c r="M148" s="186">
        <v>0</v>
      </c>
      <c r="N148" s="186">
        <v>8</v>
      </c>
      <c r="O148" s="186">
        <v>9</v>
      </c>
      <c r="P148" s="186">
        <v>1565</v>
      </c>
      <c r="Q148" s="186">
        <v>40</v>
      </c>
      <c r="R148" s="186">
        <v>27.5</v>
      </c>
      <c r="S148" s="186">
        <v>26</v>
      </c>
      <c r="T148" s="188">
        <v>31956</v>
      </c>
      <c r="U148" s="186">
        <v>32.340000000000003</v>
      </c>
      <c r="V148" s="186">
        <v>1</v>
      </c>
      <c r="W148" s="186">
        <v>1</v>
      </c>
      <c r="X148" s="186">
        <v>0</v>
      </c>
      <c r="Y148" s="186">
        <v>3</v>
      </c>
      <c r="Z148" s="186">
        <v>0</v>
      </c>
      <c r="AA148" s="186">
        <v>0</v>
      </c>
      <c r="AB148" s="186">
        <v>0</v>
      </c>
      <c r="AC148" s="186">
        <v>0</v>
      </c>
      <c r="AD148" s="186">
        <v>0</v>
      </c>
      <c r="AE148" s="186">
        <v>1</v>
      </c>
      <c r="AF148" s="186">
        <v>0</v>
      </c>
      <c r="AG148" s="186">
        <v>0</v>
      </c>
      <c r="AH148" s="186">
        <v>1</v>
      </c>
      <c r="AI148" s="186">
        <v>0</v>
      </c>
      <c r="AJ148" s="186">
        <v>0</v>
      </c>
      <c r="AK148" s="186">
        <v>0</v>
      </c>
      <c r="AL148" s="186">
        <v>0</v>
      </c>
      <c r="AM148" s="186">
        <v>0</v>
      </c>
      <c r="AN148" s="186">
        <v>0</v>
      </c>
      <c r="AO148" s="186">
        <v>0</v>
      </c>
      <c r="AP148" s="186">
        <v>0</v>
      </c>
      <c r="AQ148" s="186">
        <v>0</v>
      </c>
      <c r="AR148" s="186">
        <v>2</v>
      </c>
      <c r="AS148" s="186">
        <v>0</v>
      </c>
      <c r="AT148" s="186">
        <v>0</v>
      </c>
      <c r="AU148" s="186">
        <v>0</v>
      </c>
      <c r="AV148" s="186">
        <v>0</v>
      </c>
      <c r="AW148" s="186">
        <v>0</v>
      </c>
      <c r="AX148" s="186">
        <v>0</v>
      </c>
      <c r="AY148" s="186">
        <v>0</v>
      </c>
      <c r="AZ148" s="186">
        <v>0</v>
      </c>
      <c r="BA148" s="186">
        <v>0</v>
      </c>
      <c r="BB148" s="186">
        <v>0</v>
      </c>
      <c r="BC148" s="186">
        <v>0</v>
      </c>
      <c r="BD148" s="186">
        <v>0</v>
      </c>
      <c r="BE148" s="186">
        <v>0</v>
      </c>
      <c r="BF148" s="186">
        <v>0</v>
      </c>
      <c r="BG148" s="186">
        <v>0</v>
      </c>
      <c r="BH148" s="186">
        <v>0</v>
      </c>
      <c r="BI148" s="186">
        <v>0</v>
      </c>
      <c r="BJ148" s="186">
        <v>0</v>
      </c>
      <c r="BK148" s="186">
        <v>1</v>
      </c>
      <c r="BL148" s="186">
        <v>0</v>
      </c>
      <c r="BM148" s="186">
        <v>1</v>
      </c>
      <c r="BN148" s="186">
        <v>0</v>
      </c>
      <c r="BO148" s="186">
        <v>0</v>
      </c>
      <c r="BP148" s="186">
        <v>0</v>
      </c>
      <c r="BQ148" s="186">
        <v>0</v>
      </c>
      <c r="BR148" s="186">
        <v>0</v>
      </c>
      <c r="BS148" s="186">
        <v>0</v>
      </c>
      <c r="BT148" s="186">
        <v>0</v>
      </c>
      <c r="BU148" s="186">
        <v>0</v>
      </c>
      <c r="BV148" s="190" t="s">
        <v>1111</v>
      </c>
      <c r="BW148" s="186">
        <v>0</v>
      </c>
      <c r="BX148" s="186">
        <v>0</v>
      </c>
      <c r="BY148" s="186">
        <v>0</v>
      </c>
      <c r="BZ148" s="186">
        <v>1</v>
      </c>
      <c r="CA148" s="186" t="s">
        <v>1293</v>
      </c>
      <c r="CB148" s="186">
        <v>1</v>
      </c>
      <c r="CC148" s="190" t="s">
        <v>1057</v>
      </c>
      <c r="CD148" s="186">
        <v>1</v>
      </c>
      <c r="CE148" s="190" t="s">
        <v>1151</v>
      </c>
      <c r="CF148" s="190" t="s">
        <v>1405</v>
      </c>
      <c r="CG148" s="186">
        <v>1</v>
      </c>
      <c r="CH148" s="186" t="s">
        <v>1199</v>
      </c>
      <c r="CI148" s="186">
        <v>0</v>
      </c>
      <c r="CJ148" s="186" t="s">
        <v>947</v>
      </c>
      <c r="CK148" s="186" t="s">
        <v>947</v>
      </c>
      <c r="CL148" s="186">
        <v>1</v>
      </c>
      <c r="CM148" s="190" t="s">
        <v>1403</v>
      </c>
      <c r="CN148" s="190" t="s">
        <v>982</v>
      </c>
      <c r="CO148" s="186">
        <v>0</v>
      </c>
      <c r="CP148" s="186" t="s">
        <v>947</v>
      </c>
      <c r="CQ148" s="186" t="s">
        <v>947</v>
      </c>
      <c r="CR148" s="186">
        <v>0</v>
      </c>
      <c r="CS148" s="186" t="s">
        <v>947</v>
      </c>
      <c r="CT148" s="186" t="s">
        <v>947</v>
      </c>
      <c r="CU148" s="186">
        <v>0</v>
      </c>
      <c r="CV148" s="186" t="s">
        <v>947</v>
      </c>
      <c r="CW148" s="186" t="s">
        <v>947</v>
      </c>
      <c r="CX148" s="186">
        <v>1</v>
      </c>
      <c r="CY148" s="190" t="s">
        <v>1078</v>
      </c>
      <c r="CZ148" s="186">
        <v>2</v>
      </c>
      <c r="DA148" s="186"/>
      <c r="DB148" s="187"/>
    </row>
    <row r="149" spans="1:106" s="193" customFormat="1">
      <c r="A149" s="194" t="s">
        <v>622</v>
      </c>
      <c r="B149" s="194">
        <v>22107821</v>
      </c>
      <c r="C149" s="194" t="s">
        <v>623</v>
      </c>
      <c r="D149" s="194"/>
      <c r="E149" s="194"/>
      <c r="F149" s="194"/>
      <c r="G149" s="232"/>
      <c r="H149" s="194"/>
      <c r="I149" s="194"/>
      <c r="J149" s="194"/>
      <c r="K149" s="194"/>
      <c r="L149" s="194"/>
      <c r="M149" s="194"/>
      <c r="N149" s="194"/>
      <c r="O149" s="194"/>
      <c r="P149" s="194"/>
      <c r="Q149" s="194"/>
      <c r="R149" s="194"/>
      <c r="S149" s="194"/>
      <c r="T149" s="194"/>
      <c r="U149" s="194"/>
      <c r="V149" s="194"/>
      <c r="W149" s="194"/>
      <c r="X149" s="194"/>
      <c r="Y149" s="194"/>
      <c r="Z149" s="194"/>
      <c r="AA149" s="194"/>
      <c r="AB149" s="194"/>
      <c r="AC149" s="194"/>
      <c r="AD149" s="194"/>
      <c r="AE149" s="194"/>
      <c r="AF149" s="194"/>
      <c r="AG149" s="194"/>
      <c r="AH149" s="194"/>
      <c r="AI149" s="194"/>
      <c r="AJ149" s="194"/>
      <c r="AK149" s="194"/>
      <c r="AL149" s="194"/>
      <c r="AM149" s="194"/>
      <c r="AN149" s="194"/>
      <c r="AO149" s="194"/>
      <c r="AP149" s="194"/>
      <c r="AQ149" s="194"/>
      <c r="AR149" s="194"/>
      <c r="AS149" s="194"/>
      <c r="AT149" s="194"/>
      <c r="AU149" s="194"/>
      <c r="AV149" s="194"/>
      <c r="AW149" s="194"/>
      <c r="AX149" s="194"/>
      <c r="AY149" s="194"/>
      <c r="AZ149" s="194"/>
      <c r="BA149" s="194"/>
      <c r="BB149" s="194"/>
      <c r="BC149" s="194"/>
      <c r="BD149" s="194"/>
      <c r="BE149" s="194"/>
      <c r="BF149" s="194"/>
      <c r="BG149" s="194"/>
      <c r="BH149" s="194"/>
      <c r="BI149" s="194"/>
      <c r="BJ149" s="194"/>
      <c r="BK149" s="194"/>
      <c r="BL149" s="194"/>
      <c r="BM149" s="194"/>
      <c r="BN149" s="194"/>
      <c r="BO149" s="194"/>
      <c r="BP149" s="194"/>
      <c r="BQ149" s="194"/>
      <c r="BR149" s="194"/>
      <c r="BS149" s="194"/>
      <c r="BT149" s="194"/>
      <c r="BU149" s="194"/>
      <c r="BV149" s="194"/>
      <c r="BW149" s="194"/>
      <c r="BX149" s="194"/>
      <c r="BY149" s="194"/>
      <c r="BZ149" s="194"/>
      <c r="CA149" s="194"/>
      <c r="CB149" s="194"/>
      <c r="CC149" s="194"/>
      <c r="CD149" s="194"/>
      <c r="CE149" s="194"/>
      <c r="CF149" s="194"/>
      <c r="CG149" s="194"/>
      <c r="CH149" s="194"/>
      <c r="CI149" s="194"/>
      <c r="CJ149" s="194"/>
      <c r="CK149" s="194"/>
      <c r="CL149" s="194"/>
      <c r="CM149" s="194"/>
      <c r="CN149" s="194"/>
      <c r="CO149" s="194"/>
      <c r="CP149" s="194"/>
      <c r="CQ149" s="194"/>
      <c r="CR149" s="194"/>
      <c r="CS149" s="194"/>
      <c r="CT149" s="194"/>
      <c r="CU149" s="194"/>
      <c r="CV149" s="194"/>
      <c r="CW149" s="194"/>
      <c r="CX149" s="194"/>
      <c r="CY149" s="194"/>
      <c r="CZ149" s="194"/>
      <c r="DA149" s="194"/>
    </row>
    <row r="150" spans="1:106" s="189" customFormat="1">
      <c r="A150" s="185" t="s">
        <v>626</v>
      </c>
      <c r="B150" s="185">
        <v>22109239</v>
      </c>
      <c r="C150" s="185" t="s">
        <v>627</v>
      </c>
      <c r="D150" s="185"/>
      <c r="E150" s="185"/>
      <c r="F150" s="185"/>
      <c r="G150" s="229"/>
      <c r="H150" s="185"/>
      <c r="I150" s="185"/>
      <c r="J150" s="185"/>
      <c r="K150" s="185"/>
      <c r="L150" s="185"/>
      <c r="M150" s="185"/>
      <c r="N150" s="185"/>
      <c r="O150" s="185"/>
      <c r="P150" s="185"/>
      <c r="Q150" s="185"/>
      <c r="R150" s="185"/>
      <c r="S150" s="185"/>
      <c r="T150" s="185"/>
      <c r="U150" s="185"/>
      <c r="V150" s="185"/>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c r="AX150" s="185"/>
      <c r="AY150" s="185"/>
      <c r="AZ150" s="185"/>
      <c r="BA150" s="185"/>
      <c r="BB150" s="185"/>
      <c r="BC150" s="185"/>
      <c r="BD150" s="185"/>
      <c r="BE150" s="185"/>
      <c r="BF150" s="185"/>
      <c r="BG150" s="185"/>
      <c r="BH150" s="185"/>
      <c r="BI150" s="185"/>
      <c r="BJ150" s="185"/>
      <c r="BK150" s="185"/>
      <c r="BL150" s="185"/>
      <c r="BM150" s="185"/>
      <c r="BN150" s="185"/>
      <c r="BO150" s="185"/>
      <c r="BP150" s="185"/>
      <c r="BQ150" s="185"/>
      <c r="BR150" s="185"/>
      <c r="BS150" s="185"/>
      <c r="BT150" s="185"/>
      <c r="BU150" s="185"/>
      <c r="BV150" s="185"/>
      <c r="BW150" s="185"/>
      <c r="BX150" s="185"/>
      <c r="BY150" s="185"/>
      <c r="BZ150" s="185"/>
      <c r="CA150" s="185"/>
      <c r="CB150" s="185"/>
      <c r="CC150" s="185"/>
      <c r="CD150" s="185"/>
      <c r="CE150" s="185"/>
      <c r="CF150" s="185"/>
      <c r="CG150" s="185"/>
      <c r="CH150" s="185"/>
      <c r="CI150" s="185"/>
      <c r="CJ150" s="185"/>
      <c r="CK150" s="185"/>
      <c r="CL150" s="185"/>
      <c r="CM150" s="185"/>
      <c r="CN150" s="185"/>
      <c r="CO150" s="185"/>
      <c r="CP150" s="185"/>
      <c r="CQ150" s="185"/>
      <c r="CR150" s="185"/>
      <c r="CS150" s="185"/>
      <c r="CT150" s="185"/>
      <c r="CU150" s="185"/>
      <c r="CV150" s="185"/>
      <c r="CW150" s="185"/>
      <c r="CX150" s="185"/>
      <c r="CY150" s="185"/>
      <c r="CZ150" s="185"/>
      <c r="DA150" s="185"/>
    </row>
    <row r="151" spans="1:106" s="193" customFormat="1">
      <c r="A151" s="194" t="s">
        <v>630</v>
      </c>
      <c r="B151" s="194">
        <v>22107774</v>
      </c>
      <c r="C151" s="194" t="s">
        <v>631</v>
      </c>
      <c r="D151" s="200"/>
      <c r="E151" s="194"/>
      <c r="F151" s="194"/>
      <c r="G151" s="232"/>
      <c r="H151" s="194"/>
      <c r="I151" s="194"/>
      <c r="J151" s="194"/>
      <c r="K151" s="194"/>
      <c r="L151" s="194"/>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c r="AP151" s="194"/>
      <c r="AQ151" s="194"/>
      <c r="AR151" s="194"/>
      <c r="AS151" s="194"/>
      <c r="AT151" s="194"/>
      <c r="AU151" s="194"/>
      <c r="AV151" s="194"/>
      <c r="AW151" s="194"/>
      <c r="AX151" s="194"/>
      <c r="AY151" s="194"/>
      <c r="AZ151" s="194"/>
      <c r="BA151" s="194"/>
      <c r="BB151" s="194"/>
      <c r="BC151" s="194"/>
      <c r="BD151" s="194"/>
      <c r="BE151" s="194"/>
      <c r="BF151" s="194"/>
      <c r="BG151" s="194"/>
      <c r="BH151" s="194"/>
      <c r="BI151" s="194"/>
      <c r="BJ151" s="194"/>
      <c r="BK151" s="194"/>
      <c r="BL151" s="194"/>
      <c r="BM151" s="194"/>
      <c r="BN151" s="194"/>
      <c r="BO151" s="194"/>
      <c r="BP151" s="194"/>
      <c r="BQ151" s="194"/>
      <c r="BR151" s="194"/>
      <c r="BS151" s="194"/>
      <c r="BT151" s="194"/>
      <c r="BU151" s="194"/>
      <c r="BV151" s="194"/>
      <c r="BW151" s="194"/>
      <c r="BX151" s="194"/>
      <c r="BY151" s="194"/>
      <c r="BZ151" s="194"/>
      <c r="CA151" s="194"/>
      <c r="CB151" s="194"/>
      <c r="CC151" s="194"/>
      <c r="CD151" s="194"/>
      <c r="CE151" s="194"/>
      <c r="CF151" s="194"/>
      <c r="CG151" s="194"/>
      <c r="CH151" s="194"/>
      <c r="CI151" s="194"/>
      <c r="CJ151" s="194"/>
      <c r="CK151" s="194"/>
      <c r="CL151" s="194"/>
      <c r="CM151" s="194"/>
      <c r="CN151" s="194"/>
      <c r="CO151" s="194"/>
      <c r="CP151" s="194"/>
      <c r="CQ151" s="194"/>
      <c r="CR151" s="194"/>
      <c r="CS151" s="194"/>
      <c r="CT151" s="194"/>
      <c r="CU151" s="194"/>
      <c r="CV151" s="194"/>
      <c r="CW151" s="194"/>
      <c r="CX151" s="194"/>
      <c r="CY151" s="194"/>
      <c r="CZ151" s="194"/>
      <c r="DA151" s="194"/>
    </row>
    <row r="152" spans="1:106" s="189" customFormat="1">
      <c r="A152" s="185" t="s">
        <v>633</v>
      </c>
      <c r="B152" s="185">
        <v>22109051</v>
      </c>
      <c r="C152" s="185" t="s">
        <v>634</v>
      </c>
      <c r="D152" s="185"/>
      <c r="E152" s="185"/>
      <c r="F152" s="185"/>
      <c r="G152" s="229"/>
      <c r="H152" s="185"/>
      <c r="I152" s="185"/>
      <c r="J152" s="185"/>
      <c r="K152" s="185"/>
      <c r="L152" s="185"/>
      <c r="M152" s="185"/>
      <c r="N152" s="185"/>
      <c r="O152" s="185"/>
      <c r="P152" s="185"/>
      <c r="Q152" s="185"/>
      <c r="R152" s="185"/>
      <c r="S152" s="185"/>
      <c r="T152" s="185"/>
      <c r="U152" s="185"/>
      <c r="V152" s="185"/>
      <c r="W152" s="185"/>
      <c r="X152" s="185"/>
      <c r="Y152" s="185"/>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c r="AX152" s="185"/>
      <c r="AY152" s="185"/>
      <c r="AZ152" s="185"/>
      <c r="BA152" s="185"/>
      <c r="BB152" s="185"/>
      <c r="BC152" s="185"/>
      <c r="BD152" s="185"/>
      <c r="BE152" s="185"/>
      <c r="BF152" s="185"/>
      <c r="BG152" s="185"/>
      <c r="BH152" s="185"/>
      <c r="BI152" s="185"/>
      <c r="BJ152" s="185"/>
      <c r="BK152" s="185"/>
      <c r="BL152" s="185"/>
      <c r="BM152" s="185"/>
      <c r="BN152" s="185"/>
      <c r="BO152" s="185"/>
      <c r="BP152" s="185"/>
      <c r="BQ152" s="185"/>
      <c r="BR152" s="185"/>
      <c r="BS152" s="185"/>
      <c r="BT152" s="185"/>
      <c r="BU152" s="185"/>
      <c r="BV152" s="185"/>
      <c r="BW152" s="185"/>
      <c r="BX152" s="185"/>
      <c r="BY152" s="185"/>
      <c r="BZ152" s="185"/>
      <c r="CA152" s="185"/>
      <c r="CB152" s="185"/>
      <c r="CC152" s="185"/>
      <c r="CD152" s="185"/>
      <c r="CE152" s="185"/>
      <c r="CF152" s="185"/>
      <c r="CG152" s="185"/>
      <c r="CH152" s="185"/>
      <c r="CI152" s="185"/>
      <c r="CJ152" s="185"/>
      <c r="CK152" s="185"/>
      <c r="CL152" s="185"/>
      <c r="CM152" s="185"/>
      <c r="CN152" s="185"/>
      <c r="CO152" s="185"/>
      <c r="CP152" s="185"/>
      <c r="CQ152" s="185"/>
      <c r="CR152" s="185"/>
      <c r="CS152" s="185"/>
      <c r="CT152" s="185"/>
      <c r="CU152" s="185"/>
      <c r="CV152" s="185"/>
      <c r="CW152" s="185"/>
      <c r="CX152" s="185"/>
      <c r="CY152" s="185"/>
      <c r="CZ152" s="185"/>
      <c r="DA152" s="185"/>
    </row>
    <row r="153" spans="1:106" s="189" customFormat="1">
      <c r="A153" s="185" t="s">
        <v>636</v>
      </c>
      <c r="B153" s="185">
        <v>22109052</v>
      </c>
      <c r="C153" s="185" t="s">
        <v>637</v>
      </c>
      <c r="D153" s="185"/>
      <c r="E153" s="185"/>
      <c r="F153" s="185"/>
      <c r="G153" s="229"/>
      <c r="H153" s="185"/>
      <c r="I153" s="185"/>
      <c r="J153" s="185"/>
      <c r="K153" s="185"/>
      <c r="L153" s="185"/>
      <c r="M153" s="185"/>
      <c r="N153" s="185"/>
      <c r="O153" s="185"/>
      <c r="P153" s="185"/>
      <c r="Q153" s="185"/>
      <c r="R153" s="185"/>
      <c r="S153" s="185"/>
      <c r="T153" s="185"/>
      <c r="U153" s="185"/>
      <c r="V153" s="185"/>
      <c r="W153" s="185"/>
      <c r="X153" s="185"/>
      <c r="Y153" s="185"/>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c r="AX153" s="185"/>
      <c r="AY153" s="185"/>
      <c r="AZ153" s="185"/>
      <c r="BA153" s="185"/>
      <c r="BB153" s="185"/>
      <c r="BC153" s="185"/>
      <c r="BD153" s="185"/>
      <c r="BE153" s="185"/>
      <c r="BF153" s="185"/>
      <c r="BG153" s="185"/>
      <c r="BH153" s="185"/>
      <c r="BI153" s="185"/>
      <c r="BJ153" s="185"/>
      <c r="BK153" s="185"/>
      <c r="BL153" s="185"/>
      <c r="BM153" s="185"/>
      <c r="BN153" s="185"/>
      <c r="BO153" s="185"/>
      <c r="BP153" s="185"/>
      <c r="BQ153" s="185"/>
      <c r="BR153" s="185"/>
      <c r="BS153" s="185"/>
      <c r="BT153" s="185"/>
      <c r="BU153" s="185"/>
      <c r="BV153" s="185"/>
      <c r="BW153" s="185"/>
      <c r="BX153" s="185"/>
      <c r="BY153" s="185"/>
      <c r="BZ153" s="185"/>
      <c r="CA153" s="185"/>
      <c r="CB153" s="185"/>
      <c r="CC153" s="185"/>
      <c r="CD153" s="185"/>
      <c r="CE153" s="185"/>
      <c r="CF153" s="185"/>
      <c r="CG153" s="185"/>
      <c r="CH153" s="185"/>
      <c r="CI153" s="185"/>
      <c r="CJ153" s="185"/>
      <c r="CK153" s="185"/>
      <c r="CL153" s="185"/>
      <c r="CM153" s="185"/>
      <c r="CN153" s="185"/>
      <c r="CO153" s="185"/>
      <c r="CP153" s="185"/>
      <c r="CQ153" s="185"/>
      <c r="CR153" s="185"/>
      <c r="CS153" s="185"/>
      <c r="CT153" s="185"/>
      <c r="CU153" s="185"/>
      <c r="CV153" s="185"/>
      <c r="CW153" s="185"/>
      <c r="CX153" s="185"/>
      <c r="CY153" s="185"/>
      <c r="CZ153" s="185"/>
      <c r="DA153" s="185"/>
    </row>
    <row r="154" spans="1:106" s="189" customFormat="1">
      <c r="A154" s="185" t="s">
        <v>638</v>
      </c>
      <c r="B154" s="186">
        <v>22100387</v>
      </c>
      <c r="C154" s="190" t="s">
        <v>1426</v>
      </c>
      <c r="D154" s="188">
        <v>44554</v>
      </c>
      <c r="E154" s="186">
        <v>88.7</v>
      </c>
      <c r="F154" s="186">
        <v>12</v>
      </c>
      <c r="G154" s="191">
        <v>15.25</v>
      </c>
      <c r="H154" s="186">
        <v>46</v>
      </c>
      <c r="I154" s="186">
        <v>24</v>
      </c>
      <c r="J154" s="186">
        <v>5</v>
      </c>
      <c r="K154" s="186">
        <v>1</v>
      </c>
      <c r="L154" s="186">
        <v>1</v>
      </c>
      <c r="M154" s="186">
        <v>0</v>
      </c>
      <c r="N154" s="186">
        <v>2</v>
      </c>
      <c r="O154" s="186">
        <v>4</v>
      </c>
      <c r="P154" s="186">
        <v>830</v>
      </c>
      <c r="Q154" s="186">
        <v>31.5</v>
      </c>
      <c r="R154" s="186">
        <v>23</v>
      </c>
      <c r="S154" s="186">
        <v>21</v>
      </c>
      <c r="T154" s="188">
        <v>28539</v>
      </c>
      <c r="U154" s="186">
        <v>41.35</v>
      </c>
      <c r="V154" s="186">
        <v>2</v>
      </c>
      <c r="W154" s="186">
        <v>1</v>
      </c>
      <c r="X154" s="186">
        <v>0</v>
      </c>
      <c r="Y154" s="186">
        <v>2</v>
      </c>
      <c r="Z154" s="186">
        <v>0</v>
      </c>
      <c r="AA154" s="186">
        <v>0</v>
      </c>
      <c r="AB154" s="186">
        <v>0</v>
      </c>
      <c r="AC154" s="186">
        <v>1</v>
      </c>
      <c r="AD154" s="186">
        <v>0</v>
      </c>
      <c r="AE154" s="186">
        <v>0</v>
      </c>
      <c r="AF154" s="186">
        <v>0</v>
      </c>
      <c r="AG154" s="186">
        <v>1</v>
      </c>
      <c r="AH154" s="186">
        <v>1</v>
      </c>
      <c r="AI154" s="186">
        <v>0</v>
      </c>
      <c r="AJ154" s="186">
        <v>0</v>
      </c>
      <c r="AK154" s="186">
        <v>0</v>
      </c>
      <c r="AL154" s="186">
        <v>0</v>
      </c>
      <c r="AM154" s="186">
        <v>0</v>
      </c>
      <c r="AN154" s="186">
        <v>0</v>
      </c>
      <c r="AO154" s="186">
        <v>0</v>
      </c>
      <c r="AP154" s="186">
        <v>0</v>
      </c>
      <c r="AQ154" s="186">
        <v>0</v>
      </c>
      <c r="AR154" s="186">
        <v>2</v>
      </c>
      <c r="AS154" s="186">
        <v>0</v>
      </c>
      <c r="AT154" s="186">
        <v>0</v>
      </c>
      <c r="AU154" s="186">
        <v>0</v>
      </c>
      <c r="AV154" s="186">
        <v>0</v>
      </c>
      <c r="AW154" s="186">
        <v>0</v>
      </c>
      <c r="AX154" s="186">
        <v>0</v>
      </c>
      <c r="AY154" s="186">
        <v>0</v>
      </c>
      <c r="AZ154" s="186">
        <v>0</v>
      </c>
      <c r="BA154" s="186">
        <v>0</v>
      </c>
      <c r="BB154" s="186">
        <v>0</v>
      </c>
      <c r="BC154" s="186">
        <v>0</v>
      </c>
      <c r="BD154" s="186">
        <v>0</v>
      </c>
      <c r="BE154" s="186">
        <v>0</v>
      </c>
      <c r="BF154" s="186">
        <v>0</v>
      </c>
      <c r="BG154" s="186">
        <v>0</v>
      </c>
      <c r="BH154" s="186">
        <v>0</v>
      </c>
      <c r="BI154" s="186">
        <v>0</v>
      </c>
      <c r="BJ154" s="186">
        <v>0</v>
      </c>
      <c r="BK154" s="186">
        <v>1</v>
      </c>
      <c r="BL154" s="186">
        <v>0</v>
      </c>
      <c r="BM154" s="186">
        <v>1</v>
      </c>
      <c r="BN154" s="186">
        <v>0</v>
      </c>
      <c r="BO154" s="186">
        <v>0</v>
      </c>
      <c r="BP154" s="186">
        <v>1</v>
      </c>
      <c r="BQ154" s="186">
        <v>0</v>
      </c>
      <c r="BR154" s="186">
        <v>0</v>
      </c>
      <c r="BS154" s="186">
        <v>0</v>
      </c>
      <c r="BT154" s="186">
        <v>0</v>
      </c>
      <c r="BU154" s="186">
        <v>0</v>
      </c>
      <c r="BV154" s="186">
        <v>0</v>
      </c>
      <c r="BW154" s="186">
        <v>0</v>
      </c>
      <c r="BX154" s="186">
        <v>0</v>
      </c>
      <c r="BY154" s="186">
        <v>0</v>
      </c>
      <c r="BZ154" s="186">
        <v>1</v>
      </c>
      <c r="CA154" s="186" t="s">
        <v>1427</v>
      </c>
      <c r="CB154" s="186">
        <v>1</v>
      </c>
      <c r="CC154" s="190" t="s">
        <v>1057</v>
      </c>
      <c r="CD154" s="186">
        <v>1</v>
      </c>
      <c r="CE154" s="190" t="s">
        <v>1428</v>
      </c>
      <c r="CF154" s="190" t="s">
        <v>1429</v>
      </c>
      <c r="CG154" s="186">
        <v>1</v>
      </c>
      <c r="CH154" s="186" t="s">
        <v>1084</v>
      </c>
      <c r="CI154" s="186">
        <v>0</v>
      </c>
      <c r="CJ154" s="186" t="s">
        <v>947</v>
      </c>
      <c r="CK154" s="186" t="s">
        <v>947</v>
      </c>
      <c r="CL154" s="186">
        <v>1</v>
      </c>
      <c r="CM154" s="190" t="s">
        <v>1430</v>
      </c>
      <c r="CN154" s="190" t="s">
        <v>1004</v>
      </c>
      <c r="CO154" s="190" t="s">
        <v>1060</v>
      </c>
      <c r="CP154" s="186" t="s">
        <v>1084</v>
      </c>
      <c r="CQ154" s="190" t="s">
        <v>993</v>
      </c>
      <c r="CR154" s="186">
        <v>0</v>
      </c>
      <c r="CS154" s="186" t="s">
        <v>947</v>
      </c>
      <c r="CT154" s="186" t="s">
        <v>947</v>
      </c>
      <c r="CU154" s="186">
        <v>0</v>
      </c>
      <c r="CV154" s="186" t="s">
        <v>947</v>
      </c>
      <c r="CW154" s="186" t="s">
        <v>947</v>
      </c>
      <c r="CX154" s="186">
        <v>1</v>
      </c>
      <c r="CY154" s="190" t="s">
        <v>1005</v>
      </c>
      <c r="CZ154" s="186">
        <v>2</v>
      </c>
      <c r="DA154" s="186"/>
      <c r="DB154" s="187"/>
    </row>
    <row r="155" spans="1:106" s="189" customFormat="1">
      <c r="A155" s="185" t="s">
        <v>642</v>
      </c>
      <c r="B155" s="185">
        <v>22108829</v>
      </c>
      <c r="C155" s="185" t="s">
        <v>643</v>
      </c>
      <c r="D155" s="185"/>
      <c r="E155" s="185"/>
      <c r="F155" s="185"/>
      <c r="G155" s="229"/>
      <c r="H155" s="185"/>
      <c r="I155" s="185"/>
      <c r="J155" s="185"/>
      <c r="K155" s="185"/>
      <c r="L155" s="185"/>
      <c r="M155" s="185"/>
      <c r="N155" s="185"/>
      <c r="O155" s="185"/>
      <c r="P155" s="185"/>
      <c r="Q155" s="185"/>
      <c r="R155" s="185"/>
      <c r="S155" s="185"/>
      <c r="T155" s="185"/>
      <c r="U155" s="185"/>
      <c r="V155" s="185"/>
      <c r="W155" s="185"/>
      <c r="X155" s="185"/>
      <c r="Y155" s="185"/>
      <c r="Z155" s="185"/>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85"/>
      <c r="AX155" s="185"/>
      <c r="AY155" s="185"/>
      <c r="AZ155" s="185"/>
      <c r="BA155" s="185"/>
      <c r="BB155" s="185"/>
      <c r="BC155" s="185"/>
      <c r="BD155" s="185"/>
      <c r="BE155" s="185"/>
      <c r="BF155" s="185"/>
      <c r="BG155" s="185"/>
      <c r="BH155" s="185"/>
      <c r="BI155" s="185"/>
      <c r="BJ155" s="185"/>
      <c r="BK155" s="185"/>
      <c r="BL155" s="185"/>
      <c r="BM155" s="185"/>
      <c r="BN155" s="185"/>
      <c r="BO155" s="185"/>
      <c r="BP155" s="185"/>
      <c r="BQ155" s="185"/>
      <c r="BR155" s="185"/>
      <c r="BS155" s="185"/>
      <c r="BT155" s="185"/>
      <c r="BU155" s="185"/>
      <c r="BV155" s="185"/>
      <c r="BW155" s="185"/>
      <c r="BX155" s="185"/>
      <c r="BY155" s="185"/>
      <c r="BZ155" s="185"/>
      <c r="CA155" s="185"/>
      <c r="CB155" s="185"/>
      <c r="CC155" s="185"/>
      <c r="CD155" s="185"/>
      <c r="CE155" s="185"/>
      <c r="CF155" s="185"/>
      <c r="CG155" s="185"/>
      <c r="CH155" s="185"/>
      <c r="CI155" s="185"/>
      <c r="CJ155" s="185"/>
      <c r="CK155" s="185"/>
      <c r="CL155" s="185"/>
      <c r="CM155" s="185"/>
      <c r="CN155" s="185"/>
      <c r="CO155" s="185"/>
      <c r="CP155" s="185"/>
      <c r="CQ155" s="185"/>
      <c r="CR155" s="185"/>
      <c r="CS155" s="185"/>
      <c r="CT155" s="185"/>
      <c r="CU155" s="185"/>
      <c r="CV155" s="185"/>
      <c r="CW155" s="185"/>
      <c r="CX155" s="185"/>
      <c r="CY155" s="185"/>
      <c r="CZ155" s="185"/>
      <c r="DA155" s="185"/>
    </row>
    <row r="156" spans="1:106" s="193" customFormat="1">
      <c r="A156" s="192" t="s">
        <v>645</v>
      </c>
      <c r="B156" s="192">
        <v>4998631</v>
      </c>
      <c r="C156" s="192" t="s">
        <v>646</v>
      </c>
      <c r="D156" s="192"/>
      <c r="E156" s="194"/>
      <c r="F156" s="194"/>
      <c r="G156" s="232"/>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194"/>
      <c r="AQ156" s="194"/>
      <c r="AR156" s="194"/>
      <c r="AS156" s="194"/>
      <c r="AT156" s="194"/>
      <c r="AU156" s="194"/>
      <c r="AV156" s="194"/>
      <c r="AW156" s="194"/>
      <c r="AX156" s="194"/>
      <c r="AY156" s="194"/>
      <c r="AZ156" s="194"/>
      <c r="BA156" s="194"/>
      <c r="BB156" s="194"/>
      <c r="BC156" s="194"/>
      <c r="BD156" s="194"/>
      <c r="BE156" s="194"/>
      <c r="BF156" s="194"/>
      <c r="BG156" s="194"/>
      <c r="BH156" s="194"/>
      <c r="BI156" s="194"/>
      <c r="BJ156" s="194"/>
      <c r="BK156" s="194"/>
      <c r="BL156" s="194"/>
      <c r="BM156" s="194"/>
      <c r="BN156" s="194"/>
      <c r="BO156" s="194"/>
      <c r="BP156" s="194"/>
      <c r="BQ156" s="194"/>
      <c r="BR156" s="194"/>
      <c r="BS156" s="194"/>
      <c r="BT156" s="194"/>
      <c r="BU156" s="194"/>
      <c r="BV156" s="194"/>
      <c r="BW156" s="194"/>
      <c r="BX156" s="194"/>
      <c r="BY156" s="194"/>
      <c r="BZ156" s="194"/>
      <c r="CA156" s="194"/>
      <c r="CB156" s="194"/>
      <c r="CC156" s="194"/>
      <c r="CD156" s="194"/>
      <c r="CE156" s="194"/>
      <c r="CF156" s="194"/>
      <c r="CG156" s="194"/>
      <c r="CH156" s="194"/>
      <c r="CI156" s="194"/>
      <c r="CJ156" s="194"/>
      <c r="CK156" s="194"/>
      <c r="CL156" s="194"/>
      <c r="CM156" s="194"/>
      <c r="CN156" s="194"/>
      <c r="CO156" s="194"/>
      <c r="CP156" s="194"/>
      <c r="CQ156" s="194"/>
      <c r="CR156" s="194"/>
      <c r="CS156" s="194"/>
      <c r="CT156" s="194"/>
      <c r="CU156" s="194"/>
      <c r="CV156" s="194"/>
      <c r="CW156" s="194"/>
      <c r="CX156" s="194"/>
      <c r="CY156" s="194"/>
      <c r="CZ156" s="194"/>
      <c r="DA156" s="194"/>
    </row>
    <row r="157" spans="1:106" s="189" customFormat="1">
      <c r="A157" s="185" t="s">
        <v>649</v>
      </c>
      <c r="B157" s="185">
        <v>22106106</v>
      </c>
      <c r="C157" s="185" t="s">
        <v>650</v>
      </c>
      <c r="D157" s="228"/>
      <c r="E157" s="185"/>
      <c r="F157" s="185"/>
      <c r="G157" s="229"/>
      <c r="H157" s="185"/>
      <c r="I157" s="185"/>
      <c r="J157" s="185"/>
      <c r="K157" s="185"/>
      <c r="L157" s="185"/>
      <c r="M157" s="185"/>
      <c r="N157" s="185"/>
      <c r="O157" s="185"/>
      <c r="P157" s="185"/>
      <c r="Q157" s="185"/>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c r="BK157" s="185"/>
      <c r="BL157" s="185"/>
      <c r="BM157" s="185"/>
      <c r="BN157" s="185"/>
      <c r="BO157" s="185"/>
      <c r="BP157" s="185"/>
      <c r="BQ157" s="185"/>
      <c r="BR157" s="185"/>
      <c r="BS157" s="185"/>
      <c r="BT157" s="185"/>
      <c r="BU157" s="185"/>
      <c r="BV157" s="185"/>
      <c r="BW157" s="185"/>
      <c r="BX157" s="185"/>
      <c r="BY157" s="185"/>
      <c r="BZ157" s="185"/>
      <c r="CA157" s="185"/>
      <c r="CB157" s="185"/>
      <c r="CC157" s="185"/>
      <c r="CD157" s="185"/>
      <c r="CE157" s="185"/>
      <c r="CF157" s="185"/>
      <c r="CG157" s="185"/>
      <c r="CH157" s="185"/>
      <c r="CI157" s="185"/>
      <c r="CJ157" s="185"/>
      <c r="CK157" s="185"/>
      <c r="CL157" s="185"/>
      <c r="CM157" s="185"/>
      <c r="CN157" s="185"/>
      <c r="CO157" s="185"/>
      <c r="CP157" s="185"/>
      <c r="CQ157" s="185"/>
      <c r="CR157" s="185"/>
      <c r="CS157" s="185"/>
      <c r="CT157" s="185"/>
      <c r="CU157" s="185"/>
      <c r="CV157" s="185"/>
      <c r="CW157" s="185"/>
      <c r="CX157" s="185"/>
      <c r="CY157" s="185"/>
      <c r="CZ157" s="185"/>
      <c r="DA157" s="185"/>
    </row>
    <row r="158" spans="1:106" s="189" customFormat="1">
      <c r="A158" s="185" t="s">
        <v>652</v>
      </c>
      <c r="B158" s="185">
        <v>22106107</v>
      </c>
      <c r="C158" s="185" t="s">
        <v>653</v>
      </c>
      <c r="D158" s="228"/>
      <c r="E158" s="185"/>
      <c r="F158" s="185"/>
      <c r="G158" s="229"/>
      <c r="H158" s="185"/>
      <c r="I158" s="185"/>
      <c r="J158" s="185"/>
      <c r="K158" s="185"/>
      <c r="L158" s="185"/>
      <c r="M158" s="185"/>
      <c r="N158" s="185"/>
      <c r="O158" s="185"/>
      <c r="P158" s="185"/>
      <c r="Q158" s="185"/>
      <c r="R158" s="185"/>
      <c r="S158" s="185"/>
      <c r="T158" s="185"/>
      <c r="U158" s="185"/>
      <c r="V158" s="185"/>
      <c r="W158" s="185"/>
      <c r="X158" s="185"/>
      <c r="Y158" s="185"/>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5"/>
      <c r="BG158" s="185"/>
      <c r="BH158" s="185"/>
      <c r="BI158" s="185"/>
      <c r="BJ158" s="185"/>
      <c r="BK158" s="185"/>
      <c r="BL158" s="185"/>
      <c r="BM158" s="185"/>
      <c r="BN158" s="185"/>
      <c r="BO158" s="185"/>
      <c r="BP158" s="185"/>
      <c r="BQ158" s="185"/>
      <c r="BR158" s="185"/>
      <c r="BS158" s="185"/>
      <c r="BT158" s="185"/>
      <c r="BU158" s="185"/>
      <c r="BV158" s="185"/>
      <c r="BW158" s="185"/>
      <c r="BX158" s="185"/>
      <c r="BY158" s="185"/>
      <c r="BZ158" s="185"/>
      <c r="CA158" s="185"/>
      <c r="CB158" s="185"/>
      <c r="CC158" s="185"/>
      <c r="CD158" s="185"/>
      <c r="CE158" s="185"/>
      <c r="CF158" s="185"/>
      <c r="CG158" s="185"/>
      <c r="CH158" s="185"/>
      <c r="CI158" s="185"/>
      <c r="CJ158" s="185"/>
      <c r="CK158" s="185"/>
      <c r="CL158" s="185"/>
      <c r="CM158" s="185"/>
      <c r="CN158" s="185"/>
      <c r="CO158" s="185"/>
      <c r="CP158" s="185"/>
      <c r="CQ158" s="185"/>
      <c r="CR158" s="185"/>
      <c r="CS158" s="185"/>
      <c r="CT158" s="185"/>
      <c r="CU158" s="185"/>
      <c r="CV158" s="185"/>
      <c r="CW158" s="185"/>
      <c r="CX158" s="185"/>
      <c r="CY158" s="185"/>
      <c r="CZ158" s="185"/>
      <c r="DA158" s="185"/>
    </row>
    <row r="159" spans="1:106" s="110" customFormat="1">
      <c r="A159" s="107" t="s">
        <v>655</v>
      </c>
      <c r="B159" s="107">
        <v>22107905</v>
      </c>
      <c r="C159" s="107" t="s">
        <v>656</v>
      </c>
      <c r="D159" s="108"/>
      <c r="E159" s="107"/>
      <c r="F159" s="107"/>
      <c r="G159" s="109"/>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row>
    <row r="160" spans="1:106" s="189" customFormat="1">
      <c r="A160" s="185" t="s">
        <v>660</v>
      </c>
      <c r="B160" s="185">
        <v>22105736</v>
      </c>
      <c r="C160" s="185" t="s">
        <v>846</v>
      </c>
      <c r="D160" s="185"/>
      <c r="E160" s="185"/>
      <c r="F160" s="185"/>
      <c r="G160" s="229"/>
      <c r="H160" s="185"/>
      <c r="I160" s="185"/>
      <c r="J160" s="185"/>
      <c r="K160" s="185"/>
      <c r="L160" s="185"/>
      <c r="M160" s="185"/>
      <c r="N160" s="185"/>
      <c r="O160" s="185"/>
      <c r="P160" s="185"/>
      <c r="Q160" s="185"/>
      <c r="R160" s="185"/>
      <c r="S160" s="185"/>
      <c r="T160" s="185"/>
      <c r="U160" s="185"/>
      <c r="V160" s="185"/>
      <c r="W160" s="185"/>
      <c r="X160" s="185"/>
      <c r="Y160" s="185"/>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c r="AX160" s="185"/>
      <c r="AY160" s="185"/>
      <c r="AZ160" s="185"/>
      <c r="BA160" s="185"/>
      <c r="BB160" s="185"/>
      <c r="BC160" s="185"/>
      <c r="BD160" s="185"/>
      <c r="BE160" s="185"/>
      <c r="BF160" s="185"/>
      <c r="BG160" s="185"/>
      <c r="BH160" s="185"/>
      <c r="BI160" s="185"/>
      <c r="BJ160" s="185"/>
      <c r="BK160" s="185"/>
      <c r="BL160" s="185"/>
      <c r="BM160" s="185"/>
      <c r="BN160" s="185"/>
      <c r="BO160" s="185"/>
      <c r="BP160" s="185"/>
      <c r="BQ160" s="185"/>
      <c r="BR160" s="185"/>
      <c r="BS160" s="185"/>
      <c r="BT160" s="185"/>
      <c r="BU160" s="185"/>
      <c r="BV160" s="185"/>
      <c r="BW160" s="185"/>
      <c r="BX160" s="185"/>
      <c r="BY160" s="185"/>
      <c r="BZ160" s="185"/>
      <c r="CA160" s="185"/>
      <c r="CB160" s="185"/>
      <c r="CC160" s="185"/>
      <c r="CD160" s="185"/>
      <c r="CE160" s="185"/>
      <c r="CF160" s="185"/>
      <c r="CG160" s="185"/>
      <c r="CH160" s="185"/>
      <c r="CI160" s="185"/>
      <c r="CJ160" s="185"/>
      <c r="CK160" s="185"/>
      <c r="CL160" s="185"/>
      <c r="CM160" s="185"/>
      <c r="CN160" s="185"/>
      <c r="CO160" s="185"/>
      <c r="CP160" s="185"/>
      <c r="CQ160" s="185"/>
      <c r="CR160" s="185"/>
      <c r="CS160" s="185"/>
      <c r="CT160" s="185"/>
      <c r="CU160" s="185"/>
      <c r="CV160" s="185"/>
      <c r="CW160" s="185"/>
      <c r="CX160" s="185"/>
      <c r="CY160" s="185"/>
      <c r="CZ160" s="185"/>
      <c r="DA160" s="185"/>
    </row>
    <row r="161" spans="1:106" s="189" customFormat="1">
      <c r="A161" s="185" t="s">
        <v>664</v>
      </c>
      <c r="B161" s="185">
        <v>22105737</v>
      </c>
      <c r="C161" s="185" t="s">
        <v>665</v>
      </c>
      <c r="D161" s="185"/>
      <c r="E161" s="185"/>
      <c r="F161" s="185"/>
      <c r="G161" s="229"/>
      <c r="H161" s="185"/>
      <c r="I161" s="185"/>
      <c r="J161" s="185"/>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185"/>
      <c r="CJ161" s="185"/>
      <c r="CK161" s="185"/>
      <c r="CL161" s="185"/>
      <c r="CM161" s="185"/>
      <c r="CN161" s="185"/>
      <c r="CO161" s="185"/>
      <c r="CP161" s="185"/>
      <c r="CQ161" s="185"/>
      <c r="CR161" s="185"/>
      <c r="CS161" s="185"/>
      <c r="CT161" s="185"/>
      <c r="CU161" s="185"/>
      <c r="CV161" s="185"/>
      <c r="CW161" s="185"/>
      <c r="CX161" s="185"/>
      <c r="CY161" s="185"/>
      <c r="CZ161" s="185"/>
      <c r="DA161" s="185"/>
    </row>
    <row r="162" spans="1:106" s="193" customFormat="1">
      <c r="A162" s="194" t="s">
        <v>667</v>
      </c>
      <c r="B162" s="194">
        <v>22107737</v>
      </c>
      <c r="C162" s="194" t="s">
        <v>668</v>
      </c>
      <c r="D162" s="194"/>
      <c r="E162" s="194"/>
      <c r="F162" s="194"/>
      <c r="G162" s="232"/>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c r="AF162" s="194"/>
      <c r="AG162" s="194"/>
      <c r="AH162" s="194"/>
      <c r="AI162" s="194"/>
      <c r="AJ162" s="194"/>
      <c r="AK162" s="194"/>
      <c r="AL162" s="194"/>
      <c r="AM162" s="194"/>
      <c r="AN162" s="194"/>
      <c r="AO162" s="194"/>
      <c r="AP162" s="194"/>
      <c r="AQ162" s="194"/>
      <c r="AR162" s="194"/>
      <c r="AS162" s="194"/>
      <c r="AT162" s="194"/>
      <c r="AU162" s="194"/>
      <c r="AV162" s="194"/>
      <c r="AW162" s="194"/>
      <c r="AX162" s="194"/>
      <c r="AY162" s="194"/>
      <c r="AZ162" s="194"/>
      <c r="BA162" s="194"/>
      <c r="BB162" s="194"/>
      <c r="BC162" s="194"/>
      <c r="BD162" s="194"/>
      <c r="BE162" s="194"/>
      <c r="BF162" s="194"/>
      <c r="BG162" s="194"/>
      <c r="BH162" s="194"/>
      <c r="BI162" s="194"/>
      <c r="BJ162" s="194"/>
      <c r="BK162" s="194"/>
      <c r="BL162" s="194"/>
      <c r="BM162" s="194"/>
      <c r="BN162" s="194"/>
      <c r="BO162" s="194"/>
      <c r="BP162" s="194"/>
      <c r="BQ162" s="194"/>
      <c r="BR162" s="194"/>
      <c r="BS162" s="194"/>
      <c r="BT162" s="194"/>
      <c r="BU162" s="194"/>
      <c r="BV162" s="194"/>
      <c r="BW162" s="194"/>
      <c r="BX162" s="194"/>
      <c r="BY162" s="194"/>
      <c r="BZ162" s="194"/>
      <c r="CA162" s="194"/>
      <c r="CB162" s="194"/>
      <c r="CC162" s="194"/>
      <c r="CD162" s="194"/>
      <c r="CE162" s="194"/>
      <c r="CF162" s="194"/>
      <c r="CG162" s="194"/>
      <c r="CH162" s="194"/>
      <c r="CI162" s="194"/>
      <c r="CJ162" s="194"/>
      <c r="CK162" s="194"/>
      <c r="CL162" s="194"/>
      <c r="CM162" s="194"/>
      <c r="CN162" s="194"/>
      <c r="CO162" s="194"/>
      <c r="CP162" s="194"/>
      <c r="CQ162" s="194"/>
      <c r="CR162" s="194"/>
      <c r="CS162" s="194"/>
      <c r="CT162" s="194"/>
      <c r="CU162" s="194"/>
      <c r="CV162" s="194"/>
      <c r="CW162" s="194"/>
      <c r="CX162" s="194"/>
      <c r="CY162" s="194"/>
      <c r="CZ162" s="194"/>
      <c r="DA162" s="194"/>
    </row>
    <row r="163" spans="1:106" s="110" customFormat="1">
      <c r="A163" s="107" t="s">
        <v>670</v>
      </c>
      <c r="B163" s="107">
        <v>22107854</v>
      </c>
      <c r="C163" s="107" t="s">
        <v>671</v>
      </c>
      <c r="D163" s="108"/>
      <c r="E163" s="107"/>
      <c r="F163" s="107"/>
      <c r="G163" s="109"/>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row>
    <row r="164" spans="1:106" s="189" customFormat="1">
      <c r="A164" s="185" t="s">
        <v>673</v>
      </c>
      <c r="B164" s="186">
        <v>22101304</v>
      </c>
      <c r="C164" s="190" t="s">
        <v>1462</v>
      </c>
      <c r="D164" s="188">
        <v>44547</v>
      </c>
      <c r="E164" s="186">
        <v>82.5</v>
      </c>
      <c r="F164" s="186">
        <v>9.8000000000000007</v>
      </c>
      <c r="G164" s="191">
        <v>14.4</v>
      </c>
      <c r="H164" s="186">
        <v>49.3</v>
      </c>
      <c r="I164" s="186">
        <v>29</v>
      </c>
      <c r="J164" s="186">
        <v>0</v>
      </c>
      <c r="K164" s="186">
        <v>1</v>
      </c>
      <c r="L164" s="186">
        <v>1</v>
      </c>
      <c r="M164" s="186">
        <v>0</v>
      </c>
      <c r="N164" s="186">
        <v>7</v>
      </c>
      <c r="O164" s="186">
        <v>9</v>
      </c>
      <c r="P164" s="186">
        <v>1190</v>
      </c>
      <c r="Q164" s="186">
        <v>40</v>
      </c>
      <c r="R164" s="186">
        <v>26</v>
      </c>
      <c r="S164" s="186">
        <v>23</v>
      </c>
      <c r="T164" s="188">
        <v>28778</v>
      </c>
      <c r="U164" s="186">
        <v>40.909999999999997</v>
      </c>
      <c r="V164" s="186">
        <v>0</v>
      </c>
      <c r="W164" s="186">
        <v>1</v>
      </c>
      <c r="X164" s="186">
        <v>0</v>
      </c>
      <c r="Y164" s="186">
        <v>1</v>
      </c>
      <c r="Z164" s="186">
        <v>0</v>
      </c>
      <c r="AA164" s="186">
        <v>1</v>
      </c>
      <c r="AB164" s="186">
        <v>0</v>
      </c>
      <c r="AC164" s="186">
        <v>0</v>
      </c>
      <c r="AD164" s="186">
        <v>0</v>
      </c>
      <c r="AE164" s="186">
        <v>0</v>
      </c>
      <c r="AF164" s="186">
        <v>1</v>
      </c>
      <c r="AG164" s="186">
        <v>1</v>
      </c>
      <c r="AH164" s="186">
        <v>0</v>
      </c>
      <c r="AI164" s="186">
        <v>0</v>
      </c>
      <c r="AJ164" s="186">
        <v>0</v>
      </c>
      <c r="AK164" s="186">
        <v>0</v>
      </c>
      <c r="AL164" s="186">
        <v>0</v>
      </c>
      <c r="AM164" s="186">
        <v>0</v>
      </c>
      <c r="AN164" s="186">
        <v>0</v>
      </c>
      <c r="AO164" s="186">
        <v>0</v>
      </c>
      <c r="AP164" s="186">
        <v>0</v>
      </c>
      <c r="AQ164" s="186">
        <v>0</v>
      </c>
      <c r="AR164" s="186" t="s">
        <v>998</v>
      </c>
      <c r="AS164" s="186">
        <v>0</v>
      </c>
      <c r="AT164" s="186">
        <v>0</v>
      </c>
      <c r="AU164" s="186">
        <v>0</v>
      </c>
      <c r="AV164" s="186">
        <v>0</v>
      </c>
      <c r="AW164" s="186">
        <v>0</v>
      </c>
      <c r="AX164" s="186">
        <v>0</v>
      </c>
      <c r="AY164" s="186">
        <v>0</v>
      </c>
      <c r="AZ164" s="186">
        <v>0</v>
      </c>
      <c r="BA164" s="186">
        <v>0</v>
      </c>
      <c r="BB164" s="186">
        <v>0</v>
      </c>
      <c r="BC164" s="186">
        <v>0</v>
      </c>
      <c r="BD164" s="186">
        <v>0</v>
      </c>
      <c r="BE164" s="186">
        <v>0</v>
      </c>
      <c r="BF164" s="186">
        <v>0</v>
      </c>
      <c r="BG164" s="186">
        <v>0</v>
      </c>
      <c r="BH164" s="186">
        <v>0</v>
      </c>
      <c r="BI164" s="186">
        <v>0</v>
      </c>
      <c r="BJ164" s="186">
        <v>0</v>
      </c>
      <c r="BK164" s="186">
        <v>1</v>
      </c>
      <c r="BL164" s="186">
        <v>1</v>
      </c>
      <c r="BM164" s="186">
        <v>0</v>
      </c>
      <c r="BN164" s="186">
        <v>0</v>
      </c>
      <c r="BO164" s="186">
        <v>0</v>
      </c>
      <c r="BP164" s="186">
        <v>0</v>
      </c>
      <c r="BQ164" s="186">
        <v>1</v>
      </c>
      <c r="BR164" s="186">
        <v>0</v>
      </c>
      <c r="BS164" s="186">
        <v>0</v>
      </c>
      <c r="BT164" s="186">
        <v>0</v>
      </c>
      <c r="BU164" s="186">
        <v>0</v>
      </c>
      <c r="BV164" s="186">
        <v>0</v>
      </c>
      <c r="BW164" s="186">
        <v>0</v>
      </c>
      <c r="BX164" s="186">
        <v>0</v>
      </c>
      <c r="BY164" s="186">
        <v>0</v>
      </c>
      <c r="BZ164" s="186">
        <v>1</v>
      </c>
      <c r="CA164" s="186" t="s">
        <v>1199</v>
      </c>
      <c r="CB164" s="186">
        <v>1</v>
      </c>
      <c r="CC164" s="190" t="s">
        <v>1132</v>
      </c>
      <c r="CD164" s="186">
        <v>1</v>
      </c>
      <c r="CE164" s="190" t="s">
        <v>1463</v>
      </c>
      <c r="CF164" s="190" t="s">
        <v>1464</v>
      </c>
      <c r="CG164" s="186">
        <v>1</v>
      </c>
      <c r="CH164" s="186" t="s">
        <v>1465</v>
      </c>
      <c r="CI164" s="186">
        <v>1</v>
      </c>
      <c r="CJ164" s="186" t="s">
        <v>1466</v>
      </c>
      <c r="CK164" s="190" t="s">
        <v>1467</v>
      </c>
      <c r="CL164" s="186">
        <v>1</v>
      </c>
      <c r="CM164" s="186" t="s">
        <v>1466</v>
      </c>
      <c r="CN164" s="190" t="s">
        <v>982</v>
      </c>
      <c r="CO164" s="190" t="s">
        <v>1468</v>
      </c>
      <c r="CP164" s="186" t="s">
        <v>1466</v>
      </c>
      <c r="CQ164" s="190" t="s">
        <v>1469</v>
      </c>
      <c r="CR164" s="186">
        <v>0</v>
      </c>
      <c r="CS164" s="186" t="s">
        <v>947</v>
      </c>
      <c r="CT164" s="186" t="s">
        <v>947</v>
      </c>
      <c r="CU164" s="186">
        <v>1</v>
      </c>
      <c r="CV164" s="186" t="s">
        <v>1470</v>
      </c>
      <c r="CW164" s="190" t="s">
        <v>1471</v>
      </c>
      <c r="CX164" s="186">
        <v>1</v>
      </c>
      <c r="CY164" s="190" t="s">
        <v>1005</v>
      </c>
      <c r="CZ164" s="186">
        <v>2</v>
      </c>
      <c r="DA164" s="186"/>
      <c r="DB164" s="187"/>
    </row>
    <row r="165" spans="1:106" s="193" customFormat="1">
      <c r="A165" s="194" t="s">
        <v>677</v>
      </c>
      <c r="B165" s="194">
        <v>22109289</v>
      </c>
      <c r="C165" s="194" t="s">
        <v>678</v>
      </c>
      <c r="D165" s="194"/>
      <c r="E165" s="194"/>
      <c r="F165" s="194"/>
      <c r="G165" s="232"/>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c r="AF165" s="194"/>
      <c r="AG165" s="194"/>
      <c r="AH165" s="194"/>
      <c r="AI165" s="194"/>
      <c r="AJ165" s="194"/>
      <c r="AK165" s="194"/>
      <c r="AL165" s="194"/>
      <c r="AM165" s="194"/>
      <c r="AN165" s="194"/>
      <c r="AO165" s="194"/>
      <c r="AP165" s="194"/>
      <c r="AQ165" s="194"/>
      <c r="AR165" s="194"/>
      <c r="AS165" s="194"/>
      <c r="AT165" s="194"/>
      <c r="AU165" s="194"/>
      <c r="AV165" s="194"/>
      <c r="AW165" s="194"/>
      <c r="AX165" s="194"/>
      <c r="AY165" s="194"/>
      <c r="AZ165" s="194"/>
      <c r="BA165" s="194"/>
      <c r="BB165" s="194"/>
      <c r="BC165" s="194"/>
      <c r="BD165" s="194"/>
      <c r="BE165" s="194"/>
      <c r="BF165" s="194"/>
      <c r="BG165" s="194"/>
      <c r="BH165" s="194"/>
      <c r="BI165" s="194"/>
      <c r="BJ165" s="194"/>
      <c r="BK165" s="194"/>
      <c r="BL165" s="194"/>
      <c r="BM165" s="194"/>
      <c r="BN165" s="194"/>
      <c r="BO165" s="194"/>
      <c r="BP165" s="194"/>
      <c r="BQ165" s="194"/>
      <c r="BR165" s="194"/>
      <c r="BS165" s="194"/>
      <c r="BT165" s="194"/>
      <c r="BU165" s="194"/>
      <c r="BV165" s="194"/>
      <c r="BW165" s="194"/>
      <c r="BX165" s="194"/>
      <c r="BY165" s="194"/>
      <c r="BZ165" s="194"/>
      <c r="CA165" s="194"/>
      <c r="CB165" s="194"/>
      <c r="CC165" s="194"/>
      <c r="CD165" s="194"/>
      <c r="CE165" s="194"/>
      <c r="CF165" s="194"/>
      <c r="CG165" s="194"/>
      <c r="CH165" s="194"/>
      <c r="CI165" s="194"/>
      <c r="CJ165" s="194"/>
      <c r="CK165" s="194"/>
      <c r="CL165" s="194"/>
      <c r="CM165" s="194"/>
      <c r="CN165" s="194"/>
      <c r="CO165" s="194"/>
      <c r="CP165" s="194"/>
      <c r="CQ165" s="194"/>
      <c r="CR165" s="194"/>
      <c r="CS165" s="194"/>
      <c r="CT165" s="194"/>
      <c r="CU165" s="194"/>
      <c r="CV165" s="194"/>
      <c r="CW165" s="194"/>
      <c r="CX165" s="194"/>
      <c r="CY165" s="194"/>
      <c r="CZ165" s="194"/>
      <c r="DA165" s="194"/>
    </row>
    <row r="166" spans="1:106" s="193" customFormat="1">
      <c r="A166" s="194" t="s">
        <v>681</v>
      </c>
      <c r="B166" s="194">
        <v>22109290</v>
      </c>
      <c r="C166" s="194" t="s">
        <v>682</v>
      </c>
      <c r="D166" s="194"/>
      <c r="E166" s="194"/>
      <c r="F166" s="194"/>
      <c r="G166" s="232"/>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c r="AF166" s="194"/>
      <c r="AG166" s="194"/>
      <c r="AH166" s="194"/>
      <c r="AI166" s="194"/>
      <c r="AJ166" s="194"/>
      <c r="AK166" s="194"/>
      <c r="AL166" s="194"/>
      <c r="AM166" s="194"/>
      <c r="AN166" s="194"/>
      <c r="AO166" s="194"/>
      <c r="AP166" s="194"/>
      <c r="AQ166" s="194"/>
      <c r="AR166" s="194"/>
      <c r="AS166" s="194"/>
      <c r="AT166" s="194"/>
      <c r="AU166" s="194"/>
      <c r="AV166" s="194"/>
      <c r="AW166" s="194"/>
      <c r="AX166" s="194"/>
      <c r="AY166" s="194"/>
      <c r="AZ166" s="194"/>
      <c r="BA166" s="194"/>
      <c r="BB166" s="194"/>
      <c r="BC166" s="194"/>
      <c r="BD166" s="194"/>
      <c r="BE166" s="194"/>
      <c r="BF166" s="194"/>
      <c r="BG166" s="194"/>
      <c r="BH166" s="194"/>
      <c r="BI166" s="194"/>
      <c r="BJ166" s="194"/>
      <c r="BK166" s="194"/>
      <c r="BL166" s="194"/>
      <c r="BM166" s="194"/>
      <c r="BN166" s="194"/>
      <c r="BO166" s="194"/>
      <c r="BP166" s="194"/>
      <c r="BQ166" s="194"/>
      <c r="BR166" s="194"/>
      <c r="BS166" s="194"/>
      <c r="BT166" s="194"/>
      <c r="BU166" s="194"/>
      <c r="BV166" s="194"/>
      <c r="BW166" s="194"/>
      <c r="BX166" s="194"/>
      <c r="BY166" s="194"/>
      <c r="BZ166" s="194"/>
      <c r="CA166" s="194"/>
      <c r="CB166" s="194"/>
      <c r="CC166" s="194"/>
      <c r="CD166" s="194"/>
      <c r="CE166" s="194"/>
      <c r="CF166" s="194"/>
      <c r="CG166" s="194"/>
      <c r="CH166" s="194"/>
      <c r="CI166" s="194"/>
      <c r="CJ166" s="194"/>
      <c r="CK166" s="194"/>
      <c r="CL166" s="194"/>
      <c r="CM166" s="194"/>
      <c r="CN166" s="194"/>
      <c r="CO166" s="194"/>
      <c r="CP166" s="194"/>
      <c r="CQ166" s="194"/>
      <c r="CR166" s="194"/>
      <c r="CS166" s="194"/>
      <c r="CT166" s="194"/>
      <c r="CU166" s="194"/>
      <c r="CV166" s="194"/>
      <c r="CW166" s="194"/>
      <c r="CX166" s="194"/>
      <c r="CY166" s="194"/>
      <c r="CZ166" s="194"/>
      <c r="DA166" s="194"/>
    </row>
    <row r="167" spans="1:106" s="110" customFormat="1">
      <c r="A167" s="107" t="s">
        <v>683</v>
      </c>
      <c r="B167" s="107">
        <v>22108656</v>
      </c>
      <c r="C167" s="107" t="s">
        <v>684</v>
      </c>
      <c r="D167" s="107"/>
      <c r="E167" s="107"/>
      <c r="F167" s="107"/>
      <c r="G167" s="109"/>
      <c r="H167" s="107"/>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c r="BO167" s="107"/>
      <c r="BP167" s="107"/>
      <c r="BQ167" s="107"/>
      <c r="BR167" s="107"/>
      <c r="BS167" s="107"/>
      <c r="BT167" s="107"/>
      <c r="BU167" s="107"/>
      <c r="BV167" s="107"/>
      <c r="BW167" s="107"/>
      <c r="BX167" s="107"/>
      <c r="BY167" s="107"/>
      <c r="BZ167" s="107"/>
      <c r="CA167" s="107"/>
      <c r="CB167" s="107"/>
      <c r="CC167" s="107"/>
      <c r="CD167" s="107"/>
      <c r="CE167" s="107"/>
      <c r="CF167" s="107"/>
      <c r="CG167" s="107"/>
      <c r="CH167" s="107"/>
      <c r="CI167" s="107"/>
      <c r="CJ167" s="107"/>
      <c r="CK167" s="107"/>
      <c r="CL167" s="107"/>
      <c r="CM167" s="107"/>
      <c r="CN167" s="107"/>
      <c r="CO167" s="107"/>
      <c r="CP167" s="107"/>
      <c r="CQ167" s="107"/>
      <c r="CR167" s="107"/>
      <c r="CS167" s="107"/>
      <c r="CT167" s="107"/>
      <c r="CU167" s="107"/>
      <c r="CV167" s="107"/>
      <c r="CW167" s="107"/>
      <c r="CX167" s="107"/>
      <c r="CY167" s="107"/>
      <c r="CZ167" s="107"/>
      <c r="DA167" s="107"/>
    </row>
    <row r="168" spans="1:106" s="110" customFormat="1">
      <c r="A168" s="107" t="s">
        <v>686</v>
      </c>
      <c r="B168" s="107">
        <v>22105237</v>
      </c>
      <c r="C168" s="107" t="s">
        <v>687</v>
      </c>
      <c r="D168" s="108"/>
      <c r="E168" s="107"/>
      <c r="F168" s="107"/>
      <c r="G168" s="109"/>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07"/>
      <c r="CA168" s="107"/>
      <c r="CB168" s="107"/>
      <c r="CC168" s="107"/>
      <c r="CD168" s="107"/>
      <c r="CE168" s="107"/>
      <c r="CF168" s="107"/>
      <c r="CG168" s="107"/>
      <c r="CH168" s="107"/>
      <c r="CI168" s="107"/>
      <c r="CJ168" s="107"/>
      <c r="CK168" s="107"/>
      <c r="CL168" s="107"/>
      <c r="CM168" s="107"/>
      <c r="CN168" s="107"/>
      <c r="CO168" s="107"/>
      <c r="CP168" s="107"/>
      <c r="CQ168" s="107"/>
      <c r="CR168" s="107"/>
      <c r="CS168" s="107"/>
      <c r="CT168" s="107"/>
      <c r="CU168" s="107"/>
      <c r="CV168" s="107"/>
      <c r="CW168" s="107"/>
      <c r="CX168" s="107"/>
      <c r="CY168" s="107"/>
      <c r="CZ168" s="107"/>
      <c r="DA168" s="107"/>
    </row>
    <row r="169" spans="1:106" s="193" customFormat="1">
      <c r="A169" s="194" t="s">
        <v>690</v>
      </c>
      <c r="B169" s="194">
        <v>22108457</v>
      </c>
      <c r="C169" s="194" t="s">
        <v>691</v>
      </c>
      <c r="D169" s="194"/>
      <c r="E169" s="194"/>
      <c r="F169" s="194"/>
      <c r="G169" s="232"/>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94"/>
      <c r="AH169" s="194"/>
      <c r="AI169" s="194"/>
      <c r="AJ169" s="194"/>
      <c r="AK169" s="194"/>
      <c r="AL169" s="194"/>
      <c r="AM169" s="194"/>
      <c r="AN169" s="194"/>
      <c r="AO169" s="194"/>
      <c r="AP169" s="194"/>
      <c r="AQ169" s="194"/>
      <c r="AR169" s="194"/>
      <c r="AS169" s="194"/>
      <c r="AT169" s="194"/>
      <c r="AU169" s="194"/>
      <c r="AV169" s="194"/>
      <c r="AW169" s="194"/>
      <c r="AX169" s="194"/>
      <c r="AY169" s="194"/>
      <c r="AZ169" s="194"/>
      <c r="BA169" s="194"/>
      <c r="BB169" s="194"/>
      <c r="BC169" s="194"/>
      <c r="BD169" s="194"/>
      <c r="BE169" s="194"/>
      <c r="BF169" s="194"/>
      <c r="BG169" s="194"/>
      <c r="BH169" s="194"/>
      <c r="BI169" s="194"/>
      <c r="BJ169" s="194"/>
      <c r="BK169" s="194"/>
      <c r="BL169" s="194"/>
      <c r="BM169" s="194"/>
      <c r="BN169" s="194"/>
      <c r="BO169" s="194"/>
      <c r="BP169" s="194"/>
      <c r="BQ169" s="194"/>
      <c r="BR169" s="194"/>
      <c r="BS169" s="194"/>
      <c r="BT169" s="194"/>
      <c r="BU169" s="194"/>
      <c r="BV169" s="194"/>
      <c r="BW169" s="194"/>
      <c r="BX169" s="194"/>
      <c r="BY169" s="194"/>
      <c r="BZ169" s="194"/>
      <c r="CA169" s="194"/>
      <c r="CB169" s="194"/>
      <c r="CC169" s="194"/>
      <c r="CD169" s="194"/>
      <c r="CE169" s="194"/>
      <c r="CF169" s="194"/>
      <c r="CG169" s="194"/>
      <c r="CH169" s="194"/>
      <c r="CI169" s="194"/>
      <c r="CJ169" s="194"/>
      <c r="CK169" s="194"/>
      <c r="CL169" s="194"/>
      <c r="CM169" s="194"/>
      <c r="CN169" s="194"/>
      <c r="CO169" s="194"/>
      <c r="CP169" s="194"/>
      <c r="CQ169" s="194"/>
      <c r="CR169" s="194"/>
      <c r="CS169" s="194"/>
      <c r="CT169" s="194"/>
      <c r="CU169" s="194"/>
      <c r="CV169" s="194"/>
      <c r="CW169" s="194"/>
      <c r="CX169" s="194"/>
      <c r="CY169" s="194"/>
      <c r="CZ169" s="194"/>
      <c r="DA169" s="194"/>
    </row>
    <row r="170" spans="1:106" s="110" customFormat="1">
      <c r="A170" s="107" t="s">
        <v>694</v>
      </c>
      <c r="B170" s="107">
        <v>22109237</v>
      </c>
      <c r="C170" s="107" t="s">
        <v>695</v>
      </c>
      <c r="D170" s="107"/>
      <c r="E170" s="107"/>
      <c r="F170" s="107"/>
      <c r="G170" s="109"/>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c r="BM170" s="107"/>
      <c r="BN170" s="107"/>
      <c r="BO170" s="107"/>
      <c r="BP170" s="107"/>
      <c r="BQ170" s="107"/>
      <c r="BR170" s="107"/>
      <c r="BS170" s="107"/>
      <c r="BT170" s="107"/>
      <c r="BU170" s="107"/>
      <c r="BV170" s="107"/>
      <c r="BW170" s="107"/>
      <c r="BX170" s="107"/>
      <c r="BY170" s="107"/>
      <c r="BZ170" s="107"/>
      <c r="CA170" s="107"/>
      <c r="CB170" s="107"/>
      <c r="CC170" s="107"/>
      <c r="CD170" s="107"/>
      <c r="CE170" s="107"/>
      <c r="CF170" s="107"/>
      <c r="CG170" s="107"/>
      <c r="CH170" s="107"/>
      <c r="CI170" s="107"/>
      <c r="CJ170" s="107"/>
      <c r="CK170" s="107"/>
      <c r="CL170" s="107"/>
      <c r="CM170" s="107"/>
      <c r="CN170" s="107"/>
      <c r="CO170" s="107"/>
      <c r="CP170" s="107"/>
      <c r="CQ170" s="107"/>
      <c r="CR170" s="107"/>
      <c r="CS170" s="107"/>
      <c r="CT170" s="107"/>
      <c r="CU170" s="107"/>
      <c r="CV170" s="107"/>
      <c r="CW170" s="107"/>
      <c r="CX170" s="107"/>
      <c r="CY170" s="107"/>
      <c r="CZ170" s="107"/>
      <c r="DA170" s="107"/>
    </row>
    <row r="171" spans="1:106" s="110" customFormat="1">
      <c r="A171" s="107" t="s">
        <v>699</v>
      </c>
      <c r="B171" s="107">
        <v>22108488</v>
      </c>
      <c r="C171" s="107" t="s">
        <v>700</v>
      </c>
      <c r="D171" s="107"/>
      <c r="E171" s="107"/>
      <c r="F171" s="107"/>
      <c r="G171" s="109"/>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row>
    <row r="172" spans="1:106" s="189" customFormat="1">
      <c r="A172" s="185" t="s">
        <v>703</v>
      </c>
      <c r="B172" s="185">
        <v>22107816</v>
      </c>
      <c r="C172" s="185" t="s">
        <v>704</v>
      </c>
      <c r="D172" s="228"/>
      <c r="E172" s="185"/>
      <c r="F172" s="185"/>
      <c r="G172" s="229"/>
      <c r="H172" s="185"/>
      <c r="I172" s="185"/>
      <c r="J172" s="185"/>
      <c r="K172" s="185"/>
      <c r="L172" s="185"/>
      <c r="M172" s="185"/>
      <c r="N172" s="185"/>
      <c r="O172" s="185"/>
      <c r="P172" s="185"/>
      <c r="Q172" s="185"/>
      <c r="R172" s="185"/>
      <c r="S172" s="185"/>
      <c r="T172" s="185"/>
      <c r="U172" s="185"/>
      <c r="V172" s="185"/>
      <c r="W172" s="185"/>
      <c r="X172" s="185"/>
      <c r="Y172" s="185"/>
      <c r="Z172" s="185"/>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85"/>
      <c r="AX172" s="185"/>
      <c r="AY172" s="185"/>
      <c r="AZ172" s="185"/>
      <c r="BA172" s="185"/>
      <c r="BB172" s="185"/>
      <c r="BC172" s="185"/>
      <c r="BD172" s="185"/>
      <c r="BE172" s="185"/>
      <c r="BF172" s="185"/>
      <c r="BG172" s="185"/>
      <c r="BH172" s="185"/>
      <c r="BI172" s="185"/>
      <c r="BJ172" s="185"/>
      <c r="BK172" s="185"/>
      <c r="BL172" s="185"/>
      <c r="BM172" s="185"/>
      <c r="BN172" s="185"/>
      <c r="BO172" s="185"/>
      <c r="BP172" s="185"/>
      <c r="BQ172" s="185"/>
      <c r="BR172" s="185"/>
      <c r="BS172" s="185"/>
      <c r="BT172" s="185"/>
      <c r="BU172" s="185"/>
      <c r="BV172" s="185"/>
      <c r="BW172" s="185"/>
      <c r="BX172" s="185"/>
      <c r="BY172" s="185"/>
      <c r="BZ172" s="185"/>
      <c r="CA172" s="185"/>
      <c r="CB172" s="185"/>
      <c r="CC172" s="185"/>
      <c r="CD172" s="185"/>
      <c r="CE172" s="185"/>
      <c r="CF172" s="185"/>
      <c r="CG172" s="185"/>
      <c r="CH172" s="185"/>
      <c r="CI172" s="185"/>
      <c r="CJ172" s="185"/>
      <c r="CK172" s="185"/>
      <c r="CL172" s="185"/>
      <c r="CM172" s="185"/>
      <c r="CN172" s="185"/>
      <c r="CO172" s="185"/>
      <c r="CP172" s="185"/>
      <c r="CQ172" s="185"/>
      <c r="CR172" s="185"/>
      <c r="CS172" s="185"/>
      <c r="CT172" s="185"/>
      <c r="CU172" s="185"/>
      <c r="CV172" s="185"/>
      <c r="CW172" s="185"/>
      <c r="CX172" s="185"/>
      <c r="CY172" s="185"/>
      <c r="CZ172" s="185"/>
      <c r="DA172" s="185"/>
    </row>
    <row r="173" spans="1:106" s="193" customFormat="1">
      <c r="A173" s="194" t="s">
        <v>707</v>
      </c>
      <c r="B173" s="194">
        <v>22109442</v>
      </c>
      <c r="C173" s="194" t="s">
        <v>708</v>
      </c>
      <c r="D173" s="194"/>
      <c r="E173" s="194"/>
      <c r="F173" s="194"/>
      <c r="G173" s="232"/>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c r="AO173" s="194"/>
      <c r="AP173" s="194"/>
      <c r="AQ173" s="194"/>
      <c r="AR173" s="194"/>
      <c r="AS173" s="194"/>
      <c r="AT173" s="194"/>
      <c r="AU173" s="194"/>
      <c r="AV173" s="194"/>
      <c r="AW173" s="194"/>
      <c r="AX173" s="194"/>
      <c r="AY173" s="194"/>
      <c r="AZ173" s="194"/>
      <c r="BA173" s="194"/>
      <c r="BB173" s="194"/>
      <c r="BC173" s="194"/>
      <c r="BD173" s="194"/>
      <c r="BE173" s="194"/>
      <c r="BF173" s="194"/>
      <c r="BG173" s="194"/>
      <c r="BH173" s="194"/>
      <c r="BI173" s="194"/>
      <c r="BJ173" s="194"/>
      <c r="BK173" s="194"/>
      <c r="BL173" s="194"/>
      <c r="BM173" s="194"/>
      <c r="BN173" s="194"/>
      <c r="BO173" s="194"/>
      <c r="BP173" s="194"/>
      <c r="BQ173" s="194"/>
      <c r="BR173" s="194"/>
      <c r="BS173" s="194"/>
      <c r="BT173" s="194"/>
      <c r="BU173" s="194"/>
      <c r="BV173" s="194"/>
      <c r="BW173" s="194"/>
      <c r="BX173" s="194"/>
      <c r="BY173" s="194"/>
      <c r="BZ173" s="194"/>
      <c r="CA173" s="194"/>
      <c r="CB173" s="194"/>
      <c r="CC173" s="194"/>
      <c r="CD173" s="194"/>
      <c r="CE173" s="194"/>
      <c r="CF173" s="194"/>
      <c r="CG173" s="194"/>
      <c r="CH173" s="194"/>
      <c r="CI173" s="194"/>
      <c r="CJ173" s="194"/>
      <c r="CK173" s="194"/>
      <c r="CL173" s="194"/>
      <c r="CM173" s="194"/>
      <c r="CN173" s="194"/>
      <c r="CO173" s="194"/>
      <c r="CP173" s="194"/>
      <c r="CQ173" s="194"/>
      <c r="CR173" s="194"/>
      <c r="CS173" s="194"/>
      <c r="CT173" s="194"/>
      <c r="CU173" s="194"/>
      <c r="CV173" s="194"/>
      <c r="CW173" s="194"/>
      <c r="CX173" s="194"/>
      <c r="CY173" s="194"/>
      <c r="CZ173" s="194"/>
      <c r="DA173" s="194"/>
    </row>
    <row r="174" spans="1:106" s="189" customFormat="1">
      <c r="A174" s="185" t="s">
        <v>711</v>
      </c>
      <c r="B174" s="185">
        <v>22109297</v>
      </c>
      <c r="C174" s="185" t="s">
        <v>712</v>
      </c>
      <c r="D174" s="185"/>
      <c r="E174" s="185"/>
      <c r="F174" s="185"/>
      <c r="G174" s="229"/>
      <c r="H174" s="185"/>
      <c r="I174" s="185"/>
      <c r="J174" s="185"/>
      <c r="K174" s="185"/>
      <c r="L174" s="185"/>
      <c r="M174" s="185"/>
      <c r="N174" s="185"/>
      <c r="O174" s="185"/>
      <c r="P174" s="185"/>
      <c r="Q174" s="185"/>
      <c r="R174" s="185"/>
      <c r="S174" s="185"/>
      <c r="T174" s="185"/>
      <c r="U174" s="185"/>
      <c r="V174" s="185"/>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c r="BK174" s="185"/>
      <c r="BL174" s="185"/>
      <c r="BM174" s="185"/>
      <c r="BN174" s="185"/>
      <c r="BO174" s="185"/>
      <c r="BP174" s="185"/>
      <c r="BQ174" s="185"/>
      <c r="BR174" s="185"/>
      <c r="BS174" s="185"/>
      <c r="BT174" s="185"/>
      <c r="BU174" s="185"/>
      <c r="BV174" s="185"/>
      <c r="BW174" s="185"/>
      <c r="BX174" s="185"/>
      <c r="BY174" s="185"/>
      <c r="BZ174" s="185"/>
      <c r="CA174" s="185"/>
      <c r="CB174" s="185"/>
      <c r="CC174" s="185"/>
      <c r="CD174" s="185"/>
      <c r="CE174" s="185"/>
      <c r="CF174" s="185"/>
      <c r="CG174" s="185"/>
      <c r="CH174" s="185"/>
      <c r="CI174" s="185"/>
      <c r="CJ174" s="185"/>
      <c r="CK174" s="185"/>
      <c r="CL174" s="185"/>
      <c r="CM174" s="185"/>
      <c r="CN174" s="185"/>
      <c r="CO174" s="185"/>
      <c r="CP174" s="185"/>
      <c r="CQ174" s="185"/>
      <c r="CR174" s="185"/>
      <c r="CS174" s="185"/>
      <c r="CT174" s="185"/>
      <c r="CU174" s="185"/>
      <c r="CV174" s="185"/>
      <c r="CW174" s="185"/>
      <c r="CX174" s="185"/>
      <c r="CY174" s="185"/>
      <c r="CZ174" s="185"/>
      <c r="DA174" s="185"/>
    </row>
    <row r="175" spans="1:106" s="189" customFormat="1">
      <c r="A175" s="185" t="s">
        <v>714</v>
      </c>
      <c r="B175" s="186">
        <v>22103382</v>
      </c>
      <c r="C175" s="190" t="s">
        <v>1510</v>
      </c>
      <c r="D175" s="188">
        <v>44726</v>
      </c>
      <c r="E175" s="186">
        <v>90.6</v>
      </c>
      <c r="F175" s="186">
        <v>12.7</v>
      </c>
      <c r="G175" s="191">
        <v>15.4</v>
      </c>
      <c r="H175" s="186">
        <v>50.6</v>
      </c>
      <c r="I175" s="186">
        <v>38</v>
      </c>
      <c r="J175" s="186">
        <v>2</v>
      </c>
      <c r="K175" s="186">
        <v>0</v>
      </c>
      <c r="L175" s="186">
        <v>1</v>
      </c>
      <c r="M175" s="186">
        <v>0</v>
      </c>
      <c r="N175" s="186">
        <v>9</v>
      </c>
      <c r="O175" s="186">
        <v>10</v>
      </c>
      <c r="P175" s="186">
        <v>3620</v>
      </c>
      <c r="Q175" s="186">
        <v>51.5</v>
      </c>
      <c r="R175" s="186">
        <v>35</v>
      </c>
      <c r="S175" s="186">
        <v>34.5</v>
      </c>
      <c r="T175" s="188">
        <v>31285</v>
      </c>
      <c r="U175" s="186">
        <v>34.530555560000003</v>
      </c>
      <c r="V175" s="186">
        <v>2</v>
      </c>
      <c r="W175" s="186">
        <v>0</v>
      </c>
      <c r="X175" s="186">
        <v>0</v>
      </c>
      <c r="Y175" s="186">
        <v>2</v>
      </c>
      <c r="Z175" s="186">
        <v>0</v>
      </c>
      <c r="AA175" s="186">
        <v>0</v>
      </c>
      <c r="AB175" s="186">
        <v>1</v>
      </c>
      <c r="AC175" s="186">
        <v>0</v>
      </c>
      <c r="AD175" s="186">
        <v>0</v>
      </c>
      <c r="AE175" s="186">
        <v>0</v>
      </c>
      <c r="AF175" s="186">
        <v>0</v>
      </c>
      <c r="AG175" s="186">
        <v>0</v>
      </c>
      <c r="AH175" s="186">
        <v>0</v>
      </c>
      <c r="AI175" s="186">
        <v>0</v>
      </c>
      <c r="AJ175" s="186">
        <v>0</v>
      </c>
      <c r="AK175" s="186">
        <v>0</v>
      </c>
      <c r="AL175" s="186">
        <v>0</v>
      </c>
      <c r="AM175" s="186">
        <v>0</v>
      </c>
      <c r="AN175" s="186">
        <v>0</v>
      </c>
      <c r="AO175" s="186">
        <v>0</v>
      </c>
      <c r="AP175" s="186">
        <v>0</v>
      </c>
      <c r="AQ175" s="186">
        <v>0</v>
      </c>
      <c r="AR175" s="186">
        <v>2</v>
      </c>
      <c r="AS175" s="186">
        <v>0</v>
      </c>
      <c r="AT175" s="186">
        <v>0</v>
      </c>
      <c r="AU175" s="186">
        <v>0</v>
      </c>
      <c r="AV175" s="186">
        <v>0</v>
      </c>
      <c r="AW175" s="186">
        <v>0</v>
      </c>
      <c r="AX175" s="186">
        <v>0</v>
      </c>
      <c r="AY175" s="186">
        <v>0</v>
      </c>
      <c r="AZ175" s="186">
        <v>0</v>
      </c>
      <c r="BA175" s="186">
        <v>0</v>
      </c>
      <c r="BB175" s="186">
        <v>0</v>
      </c>
      <c r="BC175" s="186">
        <v>0</v>
      </c>
      <c r="BD175" s="186">
        <v>0</v>
      </c>
      <c r="BE175" s="186">
        <v>0</v>
      </c>
      <c r="BF175" s="186">
        <v>0</v>
      </c>
      <c r="BG175" s="186">
        <v>0</v>
      </c>
      <c r="BH175" s="186">
        <v>0</v>
      </c>
      <c r="BI175" s="186">
        <v>0</v>
      </c>
      <c r="BJ175" s="186">
        <v>0</v>
      </c>
      <c r="BK175" s="186">
        <v>0</v>
      </c>
      <c r="BL175" s="186">
        <v>0</v>
      </c>
      <c r="BM175" s="186">
        <v>0</v>
      </c>
      <c r="BN175" s="186">
        <v>0</v>
      </c>
      <c r="BO175" s="186">
        <v>0</v>
      </c>
      <c r="BP175" s="186">
        <v>0</v>
      </c>
      <c r="BQ175" s="186">
        <v>0</v>
      </c>
      <c r="BR175" s="186">
        <v>0</v>
      </c>
      <c r="BS175" s="186">
        <v>0</v>
      </c>
      <c r="BT175" s="186">
        <v>0</v>
      </c>
      <c r="BU175" s="186">
        <v>0</v>
      </c>
      <c r="BV175" s="186">
        <v>0</v>
      </c>
      <c r="BW175" s="186">
        <v>0</v>
      </c>
      <c r="BX175" s="186">
        <v>0</v>
      </c>
      <c r="BY175" s="186">
        <v>0</v>
      </c>
      <c r="BZ175" s="186">
        <v>1</v>
      </c>
      <c r="CA175" s="186" t="s">
        <v>1015</v>
      </c>
      <c r="CB175" s="186">
        <v>0</v>
      </c>
      <c r="CC175" s="186" t="s">
        <v>947</v>
      </c>
      <c r="CD175" s="186">
        <v>1</v>
      </c>
      <c r="CE175" s="186" t="s">
        <v>1015</v>
      </c>
      <c r="CF175" s="190" t="s">
        <v>1511</v>
      </c>
      <c r="CG175" s="186">
        <v>0</v>
      </c>
      <c r="CH175" s="186" t="s">
        <v>947</v>
      </c>
      <c r="CI175" s="186">
        <v>0</v>
      </c>
      <c r="CJ175" s="186" t="s">
        <v>947</v>
      </c>
      <c r="CK175" s="186" t="s">
        <v>947</v>
      </c>
      <c r="CL175" s="186">
        <v>0</v>
      </c>
      <c r="CM175" s="186" t="s">
        <v>947</v>
      </c>
      <c r="CN175" s="186" t="s">
        <v>947</v>
      </c>
      <c r="CO175" s="186">
        <v>0</v>
      </c>
      <c r="CP175" s="186" t="s">
        <v>947</v>
      </c>
      <c r="CQ175" s="186" t="s">
        <v>947</v>
      </c>
      <c r="CR175" s="186">
        <v>0</v>
      </c>
      <c r="CS175" s="186" t="s">
        <v>947</v>
      </c>
      <c r="CT175" s="186" t="s">
        <v>947</v>
      </c>
      <c r="CU175" s="186">
        <v>0</v>
      </c>
      <c r="CV175" s="186" t="s">
        <v>947</v>
      </c>
      <c r="CW175" s="186" t="s">
        <v>947</v>
      </c>
      <c r="CX175" s="186">
        <v>1</v>
      </c>
      <c r="CY175" s="186" t="s">
        <v>1016</v>
      </c>
      <c r="CZ175" s="186">
        <v>2</v>
      </c>
      <c r="DA175" s="186"/>
      <c r="DB175" s="187"/>
    </row>
    <row r="176" spans="1:106" s="189" customFormat="1">
      <c r="A176" s="185" t="s">
        <v>718</v>
      </c>
      <c r="B176" s="186">
        <v>22103953</v>
      </c>
      <c r="C176" s="190" t="s">
        <v>1512</v>
      </c>
      <c r="D176" s="188">
        <v>44791</v>
      </c>
      <c r="E176" s="186">
        <v>86</v>
      </c>
      <c r="F176" s="186">
        <v>12.1</v>
      </c>
      <c r="G176" s="191">
        <v>16.36</v>
      </c>
      <c r="H176" s="186">
        <v>47.1</v>
      </c>
      <c r="I176" s="186">
        <v>40</v>
      </c>
      <c r="J176" s="186">
        <v>1</v>
      </c>
      <c r="K176" s="186">
        <v>0</v>
      </c>
      <c r="L176" s="186">
        <v>1</v>
      </c>
      <c r="M176" s="186">
        <v>0</v>
      </c>
      <c r="N176" s="186">
        <v>9</v>
      </c>
      <c r="O176" s="186">
        <v>10</v>
      </c>
      <c r="P176" s="186">
        <v>3340</v>
      </c>
      <c r="Q176" s="186">
        <v>50</v>
      </c>
      <c r="R176" s="186">
        <v>34</v>
      </c>
      <c r="S176" s="186">
        <v>35</v>
      </c>
      <c r="T176" s="188">
        <v>33740</v>
      </c>
      <c r="U176" s="186">
        <v>27.983333330000001</v>
      </c>
      <c r="V176" s="186">
        <v>2</v>
      </c>
      <c r="W176" s="186">
        <v>0</v>
      </c>
      <c r="X176" s="186">
        <v>0</v>
      </c>
      <c r="Y176" s="186">
        <v>2</v>
      </c>
      <c r="Z176" s="186">
        <v>0</v>
      </c>
      <c r="AA176" s="186">
        <v>0</v>
      </c>
      <c r="AB176" s="186">
        <v>0</v>
      </c>
      <c r="AC176" s="186">
        <v>0</v>
      </c>
      <c r="AD176" s="186">
        <v>0</v>
      </c>
      <c r="AE176" s="186">
        <v>0</v>
      </c>
      <c r="AF176" s="186">
        <v>0</v>
      </c>
      <c r="AG176" s="186">
        <v>0</v>
      </c>
      <c r="AH176" s="186">
        <v>0</v>
      </c>
      <c r="AI176" s="186">
        <v>0</v>
      </c>
      <c r="AJ176" s="186">
        <v>0</v>
      </c>
      <c r="AK176" s="186">
        <v>0</v>
      </c>
      <c r="AL176" s="186">
        <v>0</v>
      </c>
      <c r="AM176" s="186">
        <v>0</v>
      </c>
      <c r="AN176" s="186">
        <v>0</v>
      </c>
      <c r="AO176" s="186">
        <v>0</v>
      </c>
      <c r="AP176" s="186">
        <v>0</v>
      </c>
      <c r="AQ176" s="186">
        <v>0</v>
      </c>
      <c r="AR176" s="186" t="s">
        <v>954</v>
      </c>
      <c r="AS176" s="186">
        <v>0</v>
      </c>
      <c r="AT176" s="186">
        <v>0</v>
      </c>
      <c r="AU176" s="186">
        <v>0</v>
      </c>
      <c r="AV176" s="186">
        <v>0</v>
      </c>
      <c r="AW176" s="186">
        <v>0</v>
      </c>
      <c r="AX176" s="186">
        <v>0</v>
      </c>
      <c r="AY176" s="186">
        <v>0</v>
      </c>
      <c r="AZ176" s="186">
        <v>0</v>
      </c>
      <c r="BA176" s="186">
        <v>0</v>
      </c>
      <c r="BB176" s="186">
        <v>0</v>
      </c>
      <c r="BC176" s="186">
        <v>0</v>
      </c>
      <c r="BD176" s="186">
        <v>0</v>
      </c>
      <c r="BE176" s="186">
        <v>0</v>
      </c>
      <c r="BF176" s="186">
        <v>0</v>
      </c>
      <c r="BG176" s="186">
        <v>0</v>
      </c>
      <c r="BH176" s="186">
        <v>0</v>
      </c>
      <c r="BI176" s="186">
        <v>0</v>
      </c>
      <c r="BJ176" s="186">
        <v>0</v>
      </c>
      <c r="BK176" s="186">
        <v>0</v>
      </c>
      <c r="BL176" s="186">
        <v>0</v>
      </c>
      <c r="BM176" s="186">
        <v>0</v>
      </c>
      <c r="BN176" s="186">
        <v>0</v>
      </c>
      <c r="BO176" s="186">
        <v>0</v>
      </c>
      <c r="BP176" s="186">
        <v>0</v>
      </c>
      <c r="BQ176" s="186">
        <v>0</v>
      </c>
      <c r="BR176" s="186">
        <v>0</v>
      </c>
      <c r="BS176" s="186">
        <v>0</v>
      </c>
      <c r="BT176" s="186">
        <v>0</v>
      </c>
      <c r="BU176" s="186">
        <v>0</v>
      </c>
      <c r="BV176" s="186">
        <v>0</v>
      </c>
      <c r="BW176" s="186">
        <v>0</v>
      </c>
      <c r="BX176" s="186">
        <v>0</v>
      </c>
      <c r="BY176" s="186">
        <v>0</v>
      </c>
      <c r="BZ176" s="186">
        <v>1</v>
      </c>
      <c r="CA176" s="186" t="s">
        <v>1055</v>
      </c>
      <c r="CB176" s="186">
        <v>0</v>
      </c>
      <c r="CC176" s="186" t="s">
        <v>947</v>
      </c>
      <c r="CD176" s="186">
        <v>1</v>
      </c>
      <c r="CE176" s="186" t="s">
        <v>1053</v>
      </c>
      <c r="CF176" s="186" t="s">
        <v>1513</v>
      </c>
      <c r="CG176" s="186">
        <v>0</v>
      </c>
      <c r="CH176" s="186" t="s">
        <v>947</v>
      </c>
      <c r="CI176" s="186">
        <v>0</v>
      </c>
      <c r="CJ176" s="186" t="s">
        <v>947</v>
      </c>
      <c r="CK176" s="186" t="s">
        <v>947</v>
      </c>
      <c r="CL176" s="186">
        <v>0</v>
      </c>
      <c r="CM176" s="186" t="s">
        <v>947</v>
      </c>
      <c r="CN176" s="186" t="s">
        <v>947</v>
      </c>
      <c r="CO176" s="186">
        <v>0</v>
      </c>
      <c r="CP176" s="186" t="s">
        <v>947</v>
      </c>
      <c r="CQ176" s="186" t="s">
        <v>947</v>
      </c>
      <c r="CR176" s="186">
        <v>0</v>
      </c>
      <c r="CS176" s="186" t="s">
        <v>947</v>
      </c>
      <c r="CT176" s="186" t="s">
        <v>947</v>
      </c>
      <c r="CU176" s="186">
        <v>0</v>
      </c>
      <c r="CV176" s="186" t="s">
        <v>947</v>
      </c>
      <c r="CW176" s="186" t="s">
        <v>947</v>
      </c>
      <c r="CX176" s="186">
        <v>1</v>
      </c>
      <c r="CY176" s="186" t="s">
        <v>965</v>
      </c>
      <c r="CZ176" s="186">
        <v>2</v>
      </c>
      <c r="DA176" s="186"/>
      <c r="DB176" s="187"/>
    </row>
    <row r="177" spans="1:105" s="189" customFormat="1">
      <c r="A177" s="185" t="s">
        <v>722</v>
      </c>
      <c r="B177" s="185">
        <v>22109329</v>
      </c>
      <c r="C177" s="185" t="s">
        <v>723</v>
      </c>
      <c r="D177" s="185"/>
      <c r="E177" s="185"/>
      <c r="F177" s="185"/>
      <c r="G177" s="229"/>
      <c r="H177" s="185"/>
      <c r="I177" s="185"/>
      <c r="J177" s="185"/>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85"/>
      <c r="AX177" s="185"/>
      <c r="AY177" s="185"/>
      <c r="AZ177" s="185"/>
      <c r="BA177" s="185"/>
      <c r="BB177" s="185"/>
      <c r="BC177" s="185"/>
      <c r="BD177" s="185"/>
      <c r="BE177" s="185"/>
      <c r="BF177" s="185"/>
      <c r="BG177" s="185"/>
      <c r="BH177" s="185"/>
      <c r="BI177" s="185"/>
      <c r="BJ177" s="185"/>
      <c r="BK177" s="185"/>
      <c r="BL177" s="185"/>
      <c r="BM177" s="185"/>
      <c r="BN177" s="185"/>
      <c r="BO177" s="185"/>
      <c r="BP177" s="185"/>
      <c r="BQ177" s="185"/>
      <c r="BR177" s="185"/>
      <c r="BS177" s="185"/>
      <c r="BT177" s="185"/>
      <c r="BU177" s="185"/>
      <c r="BV177" s="185"/>
      <c r="BW177" s="185"/>
      <c r="BX177" s="185"/>
      <c r="BY177" s="185"/>
      <c r="BZ177" s="185"/>
      <c r="CA177" s="185"/>
      <c r="CB177" s="185"/>
      <c r="CC177" s="185"/>
      <c r="CD177" s="185"/>
      <c r="CE177" s="185"/>
      <c r="CF177" s="185"/>
      <c r="CG177" s="185"/>
      <c r="CH177" s="185"/>
      <c r="CI177" s="185"/>
      <c r="CJ177" s="185"/>
      <c r="CK177" s="185"/>
      <c r="CL177" s="185"/>
      <c r="CM177" s="185"/>
      <c r="CN177" s="185"/>
      <c r="CO177" s="185"/>
      <c r="CP177" s="185"/>
      <c r="CQ177" s="185"/>
      <c r="CR177" s="185"/>
      <c r="CS177" s="185"/>
      <c r="CT177" s="185"/>
      <c r="CU177" s="185"/>
      <c r="CV177" s="185"/>
      <c r="CW177" s="185"/>
      <c r="CX177" s="185"/>
      <c r="CY177" s="185"/>
      <c r="CZ177" s="185"/>
      <c r="DA177" s="185"/>
    </row>
    <row r="178" spans="1:105" s="189" customFormat="1">
      <c r="A178" s="185" t="s">
        <v>726</v>
      </c>
      <c r="B178" s="185">
        <v>22108528</v>
      </c>
      <c r="C178" s="185" t="s">
        <v>727</v>
      </c>
      <c r="D178" s="185"/>
      <c r="E178" s="185"/>
      <c r="F178" s="185"/>
      <c r="G178" s="229"/>
      <c r="H178" s="185"/>
      <c r="I178" s="185"/>
      <c r="J178" s="185"/>
      <c r="K178" s="185"/>
      <c r="L178" s="185"/>
      <c r="M178" s="185"/>
      <c r="N178" s="185"/>
      <c r="O178" s="185"/>
      <c r="P178" s="185"/>
      <c r="Q178" s="185"/>
      <c r="R178" s="185"/>
      <c r="S178" s="185"/>
      <c r="T178" s="185"/>
      <c r="U178" s="185"/>
      <c r="V178" s="185"/>
      <c r="W178" s="185"/>
      <c r="X178" s="185"/>
      <c r="Y178" s="185"/>
      <c r="Z178" s="185"/>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85"/>
      <c r="AX178" s="185"/>
      <c r="AY178" s="185"/>
      <c r="AZ178" s="185"/>
      <c r="BA178" s="185"/>
      <c r="BB178" s="185"/>
      <c r="BC178" s="185"/>
      <c r="BD178" s="185"/>
      <c r="BE178" s="185"/>
      <c r="BF178" s="185"/>
      <c r="BG178" s="185"/>
      <c r="BH178" s="185"/>
      <c r="BI178" s="185"/>
      <c r="BJ178" s="185"/>
      <c r="BK178" s="185"/>
      <c r="BL178" s="185"/>
      <c r="BM178" s="185"/>
      <c r="BN178" s="185"/>
      <c r="BO178" s="185"/>
      <c r="BP178" s="185"/>
      <c r="BQ178" s="185"/>
      <c r="BR178" s="185"/>
      <c r="BS178" s="185"/>
      <c r="BT178" s="185"/>
      <c r="BU178" s="185"/>
      <c r="BV178" s="185"/>
      <c r="BW178" s="185"/>
      <c r="BX178" s="185"/>
      <c r="BY178" s="185"/>
      <c r="BZ178" s="185"/>
      <c r="CA178" s="185"/>
      <c r="CB178" s="185"/>
      <c r="CC178" s="185"/>
      <c r="CD178" s="185"/>
      <c r="CE178" s="185"/>
      <c r="CF178" s="185"/>
      <c r="CG178" s="185"/>
      <c r="CH178" s="185"/>
      <c r="CI178" s="185"/>
      <c r="CJ178" s="185"/>
      <c r="CK178" s="185"/>
      <c r="CL178" s="185"/>
      <c r="CM178" s="185"/>
      <c r="CN178" s="185"/>
      <c r="CO178" s="185"/>
      <c r="CP178" s="185"/>
      <c r="CQ178" s="185"/>
      <c r="CR178" s="185"/>
      <c r="CS178" s="185"/>
      <c r="CT178" s="185"/>
      <c r="CU178" s="185"/>
      <c r="CV178" s="185"/>
      <c r="CW178" s="185"/>
      <c r="CX178" s="185"/>
      <c r="CY178" s="185"/>
      <c r="CZ178" s="185"/>
      <c r="DA178" s="185"/>
    </row>
    <row r="179" spans="1:105" s="193" customFormat="1">
      <c r="A179" s="194" t="s">
        <v>729</v>
      </c>
      <c r="B179" s="194">
        <v>22108317</v>
      </c>
      <c r="C179" s="194" t="s">
        <v>730</v>
      </c>
      <c r="D179" s="194"/>
      <c r="E179" s="194"/>
      <c r="F179" s="194"/>
      <c r="G179" s="232"/>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c r="AF179" s="194"/>
      <c r="AG179" s="194"/>
      <c r="AH179" s="194"/>
      <c r="AI179" s="194"/>
      <c r="AJ179" s="194"/>
      <c r="AK179" s="194"/>
      <c r="AL179" s="194"/>
      <c r="AM179" s="194"/>
      <c r="AN179" s="194"/>
      <c r="AO179" s="194"/>
      <c r="AP179" s="194"/>
      <c r="AQ179" s="194"/>
      <c r="AR179" s="194"/>
      <c r="AS179" s="194"/>
      <c r="AT179" s="194"/>
      <c r="AU179" s="194"/>
      <c r="AV179" s="194"/>
      <c r="AW179" s="194"/>
      <c r="AX179" s="194"/>
      <c r="AY179" s="194"/>
      <c r="AZ179" s="194"/>
      <c r="BA179" s="194"/>
      <c r="BB179" s="194"/>
      <c r="BC179" s="194"/>
      <c r="BD179" s="194"/>
      <c r="BE179" s="194"/>
      <c r="BF179" s="194"/>
      <c r="BG179" s="194"/>
      <c r="BH179" s="194"/>
      <c r="BI179" s="194"/>
      <c r="BJ179" s="194"/>
      <c r="BK179" s="194"/>
      <c r="BL179" s="194"/>
      <c r="BM179" s="194"/>
      <c r="BN179" s="194"/>
      <c r="BO179" s="194"/>
      <c r="BP179" s="194"/>
      <c r="BQ179" s="194"/>
      <c r="BR179" s="194"/>
      <c r="BS179" s="194"/>
      <c r="BT179" s="194"/>
      <c r="BU179" s="194"/>
      <c r="BV179" s="194"/>
      <c r="BW179" s="194"/>
      <c r="BX179" s="194"/>
      <c r="BY179" s="194"/>
      <c r="BZ179" s="194"/>
      <c r="CA179" s="194"/>
      <c r="CB179" s="194"/>
      <c r="CC179" s="194"/>
      <c r="CD179" s="194"/>
      <c r="CE179" s="194"/>
      <c r="CF179" s="194"/>
      <c r="CG179" s="194"/>
      <c r="CH179" s="194"/>
      <c r="CI179" s="194"/>
      <c r="CJ179" s="194"/>
      <c r="CK179" s="194"/>
      <c r="CL179" s="194"/>
      <c r="CM179" s="194"/>
      <c r="CN179" s="194"/>
      <c r="CO179" s="194"/>
      <c r="CP179" s="194"/>
      <c r="CQ179" s="194"/>
      <c r="CR179" s="194"/>
      <c r="CS179" s="194"/>
      <c r="CT179" s="194"/>
      <c r="CU179" s="194"/>
      <c r="CV179" s="194"/>
      <c r="CW179" s="194"/>
      <c r="CX179" s="194"/>
      <c r="CY179" s="194"/>
      <c r="CZ179" s="194"/>
      <c r="DA179" s="194"/>
    </row>
    <row r="180" spans="1:105" s="193" customFormat="1">
      <c r="A180" s="194" t="s">
        <v>734</v>
      </c>
      <c r="B180" s="194">
        <v>22104263</v>
      </c>
      <c r="C180" s="222" t="s">
        <v>735</v>
      </c>
      <c r="D180" s="197"/>
      <c r="E180" s="194"/>
      <c r="F180" s="194"/>
      <c r="G180" s="232"/>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194"/>
      <c r="AH180" s="194"/>
      <c r="AI180" s="194"/>
      <c r="AJ180" s="194"/>
      <c r="AK180" s="194"/>
      <c r="AL180" s="194"/>
      <c r="AM180" s="194"/>
      <c r="AN180" s="194"/>
      <c r="AO180" s="194"/>
      <c r="AP180" s="194"/>
      <c r="AQ180" s="194"/>
      <c r="AR180" s="194"/>
      <c r="AS180" s="194"/>
      <c r="AT180" s="194"/>
      <c r="AU180" s="194"/>
      <c r="AV180" s="194"/>
      <c r="AW180" s="194"/>
      <c r="AX180" s="194"/>
      <c r="AY180" s="194"/>
      <c r="AZ180" s="194"/>
      <c r="BA180" s="194"/>
      <c r="BB180" s="194"/>
      <c r="BC180" s="194"/>
      <c r="BD180" s="194"/>
      <c r="BE180" s="194"/>
      <c r="BF180" s="194"/>
      <c r="BG180" s="194"/>
      <c r="BH180" s="194"/>
      <c r="BI180" s="194"/>
      <c r="BJ180" s="194"/>
      <c r="BK180" s="194"/>
      <c r="BL180" s="194"/>
      <c r="BM180" s="194"/>
      <c r="BN180" s="194"/>
      <c r="BO180" s="194"/>
      <c r="BP180" s="194"/>
      <c r="BQ180" s="194"/>
      <c r="BR180" s="194"/>
      <c r="BS180" s="194"/>
      <c r="BT180" s="194"/>
      <c r="BU180" s="194"/>
      <c r="BV180" s="194"/>
      <c r="BW180" s="194"/>
      <c r="BX180" s="194"/>
      <c r="BY180" s="194"/>
      <c r="BZ180" s="194"/>
      <c r="CA180" s="194"/>
      <c r="CB180" s="194"/>
      <c r="CC180" s="194"/>
      <c r="CD180" s="194"/>
      <c r="CE180" s="194"/>
      <c r="CF180" s="194"/>
      <c r="CG180" s="194"/>
      <c r="CH180" s="194"/>
      <c r="CI180" s="194"/>
      <c r="CJ180" s="194"/>
      <c r="CK180" s="194"/>
      <c r="CL180" s="194"/>
      <c r="CM180" s="194"/>
      <c r="CN180" s="194"/>
      <c r="CO180" s="194"/>
      <c r="CP180" s="194"/>
      <c r="CQ180" s="194"/>
      <c r="CR180" s="194"/>
      <c r="CS180" s="194"/>
      <c r="CT180" s="194"/>
      <c r="CU180" s="194"/>
      <c r="CV180" s="194"/>
      <c r="CW180" s="194"/>
      <c r="CX180" s="194"/>
      <c r="CY180" s="194"/>
      <c r="CZ180" s="194"/>
      <c r="DA180" s="194"/>
    </row>
    <row r="181" spans="1:105" s="189" customFormat="1">
      <c r="A181" s="185" t="s">
        <v>737</v>
      </c>
      <c r="B181" s="185">
        <v>22109759</v>
      </c>
      <c r="C181" s="230" t="s">
        <v>738</v>
      </c>
      <c r="D181" s="185"/>
      <c r="E181" s="185"/>
      <c r="F181" s="185"/>
      <c r="G181" s="229"/>
      <c r="H181" s="185"/>
      <c r="I181" s="185"/>
      <c r="J181" s="185"/>
      <c r="K181" s="185"/>
      <c r="L181" s="185"/>
      <c r="M181" s="185"/>
      <c r="N181" s="185"/>
      <c r="O181" s="185"/>
      <c r="P181" s="185"/>
      <c r="Q181" s="185"/>
      <c r="R181" s="185"/>
      <c r="S181" s="185"/>
      <c r="T181" s="185"/>
      <c r="U181" s="185"/>
      <c r="V181" s="185"/>
      <c r="W181" s="185"/>
      <c r="X181" s="185"/>
      <c r="Y181" s="185"/>
      <c r="Z181" s="185"/>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85"/>
      <c r="AX181" s="185"/>
      <c r="AY181" s="185"/>
      <c r="AZ181" s="185"/>
      <c r="BA181" s="185"/>
      <c r="BB181" s="185"/>
      <c r="BC181" s="185"/>
      <c r="BD181" s="185"/>
      <c r="BE181" s="185"/>
      <c r="BF181" s="185"/>
      <c r="BG181" s="185"/>
      <c r="BH181" s="185"/>
      <c r="BI181" s="185"/>
      <c r="BJ181" s="185"/>
      <c r="BK181" s="185"/>
      <c r="BL181" s="185"/>
      <c r="BM181" s="185"/>
      <c r="BN181" s="185"/>
      <c r="BO181" s="185"/>
      <c r="BP181" s="185"/>
      <c r="BQ181" s="185"/>
      <c r="BR181" s="185"/>
      <c r="BS181" s="185"/>
      <c r="BT181" s="185"/>
      <c r="BU181" s="185"/>
      <c r="BV181" s="185"/>
      <c r="BW181" s="185"/>
      <c r="BX181" s="185"/>
      <c r="BY181" s="185"/>
      <c r="BZ181" s="185"/>
      <c r="CA181" s="185"/>
      <c r="CB181" s="185"/>
      <c r="CC181" s="185"/>
      <c r="CD181" s="185"/>
      <c r="CE181" s="185"/>
      <c r="CF181" s="185"/>
      <c r="CG181" s="185"/>
      <c r="CH181" s="185"/>
      <c r="CI181" s="185"/>
      <c r="CJ181" s="185"/>
      <c r="CK181" s="185"/>
      <c r="CL181" s="185"/>
      <c r="CM181" s="185"/>
      <c r="CN181" s="185"/>
      <c r="CO181" s="185"/>
      <c r="CP181" s="185"/>
      <c r="CQ181" s="185"/>
      <c r="CR181" s="185"/>
      <c r="CS181" s="185"/>
      <c r="CT181" s="185"/>
      <c r="CU181" s="185"/>
      <c r="CV181" s="185"/>
      <c r="CW181" s="185"/>
      <c r="CX181" s="185"/>
      <c r="CY181" s="185"/>
      <c r="CZ181" s="185"/>
      <c r="DA181" s="185"/>
    </row>
    <row r="182" spans="1:105" s="193" customFormat="1">
      <c r="A182" s="194" t="s">
        <v>742</v>
      </c>
      <c r="B182" s="194">
        <v>16903095</v>
      </c>
      <c r="C182" s="222" t="s">
        <v>743</v>
      </c>
      <c r="D182" s="194"/>
      <c r="E182" s="194"/>
      <c r="F182" s="194"/>
      <c r="G182" s="232"/>
      <c r="H182" s="194"/>
      <c r="I182" s="194"/>
      <c r="J182" s="194"/>
      <c r="K182" s="194"/>
      <c r="L182" s="194"/>
      <c r="M182" s="194"/>
      <c r="N182" s="194"/>
      <c r="O182" s="194"/>
      <c r="P182" s="194"/>
      <c r="Q182" s="194"/>
      <c r="R182" s="194"/>
      <c r="S182" s="194"/>
      <c r="T182" s="194"/>
      <c r="U182" s="194"/>
      <c r="V182" s="194"/>
      <c r="W182" s="194"/>
      <c r="X182" s="194"/>
      <c r="Y182" s="194"/>
      <c r="Z182" s="194"/>
      <c r="AA182" s="194"/>
      <c r="AB182" s="194"/>
      <c r="AC182" s="194"/>
      <c r="AD182" s="194"/>
      <c r="AE182" s="194"/>
      <c r="AF182" s="194"/>
      <c r="AG182" s="194"/>
      <c r="AH182" s="194"/>
      <c r="AI182" s="194"/>
      <c r="AJ182" s="194"/>
      <c r="AK182" s="194"/>
      <c r="AL182" s="194"/>
      <c r="AM182" s="194"/>
      <c r="AN182" s="194"/>
      <c r="AO182" s="194"/>
      <c r="AP182" s="194"/>
      <c r="AQ182" s="194"/>
      <c r="AR182" s="194"/>
      <c r="AS182" s="194"/>
      <c r="AT182" s="194"/>
      <c r="AU182" s="194"/>
      <c r="AV182" s="194"/>
      <c r="AW182" s="194"/>
      <c r="AX182" s="194"/>
      <c r="AY182" s="194"/>
      <c r="AZ182" s="194"/>
      <c r="BA182" s="194"/>
      <c r="BB182" s="194"/>
      <c r="BC182" s="194"/>
      <c r="BD182" s="194"/>
      <c r="BE182" s="194"/>
      <c r="BF182" s="194"/>
      <c r="BG182" s="194"/>
      <c r="BH182" s="194"/>
      <c r="BI182" s="194"/>
      <c r="BJ182" s="194"/>
      <c r="BK182" s="194"/>
      <c r="BL182" s="194"/>
      <c r="BM182" s="194"/>
      <c r="BN182" s="194"/>
      <c r="BO182" s="194"/>
      <c r="BP182" s="194"/>
      <c r="BQ182" s="194"/>
      <c r="BR182" s="194"/>
      <c r="BS182" s="194"/>
      <c r="BT182" s="194"/>
      <c r="BU182" s="194"/>
      <c r="BV182" s="194"/>
      <c r="BW182" s="194"/>
      <c r="BX182" s="194"/>
      <c r="BY182" s="194"/>
      <c r="BZ182" s="194"/>
      <c r="CA182" s="194"/>
      <c r="CB182" s="194"/>
      <c r="CC182" s="194"/>
      <c r="CD182" s="194"/>
      <c r="CE182" s="194"/>
      <c r="CF182" s="194"/>
      <c r="CG182" s="194"/>
      <c r="CH182" s="194"/>
      <c r="CI182" s="194"/>
      <c r="CJ182" s="194"/>
      <c r="CK182" s="194"/>
      <c r="CL182" s="194"/>
      <c r="CM182" s="194"/>
      <c r="CN182" s="194"/>
      <c r="CO182" s="194"/>
      <c r="CP182" s="194"/>
      <c r="CQ182" s="194"/>
      <c r="CR182" s="194"/>
      <c r="CS182" s="194"/>
      <c r="CT182" s="194"/>
      <c r="CU182" s="194"/>
      <c r="CV182" s="194"/>
      <c r="CW182" s="194"/>
      <c r="CX182" s="194"/>
      <c r="CY182" s="194"/>
      <c r="CZ182" s="194"/>
      <c r="DA182" s="194"/>
    </row>
    <row r="183" spans="1:105">
      <c r="A183" s="194" t="s">
        <v>747</v>
      </c>
      <c r="B183" s="194">
        <v>22109538</v>
      </c>
      <c r="C183" s="222" t="s">
        <v>748</v>
      </c>
      <c r="D183" s="194"/>
      <c r="E183" s="194"/>
      <c r="F183" s="194"/>
      <c r="G183" s="232"/>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c r="AF183" s="194"/>
      <c r="AG183" s="194"/>
      <c r="AH183" s="194"/>
      <c r="AI183" s="194"/>
      <c r="AJ183" s="194"/>
      <c r="AK183" s="194"/>
      <c r="AL183" s="194"/>
      <c r="AM183" s="194"/>
      <c r="AN183" s="194"/>
      <c r="AO183" s="194"/>
      <c r="AP183" s="194"/>
      <c r="AQ183" s="194"/>
      <c r="AR183" s="194"/>
      <c r="AS183" s="194"/>
      <c r="AT183" s="194"/>
      <c r="AU183" s="194"/>
      <c r="AV183" s="194"/>
      <c r="AW183" s="194"/>
      <c r="AX183" s="194"/>
      <c r="AY183" s="194"/>
      <c r="AZ183" s="194"/>
      <c r="BA183" s="194"/>
      <c r="BB183" s="194"/>
      <c r="BC183" s="194"/>
      <c r="BD183" s="194"/>
      <c r="BE183" s="194"/>
      <c r="BF183" s="194"/>
      <c r="BG183" s="194"/>
      <c r="BH183" s="194"/>
      <c r="BI183" s="194"/>
      <c r="BJ183" s="194"/>
      <c r="BK183" s="194"/>
      <c r="BL183" s="194"/>
      <c r="BM183" s="194"/>
      <c r="BN183" s="194"/>
      <c r="BO183" s="194"/>
      <c r="BP183" s="194"/>
      <c r="BQ183" s="194"/>
      <c r="BR183" s="194"/>
      <c r="BS183" s="194"/>
      <c r="BT183" s="194"/>
      <c r="BU183" s="194"/>
      <c r="BV183" s="194"/>
      <c r="BW183" s="194"/>
      <c r="BX183" s="194"/>
      <c r="BY183" s="194"/>
      <c r="BZ183" s="194"/>
      <c r="CA183" s="194"/>
      <c r="CB183" s="194"/>
      <c r="CC183" s="194"/>
      <c r="CD183" s="194"/>
      <c r="CE183" s="194"/>
      <c r="CF183" s="194"/>
      <c r="CG183" s="194"/>
      <c r="CH183" s="194"/>
      <c r="CI183" s="194"/>
      <c r="CJ183" s="194"/>
      <c r="CK183" s="194"/>
      <c r="CL183" s="194"/>
      <c r="CM183" s="194"/>
      <c r="CN183" s="194"/>
      <c r="CO183" s="194"/>
      <c r="CP183" s="194"/>
      <c r="CQ183" s="194"/>
      <c r="CR183" s="194"/>
      <c r="CS183" s="194"/>
      <c r="CT183" s="194"/>
      <c r="CU183" s="194"/>
      <c r="CV183" s="194"/>
      <c r="CW183" s="194"/>
      <c r="CX183" s="194"/>
      <c r="CY183" s="194"/>
      <c r="CZ183" s="194"/>
      <c r="DA183" s="194"/>
    </row>
    <row r="184" spans="1:105" s="110" customFormat="1">
      <c r="A184" s="107" t="s">
        <v>752</v>
      </c>
      <c r="B184" s="107">
        <v>22109793</v>
      </c>
      <c r="C184" s="121" t="s">
        <v>753</v>
      </c>
      <c r="D184" s="107"/>
      <c r="E184" s="107"/>
      <c r="F184" s="107"/>
      <c r="G184" s="109"/>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7"/>
      <c r="CG184" s="107"/>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row>
    <row r="185" spans="1:105" s="193" customFormat="1">
      <c r="A185" s="194" t="s">
        <v>756</v>
      </c>
      <c r="B185" s="194">
        <v>22109501</v>
      </c>
      <c r="C185" s="222" t="s">
        <v>757</v>
      </c>
      <c r="D185" s="194"/>
      <c r="E185" s="194"/>
      <c r="F185" s="194"/>
      <c r="G185" s="232"/>
      <c r="H185" s="194"/>
      <c r="I185" s="194"/>
      <c r="J185" s="194"/>
      <c r="K185" s="194"/>
      <c r="L185" s="194"/>
      <c r="M185" s="194"/>
      <c r="N185" s="194"/>
      <c r="O185" s="194"/>
      <c r="P185" s="194"/>
      <c r="Q185" s="194"/>
      <c r="R185" s="194"/>
      <c r="S185" s="194"/>
      <c r="T185" s="194"/>
      <c r="U185" s="194"/>
      <c r="V185" s="194"/>
      <c r="W185" s="194"/>
      <c r="X185" s="194"/>
      <c r="Y185" s="194"/>
      <c r="Z185" s="194"/>
      <c r="AA185" s="194"/>
      <c r="AB185" s="194"/>
      <c r="AC185" s="194"/>
      <c r="AD185" s="194"/>
      <c r="AE185" s="194"/>
      <c r="AF185" s="194"/>
      <c r="AG185" s="194"/>
      <c r="AH185" s="194"/>
      <c r="AI185" s="194"/>
      <c r="AJ185" s="194"/>
      <c r="AK185" s="194"/>
      <c r="AL185" s="194"/>
      <c r="AM185" s="194"/>
      <c r="AN185" s="194"/>
      <c r="AO185" s="194"/>
      <c r="AP185" s="194"/>
      <c r="AQ185" s="194"/>
      <c r="AR185" s="194"/>
      <c r="AS185" s="194"/>
      <c r="AT185" s="194"/>
      <c r="AU185" s="194"/>
      <c r="AV185" s="194"/>
      <c r="AW185" s="194"/>
      <c r="AX185" s="194"/>
      <c r="AY185" s="194"/>
      <c r="AZ185" s="194"/>
      <c r="BA185" s="194"/>
      <c r="BB185" s="194"/>
      <c r="BC185" s="194"/>
      <c r="BD185" s="194"/>
      <c r="BE185" s="194"/>
      <c r="BF185" s="194"/>
      <c r="BG185" s="194"/>
      <c r="BH185" s="194"/>
      <c r="BI185" s="194"/>
      <c r="BJ185" s="194"/>
      <c r="BK185" s="194"/>
      <c r="BL185" s="194"/>
      <c r="BM185" s="194"/>
      <c r="BN185" s="194"/>
      <c r="BO185" s="194"/>
      <c r="BP185" s="194"/>
      <c r="BQ185" s="194"/>
      <c r="BR185" s="194"/>
      <c r="BS185" s="194"/>
      <c r="BT185" s="194"/>
      <c r="BU185" s="194"/>
      <c r="BV185" s="194"/>
      <c r="BW185" s="194"/>
      <c r="BX185" s="194"/>
      <c r="BY185" s="194"/>
      <c r="BZ185" s="194"/>
      <c r="CA185" s="194"/>
      <c r="CB185" s="194"/>
      <c r="CC185" s="194"/>
      <c r="CD185" s="194"/>
      <c r="CE185" s="194"/>
      <c r="CF185" s="194"/>
      <c r="CG185" s="194"/>
      <c r="CH185" s="194"/>
      <c r="CI185" s="194"/>
      <c r="CJ185" s="194"/>
      <c r="CK185" s="194"/>
      <c r="CL185" s="194"/>
      <c r="CM185" s="194"/>
      <c r="CN185" s="194"/>
      <c r="CO185" s="194"/>
      <c r="CP185" s="194"/>
      <c r="CQ185" s="194"/>
      <c r="CR185" s="194"/>
      <c r="CS185" s="194"/>
      <c r="CT185" s="194"/>
      <c r="CU185" s="194"/>
      <c r="CV185" s="194"/>
      <c r="CW185" s="194"/>
      <c r="CX185" s="194"/>
      <c r="CY185" s="194"/>
      <c r="CZ185" s="194"/>
      <c r="DA185" s="194"/>
    </row>
    <row r="186" spans="1:105" s="193" customFormat="1">
      <c r="A186" s="194" t="s">
        <v>759</v>
      </c>
      <c r="B186" s="194">
        <v>22109705</v>
      </c>
      <c r="C186" s="222" t="s">
        <v>760</v>
      </c>
      <c r="D186" s="194"/>
      <c r="E186" s="194"/>
      <c r="F186" s="194"/>
      <c r="G186" s="232"/>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c r="AF186" s="194"/>
      <c r="AG186" s="194"/>
      <c r="AH186" s="194"/>
      <c r="AI186" s="194"/>
      <c r="AJ186" s="194"/>
      <c r="AK186" s="194"/>
      <c r="AL186" s="194"/>
      <c r="AM186" s="194"/>
      <c r="AN186" s="194"/>
      <c r="AO186" s="194"/>
      <c r="AP186" s="194"/>
      <c r="AQ186" s="194"/>
      <c r="AR186" s="194"/>
      <c r="AS186" s="194"/>
      <c r="AT186" s="194"/>
      <c r="AU186" s="194"/>
      <c r="AV186" s="194"/>
      <c r="AW186" s="194"/>
      <c r="AX186" s="194"/>
      <c r="AY186" s="194"/>
      <c r="AZ186" s="194"/>
      <c r="BA186" s="194"/>
      <c r="BB186" s="194"/>
      <c r="BC186" s="194"/>
      <c r="BD186" s="194"/>
      <c r="BE186" s="194"/>
      <c r="BF186" s="194"/>
      <c r="BG186" s="194"/>
      <c r="BH186" s="194"/>
      <c r="BI186" s="194"/>
      <c r="BJ186" s="194"/>
      <c r="BK186" s="194"/>
      <c r="BL186" s="194"/>
      <c r="BM186" s="194"/>
      <c r="BN186" s="194"/>
      <c r="BO186" s="194"/>
      <c r="BP186" s="194"/>
      <c r="BQ186" s="194"/>
      <c r="BR186" s="194"/>
      <c r="BS186" s="194"/>
      <c r="BT186" s="194"/>
      <c r="BU186" s="194"/>
      <c r="BV186" s="194"/>
      <c r="BW186" s="194"/>
      <c r="BX186" s="194"/>
      <c r="BY186" s="194"/>
      <c r="BZ186" s="194"/>
      <c r="CA186" s="194"/>
      <c r="CB186" s="194"/>
      <c r="CC186" s="194"/>
      <c r="CD186" s="194"/>
      <c r="CE186" s="194"/>
      <c r="CF186" s="194"/>
      <c r="CG186" s="194"/>
      <c r="CH186" s="194"/>
      <c r="CI186" s="194"/>
      <c r="CJ186" s="194"/>
      <c r="CK186" s="194"/>
      <c r="CL186" s="194"/>
      <c r="CM186" s="194"/>
      <c r="CN186" s="194"/>
      <c r="CO186" s="194"/>
      <c r="CP186" s="194"/>
      <c r="CQ186" s="194"/>
      <c r="CR186" s="194"/>
      <c r="CS186" s="194"/>
      <c r="CT186" s="194"/>
      <c r="CU186" s="194"/>
      <c r="CV186" s="194"/>
      <c r="CW186" s="194"/>
      <c r="CX186" s="194"/>
      <c r="CY186" s="194"/>
      <c r="CZ186" s="194"/>
      <c r="DA186" s="194"/>
    </row>
    <row r="187" spans="1:105" s="203" customFormat="1">
      <c r="A187" s="202" t="s">
        <v>762</v>
      </c>
      <c r="B187" s="202">
        <v>22109441</v>
      </c>
      <c r="C187" s="223" t="s">
        <v>763</v>
      </c>
      <c r="D187" s="202"/>
      <c r="E187" s="202"/>
      <c r="F187" s="202"/>
      <c r="G187" s="237"/>
      <c r="H187" s="202"/>
      <c r="I187" s="202"/>
      <c r="J187" s="202"/>
      <c r="K187" s="202"/>
      <c r="L187" s="202"/>
      <c r="M187" s="202"/>
      <c r="N187" s="202"/>
      <c r="O187" s="202"/>
      <c r="P187" s="202"/>
      <c r="Q187" s="202"/>
      <c r="R187" s="202"/>
      <c r="S187" s="202"/>
      <c r="T187" s="202"/>
      <c r="U187" s="202"/>
      <c r="V187" s="202"/>
      <c r="W187" s="202"/>
      <c r="X187" s="202"/>
      <c r="Y187" s="202"/>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c r="BE187" s="202"/>
      <c r="BF187" s="202"/>
      <c r="BG187" s="202"/>
      <c r="BH187" s="202"/>
      <c r="BI187" s="202"/>
      <c r="BJ187" s="202"/>
      <c r="BK187" s="202"/>
      <c r="BL187" s="202"/>
      <c r="BM187" s="202"/>
      <c r="BN187" s="202"/>
      <c r="BO187" s="202"/>
      <c r="BP187" s="202"/>
      <c r="BQ187" s="202"/>
      <c r="BR187" s="202"/>
      <c r="BS187" s="202"/>
      <c r="BT187" s="202"/>
      <c r="BU187" s="202"/>
      <c r="BV187" s="202"/>
      <c r="BW187" s="202"/>
      <c r="BX187" s="202"/>
      <c r="BY187" s="202"/>
      <c r="BZ187" s="202"/>
      <c r="CA187" s="202"/>
      <c r="CB187" s="202"/>
      <c r="CC187" s="202"/>
      <c r="CD187" s="202"/>
      <c r="CE187" s="202"/>
      <c r="CF187" s="202"/>
      <c r="CG187" s="202"/>
      <c r="CH187" s="202"/>
      <c r="CI187" s="202"/>
      <c r="CJ187" s="202"/>
      <c r="CK187" s="202"/>
      <c r="CL187" s="202"/>
      <c r="CM187" s="202"/>
      <c r="CN187" s="202"/>
      <c r="CO187" s="202"/>
      <c r="CP187" s="202"/>
      <c r="CQ187" s="202"/>
      <c r="CR187" s="202"/>
      <c r="CS187" s="202"/>
      <c r="CT187" s="202"/>
      <c r="CU187" s="202"/>
      <c r="CV187" s="202"/>
      <c r="CW187" s="202"/>
      <c r="CX187" s="202"/>
      <c r="CY187" s="202"/>
      <c r="CZ187" s="202"/>
      <c r="DA187" s="202"/>
    </row>
    <row r="188" spans="1:105" s="189" customFormat="1">
      <c r="A188" s="185" t="s">
        <v>766</v>
      </c>
      <c r="B188" s="185">
        <v>22108398</v>
      </c>
      <c r="C188" s="230" t="s">
        <v>767</v>
      </c>
      <c r="D188" s="185"/>
      <c r="E188" s="185"/>
      <c r="F188" s="185"/>
      <c r="G188" s="229"/>
      <c r="H188" s="185"/>
      <c r="I188" s="185"/>
      <c r="J188" s="185"/>
      <c r="K188" s="185"/>
      <c r="L188" s="185"/>
      <c r="M188" s="185"/>
      <c r="N188" s="185"/>
      <c r="O188" s="185"/>
      <c r="P188" s="185"/>
      <c r="Q188" s="185"/>
      <c r="R188" s="185"/>
      <c r="S188" s="185"/>
      <c r="T188" s="185"/>
      <c r="U188" s="185"/>
      <c r="V188" s="185"/>
      <c r="W188" s="185"/>
      <c r="X188" s="185"/>
      <c r="Y188" s="185"/>
      <c r="Z188" s="185"/>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c r="AY188" s="185"/>
      <c r="AZ188" s="185"/>
      <c r="BA188" s="185"/>
      <c r="BB188" s="185"/>
      <c r="BC188" s="185"/>
      <c r="BD188" s="185"/>
      <c r="BE188" s="185"/>
      <c r="BF188" s="185"/>
      <c r="BG188" s="185"/>
      <c r="BH188" s="185"/>
      <c r="BI188" s="185"/>
      <c r="BJ188" s="185"/>
      <c r="BK188" s="185"/>
      <c r="BL188" s="185"/>
      <c r="BM188" s="185"/>
      <c r="BN188" s="185"/>
      <c r="BO188" s="185"/>
      <c r="BP188" s="185"/>
      <c r="BQ188" s="185"/>
      <c r="BR188" s="185"/>
      <c r="BS188" s="185"/>
      <c r="BT188" s="185"/>
      <c r="BU188" s="185"/>
      <c r="BV188" s="185"/>
      <c r="BW188" s="185"/>
      <c r="BX188" s="185"/>
      <c r="BY188" s="185"/>
      <c r="BZ188" s="185"/>
      <c r="CA188" s="185"/>
      <c r="CB188" s="185"/>
      <c r="CC188" s="185"/>
      <c r="CD188" s="185"/>
      <c r="CE188" s="185"/>
      <c r="CF188" s="185"/>
      <c r="CG188" s="185"/>
      <c r="CH188" s="185"/>
      <c r="CI188" s="185"/>
      <c r="CJ188" s="185"/>
      <c r="CK188" s="185"/>
      <c r="CL188" s="185"/>
      <c r="CM188" s="185"/>
      <c r="CN188" s="185"/>
      <c r="CO188" s="185"/>
      <c r="CP188" s="185"/>
      <c r="CQ188" s="185"/>
      <c r="CR188" s="185"/>
      <c r="CS188" s="185"/>
      <c r="CT188" s="185"/>
      <c r="CU188" s="185"/>
      <c r="CV188" s="185"/>
      <c r="CW188" s="185"/>
      <c r="CX188" s="185"/>
      <c r="CY188" s="185"/>
      <c r="CZ188" s="185"/>
      <c r="DA188" s="185"/>
    </row>
    <row r="189" spans="1:105" s="110" customFormat="1">
      <c r="A189" s="107" t="s">
        <v>770</v>
      </c>
      <c r="B189" s="107">
        <v>22109053</v>
      </c>
      <c r="C189" s="121" t="s">
        <v>771</v>
      </c>
      <c r="D189" s="107"/>
      <c r="E189" s="107"/>
      <c r="F189" s="107"/>
      <c r="G189" s="109"/>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c r="CA189" s="107"/>
      <c r="CB189" s="107"/>
      <c r="CC189" s="107"/>
      <c r="CD189" s="107"/>
      <c r="CE189" s="107"/>
      <c r="CF189" s="107"/>
      <c r="CG189" s="107"/>
      <c r="CH189" s="107"/>
      <c r="CI189" s="107"/>
      <c r="CJ189" s="107"/>
      <c r="CK189" s="107"/>
      <c r="CL189" s="107"/>
      <c r="CM189" s="107"/>
      <c r="CN189" s="107"/>
      <c r="CO189" s="107"/>
      <c r="CP189" s="107"/>
      <c r="CQ189" s="107"/>
      <c r="CR189" s="107"/>
      <c r="CS189" s="107"/>
      <c r="CT189" s="107"/>
      <c r="CU189" s="107"/>
      <c r="CV189" s="107"/>
      <c r="CW189" s="107"/>
      <c r="CX189" s="107"/>
      <c r="CY189" s="107"/>
      <c r="CZ189" s="107"/>
      <c r="DA189" s="107"/>
    </row>
    <row r="190" spans="1:105" s="189" customFormat="1">
      <c r="A190" s="185" t="s">
        <v>773</v>
      </c>
      <c r="B190" s="185">
        <v>22108554</v>
      </c>
      <c r="C190" s="230" t="s">
        <v>774</v>
      </c>
      <c r="D190" s="185"/>
      <c r="E190" s="185"/>
      <c r="F190" s="185"/>
      <c r="G190" s="229"/>
      <c r="H190" s="185"/>
      <c r="I190" s="185"/>
      <c r="J190" s="185"/>
      <c r="K190" s="185"/>
      <c r="L190" s="185"/>
      <c r="M190" s="185"/>
      <c r="N190" s="185"/>
      <c r="O190" s="185"/>
      <c r="P190" s="185"/>
      <c r="Q190" s="185"/>
      <c r="R190" s="185"/>
      <c r="S190" s="185"/>
      <c r="T190" s="185"/>
      <c r="U190" s="185"/>
      <c r="V190" s="185"/>
      <c r="W190" s="185"/>
      <c r="X190" s="185"/>
      <c r="Y190" s="185"/>
      <c r="Z190" s="185"/>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85"/>
      <c r="AX190" s="185"/>
      <c r="AY190" s="185"/>
      <c r="AZ190" s="185"/>
      <c r="BA190" s="185"/>
      <c r="BB190" s="185"/>
      <c r="BC190" s="185"/>
      <c r="BD190" s="185"/>
      <c r="BE190" s="185"/>
      <c r="BF190" s="185"/>
      <c r="BG190" s="185"/>
      <c r="BH190" s="185"/>
      <c r="BI190" s="185"/>
      <c r="BJ190" s="185"/>
      <c r="BK190" s="185"/>
      <c r="BL190" s="185"/>
      <c r="BM190" s="185"/>
      <c r="BN190" s="185"/>
      <c r="BO190" s="185"/>
      <c r="BP190" s="185"/>
      <c r="BQ190" s="185"/>
      <c r="BR190" s="185"/>
      <c r="BS190" s="185"/>
      <c r="BT190" s="185"/>
      <c r="BU190" s="185"/>
      <c r="BV190" s="185"/>
      <c r="BW190" s="185"/>
      <c r="BX190" s="185"/>
      <c r="BY190" s="185"/>
      <c r="BZ190" s="185"/>
      <c r="CA190" s="185"/>
      <c r="CB190" s="185"/>
      <c r="CC190" s="185"/>
      <c r="CD190" s="185"/>
      <c r="CE190" s="185"/>
      <c r="CF190" s="185"/>
      <c r="CG190" s="185"/>
      <c r="CH190" s="185"/>
      <c r="CI190" s="185"/>
      <c r="CJ190" s="185"/>
      <c r="CK190" s="185"/>
      <c r="CL190" s="185"/>
      <c r="CM190" s="185"/>
      <c r="CN190" s="185"/>
      <c r="CO190" s="185"/>
      <c r="CP190" s="185"/>
      <c r="CQ190" s="185"/>
      <c r="CR190" s="185"/>
      <c r="CS190" s="185"/>
      <c r="CT190" s="185"/>
      <c r="CU190" s="185"/>
      <c r="CV190" s="185"/>
      <c r="CW190" s="185"/>
      <c r="CX190" s="185"/>
      <c r="CY190" s="185"/>
      <c r="CZ190" s="185"/>
      <c r="DA190" s="185"/>
    </row>
    <row r="191" spans="1:105" s="189" customFormat="1">
      <c r="A191" s="185" t="s">
        <v>776</v>
      </c>
      <c r="B191" s="185">
        <v>22108696</v>
      </c>
      <c r="C191" s="230" t="s">
        <v>777</v>
      </c>
      <c r="D191" s="185"/>
      <c r="E191" s="185"/>
      <c r="F191" s="185"/>
      <c r="G191" s="229"/>
      <c r="H191" s="185"/>
      <c r="I191" s="185"/>
      <c r="J191" s="185"/>
      <c r="K191" s="185"/>
      <c r="L191" s="185"/>
      <c r="M191" s="185"/>
      <c r="N191" s="185"/>
      <c r="O191" s="185"/>
      <c r="P191" s="185"/>
      <c r="Q191" s="185"/>
      <c r="R191" s="185"/>
      <c r="S191" s="185"/>
      <c r="T191" s="185"/>
      <c r="U191" s="185"/>
      <c r="V191" s="185"/>
      <c r="W191" s="185"/>
      <c r="X191" s="185"/>
      <c r="Y191" s="185"/>
      <c r="Z191" s="185"/>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c r="AY191" s="185"/>
      <c r="AZ191" s="185"/>
      <c r="BA191" s="185"/>
      <c r="BB191" s="185"/>
      <c r="BC191" s="185"/>
      <c r="BD191" s="185"/>
      <c r="BE191" s="185"/>
      <c r="BF191" s="185"/>
      <c r="BG191" s="185"/>
      <c r="BH191" s="185"/>
      <c r="BI191" s="185"/>
      <c r="BJ191" s="185"/>
      <c r="BK191" s="185"/>
      <c r="BL191" s="185"/>
      <c r="BM191" s="185"/>
      <c r="BN191" s="185"/>
      <c r="BO191" s="185"/>
      <c r="BP191" s="185"/>
      <c r="BQ191" s="185"/>
      <c r="BR191" s="185"/>
      <c r="BS191" s="185"/>
      <c r="BT191" s="185"/>
      <c r="BU191" s="185"/>
      <c r="BV191" s="185"/>
      <c r="BW191" s="185"/>
      <c r="BX191" s="185"/>
      <c r="BY191" s="185"/>
      <c r="BZ191" s="185"/>
      <c r="CA191" s="185"/>
      <c r="CB191" s="185"/>
      <c r="CC191" s="185"/>
      <c r="CD191" s="185"/>
      <c r="CE191" s="185"/>
      <c r="CF191" s="185"/>
      <c r="CG191" s="185"/>
      <c r="CH191" s="185"/>
      <c r="CI191" s="185"/>
      <c r="CJ191" s="185"/>
      <c r="CK191" s="185"/>
      <c r="CL191" s="185"/>
      <c r="CM191" s="185"/>
      <c r="CN191" s="185"/>
      <c r="CO191" s="185"/>
      <c r="CP191" s="185"/>
      <c r="CQ191" s="185"/>
      <c r="CR191" s="185"/>
      <c r="CS191" s="185"/>
      <c r="CT191" s="185"/>
      <c r="CU191" s="185"/>
      <c r="CV191" s="185"/>
      <c r="CW191" s="185"/>
      <c r="CX191" s="185"/>
      <c r="CY191" s="185"/>
      <c r="CZ191" s="185"/>
      <c r="DA191" s="185"/>
    </row>
    <row r="192" spans="1:105" s="193" customFormat="1">
      <c r="A192" s="194" t="s">
        <v>780</v>
      </c>
      <c r="B192" s="194">
        <v>22109754</v>
      </c>
      <c r="C192" s="222" t="s">
        <v>781</v>
      </c>
      <c r="D192" s="194"/>
      <c r="E192" s="194"/>
      <c r="F192" s="194"/>
      <c r="G192" s="232"/>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c r="AF192" s="194"/>
      <c r="AG192" s="194"/>
      <c r="AH192" s="194"/>
      <c r="AI192" s="194"/>
      <c r="AJ192" s="194"/>
      <c r="AK192" s="194"/>
      <c r="AL192" s="194"/>
      <c r="AM192" s="194"/>
      <c r="AN192" s="194"/>
      <c r="AO192" s="194"/>
      <c r="AP192" s="194"/>
      <c r="AQ192" s="194"/>
      <c r="AR192" s="194"/>
      <c r="AS192" s="194"/>
      <c r="AT192" s="194"/>
      <c r="AU192" s="194"/>
      <c r="AV192" s="194"/>
      <c r="AW192" s="194"/>
      <c r="AX192" s="194"/>
      <c r="AY192" s="194"/>
      <c r="AZ192" s="194"/>
      <c r="BA192" s="194"/>
      <c r="BB192" s="194"/>
      <c r="BC192" s="194"/>
      <c r="BD192" s="194"/>
      <c r="BE192" s="194"/>
      <c r="BF192" s="194"/>
      <c r="BG192" s="194"/>
      <c r="BH192" s="194"/>
      <c r="BI192" s="194"/>
      <c r="BJ192" s="194"/>
      <c r="BK192" s="194"/>
      <c r="BL192" s="194"/>
      <c r="BM192" s="194"/>
      <c r="BN192" s="194"/>
      <c r="BO192" s="194"/>
      <c r="BP192" s="194"/>
      <c r="BQ192" s="194"/>
      <c r="BR192" s="194"/>
      <c r="BS192" s="194"/>
      <c r="BT192" s="194"/>
      <c r="BU192" s="194"/>
      <c r="BV192" s="194"/>
      <c r="BW192" s="194"/>
      <c r="BX192" s="194"/>
      <c r="BY192" s="194"/>
      <c r="BZ192" s="194"/>
      <c r="CA192" s="194"/>
      <c r="CB192" s="194"/>
      <c r="CC192" s="194"/>
      <c r="CD192" s="194"/>
      <c r="CE192" s="194"/>
      <c r="CF192" s="194"/>
      <c r="CG192" s="194"/>
      <c r="CH192" s="194"/>
      <c r="CI192" s="194"/>
      <c r="CJ192" s="194"/>
      <c r="CK192" s="194"/>
      <c r="CL192" s="194"/>
      <c r="CM192" s="194"/>
      <c r="CN192" s="194"/>
      <c r="CO192" s="194"/>
      <c r="CP192" s="194"/>
      <c r="CQ192" s="194"/>
      <c r="CR192" s="194"/>
      <c r="CS192" s="194"/>
      <c r="CT192" s="194"/>
      <c r="CU192" s="194"/>
      <c r="CV192" s="194"/>
      <c r="CW192" s="194"/>
      <c r="CX192" s="194"/>
      <c r="CY192" s="194"/>
      <c r="CZ192" s="194"/>
      <c r="DA192" s="194"/>
    </row>
    <row r="193" spans="1:106" s="110" customFormat="1">
      <c r="A193" s="107" t="s">
        <v>784</v>
      </c>
      <c r="B193" s="107">
        <v>22109131</v>
      </c>
      <c r="C193" s="121" t="s">
        <v>785</v>
      </c>
      <c r="D193" s="107"/>
      <c r="E193" s="107"/>
      <c r="F193" s="107"/>
      <c r="G193" s="109"/>
      <c r="H193" s="107"/>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c r="CA193" s="107"/>
      <c r="CB193" s="107"/>
      <c r="CC193" s="107"/>
      <c r="CD193" s="107"/>
      <c r="CE193" s="107"/>
      <c r="CF193" s="107"/>
      <c r="CG193" s="107"/>
      <c r="CH193" s="107"/>
      <c r="CI193" s="107"/>
      <c r="CJ193" s="107"/>
      <c r="CK193" s="107"/>
      <c r="CL193" s="107"/>
      <c r="CM193" s="107"/>
      <c r="CN193" s="107"/>
      <c r="CO193" s="107"/>
      <c r="CP193" s="107"/>
      <c r="CQ193" s="107"/>
      <c r="CR193" s="107"/>
      <c r="CS193" s="107"/>
      <c r="CT193" s="107"/>
      <c r="CU193" s="107"/>
      <c r="CV193" s="107"/>
      <c r="CW193" s="107"/>
      <c r="CX193" s="107"/>
      <c r="CY193" s="107"/>
      <c r="CZ193" s="107"/>
      <c r="DA193" s="107"/>
    </row>
    <row r="194" spans="1:106" s="189" customFormat="1">
      <c r="A194" s="185" t="s">
        <v>788</v>
      </c>
      <c r="B194" s="185">
        <v>22108366</v>
      </c>
      <c r="C194" s="230" t="s">
        <v>789</v>
      </c>
      <c r="D194" s="185"/>
      <c r="E194" s="185"/>
      <c r="F194" s="185"/>
      <c r="G194" s="229"/>
      <c r="H194" s="185"/>
      <c r="I194" s="185"/>
      <c r="J194" s="185"/>
      <c r="K194" s="185"/>
      <c r="L194" s="185"/>
      <c r="M194" s="185"/>
      <c r="N194" s="185"/>
      <c r="O194" s="185"/>
      <c r="P194" s="185"/>
      <c r="Q194" s="185"/>
      <c r="R194" s="185"/>
      <c r="S194" s="185"/>
      <c r="T194" s="185"/>
      <c r="U194" s="185"/>
      <c r="V194" s="185"/>
      <c r="W194" s="185"/>
      <c r="X194" s="185"/>
      <c r="Y194" s="185"/>
      <c r="Z194" s="185"/>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c r="AY194" s="185"/>
      <c r="AZ194" s="185"/>
      <c r="BA194" s="185"/>
      <c r="BB194" s="185"/>
      <c r="BC194" s="185"/>
      <c r="BD194" s="185"/>
      <c r="BE194" s="185"/>
      <c r="BF194" s="185"/>
      <c r="BG194" s="185"/>
      <c r="BH194" s="185"/>
      <c r="BI194" s="185"/>
      <c r="BJ194" s="185"/>
      <c r="BK194" s="185"/>
      <c r="BL194" s="185"/>
      <c r="BM194" s="185"/>
      <c r="BN194" s="185"/>
      <c r="BO194" s="185"/>
      <c r="BP194" s="185"/>
      <c r="BQ194" s="185"/>
      <c r="BR194" s="185"/>
      <c r="BS194" s="185"/>
      <c r="BT194" s="185"/>
      <c r="BU194" s="185"/>
      <c r="BV194" s="185"/>
      <c r="BW194" s="185"/>
      <c r="BX194" s="185"/>
      <c r="BY194" s="185"/>
      <c r="BZ194" s="185"/>
      <c r="CA194" s="185"/>
      <c r="CB194" s="185"/>
      <c r="CC194" s="185"/>
      <c r="CD194" s="185"/>
      <c r="CE194" s="185"/>
      <c r="CF194" s="185"/>
      <c r="CG194" s="185"/>
      <c r="CH194" s="185"/>
      <c r="CI194" s="185"/>
      <c r="CJ194" s="185"/>
      <c r="CK194" s="185"/>
      <c r="CL194" s="185"/>
      <c r="CM194" s="185"/>
      <c r="CN194" s="185"/>
      <c r="CO194" s="185"/>
      <c r="CP194" s="185"/>
      <c r="CQ194" s="185"/>
      <c r="CR194" s="185"/>
      <c r="CS194" s="185"/>
      <c r="CT194" s="185"/>
      <c r="CU194" s="185"/>
      <c r="CV194" s="185"/>
      <c r="CW194" s="185"/>
      <c r="CX194" s="185"/>
      <c r="CY194" s="185"/>
      <c r="CZ194" s="185"/>
      <c r="DA194" s="185"/>
    </row>
    <row r="195" spans="1:106" s="189" customFormat="1">
      <c r="A195" s="185" t="s">
        <v>792</v>
      </c>
      <c r="B195" s="185">
        <v>22109864</v>
      </c>
      <c r="C195" s="230" t="s">
        <v>793</v>
      </c>
      <c r="D195" s="185"/>
      <c r="E195" s="185"/>
      <c r="F195" s="185"/>
      <c r="G195" s="229"/>
      <c r="H195" s="185"/>
      <c r="I195" s="185"/>
      <c r="J195" s="185"/>
      <c r="K195" s="185"/>
      <c r="L195" s="185"/>
      <c r="M195" s="185"/>
      <c r="N195" s="185"/>
      <c r="O195" s="185"/>
      <c r="P195" s="185"/>
      <c r="Q195" s="185"/>
      <c r="R195" s="185"/>
      <c r="S195" s="185"/>
      <c r="T195" s="185"/>
      <c r="U195" s="185"/>
      <c r="V195" s="185"/>
      <c r="W195" s="185"/>
      <c r="X195" s="185"/>
      <c r="Y195" s="185"/>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c r="AX195" s="185"/>
      <c r="AY195" s="185"/>
      <c r="AZ195" s="185"/>
      <c r="BA195" s="185"/>
      <c r="BB195" s="185"/>
      <c r="BC195" s="185"/>
      <c r="BD195" s="185"/>
      <c r="BE195" s="185"/>
      <c r="BF195" s="185"/>
      <c r="BG195" s="185"/>
      <c r="BH195" s="185"/>
      <c r="BI195" s="185"/>
      <c r="BJ195" s="185"/>
      <c r="BK195" s="185"/>
      <c r="BL195" s="185"/>
      <c r="BM195" s="185"/>
      <c r="BN195" s="185"/>
      <c r="BO195" s="185"/>
      <c r="BP195" s="185"/>
      <c r="BQ195" s="185"/>
      <c r="BR195" s="185"/>
      <c r="BS195" s="185"/>
      <c r="BT195" s="185"/>
      <c r="BU195" s="185"/>
      <c r="BV195" s="185"/>
      <c r="BW195" s="185"/>
      <c r="BX195" s="185"/>
      <c r="BY195" s="185"/>
      <c r="BZ195" s="185"/>
      <c r="CA195" s="185"/>
      <c r="CB195" s="185"/>
      <c r="CC195" s="185"/>
      <c r="CD195" s="185"/>
      <c r="CE195" s="185"/>
      <c r="CF195" s="185"/>
      <c r="CG195" s="185"/>
      <c r="CH195" s="185"/>
      <c r="CI195" s="185"/>
      <c r="CJ195" s="185"/>
      <c r="CK195" s="185"/>
      <c r="CL195" s="185"/>
      <c r="CM195" s="185"/>
      <c r="CN195" s="185"/>
      <c r="CO195" s="185"/>
      <c r="CP195" s="185"/>
      <c r="CQ195" s="185"/>
      <c r="CR195" s="185"/>
      <c r="CS195" s="185"/>
      <c r="CT195" s="185"/>
      <c r="CU195" s="185"/>
      <c r="CV195" s="185"/>
      <c r="CW195" s="185"/>
      <c r="CX195" s="185"/>
      <c r="CY195" s="185"/>
      <c r="CZ195" s="185"/>
      <c r="DA195" s="185"/>
    </row>
    <row r="196" spans="1:106">
      <c r="A196" s="194" t="s">
        <v>796</v>
      </c>
      <c r="B196" s="194">
        <v>22109794</v>
      </c>
      <c r="C196" s="222" t="s">
        <v>797</v>
      </c>
      <c r="D196" s="194"/>
      <c r="E196" s="194"/>
      <c r="F196" s="194"/>
      <c r="G196" s="232"/>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c r="AP196" s="194"/>
      <c r="AQ196" s="194"/>
      <c r="AR196" s="194"/>
      <c r="AS196" s="194"/>
      <c r="AT196" s="194"/>
      <c r="AU196" s="194"/>
      <c r="AV196" s="194"/>
      <c r="AW196" s="194"/>
      <c r="AX196" s="194"/>
      <c r="AY196" s="194"/>
      <c r="AZ196" s="194"/>
      <c r="BA196" s="194"/>
      <c r="BB196" s="194"/>
      <c r="BC196" s="194"/>
      <c r="BD196" s="194"/>
      <c r="BE196" s="194"/>
      <c r="BF196" s="194"/>
      <c r="BG196" s="194"/>
      <c r="BH196" s="194"/>
      <c r="BI196" s="194"/>
      <c r="BJ196" s="194"/>
      <c r="BK196" s="194"/>
      <c r="BL196" s="194"/>
      <c r="BM196" s="194"/>
      <c r="BN196" s="194"/>
      <c r="BO196" s="194"/>
      <c r="BP196" s="194"/>
      <c r="BQ196" s="194"/>
      <c r="BR196" s="194"/>
      <c r="BS196" s="194"/>
      <c r="BT196" s="194"/>
      <c r="BU196" s="194"/>
      <c r="BV196" s="194"/>
      <c r="BW196" s="194"/>
      <c r="BX196" s="194"/>
      <c r="BY196" s="194"/>
      <c r="BZ196" s="194"/>
      <c r="CA196" s="194"/>
      <c r="CB196" s="194"/>
      <c r="CC196" s="194"/>
      <c r="CD196" s="194"/>
      <c r="CE196" s="194"/>
      <c r="CF196" s="194"/>
      <c r="CG196" s="194"/>
      <c r="CH196" s="194"/>
      <c r="CI196" s="194"/>
      <c r="CJ196" s="194"/>
      <c r="CK196" s="194"/>
      <c r="CL196" s="194"/>
      <c r="CM196" s="194"/>
      <c r="CN196" s="194"/>
      <c r="CO196" s="194"/>
      <c r="CP196" s="194"/>
      <c r="CQ196" s="194"/>
      <c r="CR196" s="194"/>
      <c r="CS196" s="194"/>
      <c r="CT196" s="194"/>
      <c r="CU196" s="194"/>
      <c r="CV196" s="194"/>
      <c r="CW196" s="194"/>
      <c r="CX196" s="194"/>
      <c r="CY196" s="194"/>
      <c r="CZ196" s="194"/>
      <c r="DA196" s="194"/>
    </row>
    <row r="197" spans="1:106" s="193" customFormat="1">
      <c r="A197" s="192" t="s">
        <v>800</v>
      </c>
      <c r="B197" s="192">
        <v>37900814</v>
      </c>
      <c r="C197" s="226" t="s">
        <v>801</v>
      </c>
      <c r="D197" s="192"/>
      <c r="E197" s="194"/>
      <c r="F197" s="194"/>
      <c r="G197" s="232"/>
      <c r="H197" s="194"/>
      <c r="I197" s="194"/>
      <c r="J197" s="194"/>
      <c r="K197" s="194"/>
      <c r="L197" s="194"/>
      <c r="M197" s="194"/>
      <c r="N197" s="194"/>
      <c r="O197" s="194"/>
      <c r="P197" s="194"/>
      <c r="Q197" s="194"/>
      <c r="R197" s="194"/>
      <c r="S197" s="194"/>
      <c r="T197" s="194"/>
      <c r="U197" s="194"/>
      <c r="V197" s="194"/>
      <c r="W197" s="194"/>
      <c r="X197" s="194"/>
      <c r="Y197" s="194"/>
      <c r="Z197" s="194"/>
      <c r="AA197" s="194"/>
      <c r="AB197" s="194"/>
      <c r="AC197" s="194"/>
      <c r="AD197" s="194"/>
      <c r="AE197" s="194"/>
      <c r="AF197" s="194"/>
      <c r="AG197" s="194"/>
      <c r="AH197" s="194"/>
      <c r="AI197" s="194"/>
      <c r="AJ197" s="194"/>
      <c r="AK197" s="194"/>
      <c r="AL197" s="194"/>
      <c r="AM197" s="194"/>
      <c r="AN197" s="194"/>
      <c r="AO197" s="194"/>
      <c r="AP197" s="194"/>
      <c r="AQ197" s="194"/>
      <c r="AR197" s="194"/>
      <c r="AS197" s="194"/>
      <c r="AT197" s="194"/>
      <c r="AU197" s="194"/>
      <c r="AV197" s="194"/>
      <c r="AW197" s="194"/>
      <c r="AX197" s="194"/>
      <c r="AY197" s="194"/>
      <c r="AZ197" s="194"/>
      <c r="BA197" s="194"/>
      <c r="BB197" s="194"/>
      <c r="BC197" s="194"/>
      <c r="BD197" s="194"/>
      <c r="BE197" s="194"/>
      <c r="BF197" s="194"/>
      <c r="BG197" s="194"/>
      <c r="BH197" s="194"/>
      <c r="BI197" s="194"/>
      <c r="BJ197" s="194"/>
      <c r="BK197" s="194"/>
      <c r="BL197" s="194"/>
      <c r="BM197" s="194"/>
      <c r="BN197" s="194"/>
      <c r="BO197" s="194"/>
      <c r="BP197" s="194"/>
      <c r="BQ197" s="194"/>
      <c r="BR197" s="194"/>
      <c r="BS197" s="194"/>
      <c r="BT197" s="194"/>
      <c r="BU197" s="194"/>
      <c r="BV197" s="194"/>
      <c r="BW197" s="194"/>
      <c r="BX197" s="194"/>
      <c r="BY197" s="194"/>
      <c r="BZ197" s="194"/>
      <c r="CA197" s="194"/>
      <c r="CB197" s="194"/>
      <c r="CC197" s="194"/>
      <c r="CD197" s="194"/>
      <c r="CE197" s="194"/>
      <c r="CF197" s="194"/>
      <c r="CG197" s="194"/>
      <c r="CH197" s="194"/>
      <c r="CI197" s="194"/>
      <c r="CJ197" s="194"/>
      <c r="CK197" s="194"/>
      <c r="CL197" s="194"/>
      <c r="CM197" s="194"/>
      <c r="CN197" s="194"/>
      <c r="CO197" s="194"/>
      <c r="CP197" s="194"/>
      <c r="CQ197" s="194"/>
      <c r="CR197" s="194"/>
      <c r="CS197" s="194"/>
      <c r="CT197" s="194"/>
      <c r="CU197" s="194"/>
      <c r="CV197" s="194"/>
      <c r="CW197" s="194"/>
      <c r="CX197" s="194"/>
      <c r="CY197" s="194"/>
      <c r="CZ197" s="194"/>
      <c r="DA197" s="194"/>
    </row>
    <row r="198" spans="1:106" s="189" customFormat="1">
      <c r="A198" s="185" t="s">
        <v>804</v>
      </c>
      <c r="B198" s="185">
        <v>22108914</v>
      </c>
      <c r="C198" s="230" t="s">
        <v>805</v>
      </c>
      <c r="D198" s="185"/>
      <c r="E198" s="185"/>
      <c r="F198" s="185"/>
      <c r="G198" s="229"/>
      <c r="H198" s="185"/>
      <c r="I198" s="185"/>
      <c r="J198" s="185"/>
      <c r="K198" s="185"/>
      <c r="L198" s="185"/>
      <c r="M198" s="185"/>
      <c r="N198" s="185"/>
      <c r="O198" s="185"/>
      <c r="P198" s="185"/>
      <c r="Q198" s="185"/>
      <c r="R198" s="185"/>
      <c r="S198" s="185"/>
      <c r="T198" s="185"/>
      <c r="U198" s="185"/>
      <c r="V198" s="185"/>
      <c r="W198" s="185"/>
      <c r="X198" s="185"/>
      <c r="Y198" s="185"/>
      <c r="Z198" s="185"/>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c r="AY198" s="185"/>
      <c r="AZ198" s="185"/>
      <c r="BA198" s="185"/>
      <c r="BB198" s="185"/>
      <c r="BC198" s="185"/>
      <c r="BD198" s="185"/>
      <c r="BE198" s="185"/>
      <c r="BF198" s="185"/>
      <c r="BG198" s="185"/>
      <c r="BH198" s="185"/>
      <c r="BI198" s="185"/>
      <c r="BJ198" s="185"/>
      <c r="BK198" s="185"/>
      <c r="BL198" s="185"/>
      <c r="BM198" s="185"/>
      <c r="BN198" s="185"/>
      <c r="BO198" s="185"/>
      <c r="BP198" s="185"/>
      <c r="BQ198" s="185"/>
      <c r="BR198" s="185"/>
      <c r="BS198" s="185"/>
      <c r="BT198" s="185"/>
      <c r="BU198" s="185"/>
      <c r="BV198" s="185"/>
      <c r="BW198" s="185"/>
      <c r="BX198" s="185"/>
      <c r="BY198" s="185"/>
      <c r="BZ198" s="185"/>
      <c r="CA198" s="185"/>
      <c r="CB198" s="185"/>
      <c r="CC198" s="185"/>
      <c r="CD198" s="185"/>
      <c r="CE198" s="185"/>
      <c r="CF198" s="185"/>
      <c r="CG198" s="185"/>
      <c r="CH198" s="185"/>
      <c r="CI198" s="185"/>
      <c r="CJ198" s="185"/>
      <c r="CK198" s="185"/>
      <c r="CL198" s="185"/>
      <c r="CM198" s="185"/>
      <c r="CN198" s="185"/>
      <c r="CO198" s="185"/>
      <c r="CP198" s="185"/>
      <c r="CQ198" s="185"/>
      <c r="CR198" s="185"/>
      <c r="CS198" s="185"/>
      <c r="CT198" s="185"/>
      <c r="CU198" s="185"/>
      <c r="CV198" s="185"/>
      <c r="CW198" s="185"/>
      <c r="CX198" s="185"/>
      <c r="CY198" s="185"/>
      <c r="CZ198" s="185"/>
      <c r="DA198" s="185"/>
    </row>
    <row r="199" spans="1:106" s="189" customFormat="1">
      <c r="A199" s="185" t="s">
        <v>807</v>
      </c>
      <c r="B199" s="185">
        <v>22108784</v>
      </c>
      <c r="C199" s="230" t="s">
        <v>847</v>
      </c>
      <c r="D199" s="185"/>
      <c r="E199" s="185"/>
      <c r="F199" s="185"/>
      <c r="G199" s="229"/>
      <c r="H199" s="185"/>
      <c r="I199" s="185"/>
      <c r="J199" s="185"/>
      <c r="K199" s="185"/>
      <c r="L199" s="185"/>
      <c r="M199" s="185"/>
      <c r="N199" s="185"/>
      <c r="O199" s="185"/>
      <c r="P199" s="185"/>
      <c r="Q199" s="185"/>
      <c r="R199" s="185"/>
      <c r="S199" s="185"/>
      <c r="T199" s="185"/>
      <c r="U199" s="185"/>
      <c r="V199" s="185"/>
      <c r="W199" s="185"/>
      <c r="X199" s="185"/>
      <c r="Y199" s="185"/>
      <c r="Z199" s="185"/>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c r="AY199" s="185"/>
      <c r="AZ199" s="185"/>
      <c r="BA199" s="185"/>
      <c r="BB199" s="185"/>
      <c r="BC199" s="185"/>
      <c r="BD199" s="185"/>
      <c r="BE199" s="185"/>
      <c r="BF199" s="185"/>
      <c r="BG199" s="185"/>
      <c r="BH199" s="185"/>
      <c r="BI199" s="185"/>
      <c r="BJ199" s="185"/>
      <c r="BK199" s="185"/>
      <c r="BL199" s="185"/>
      <c r="BM199" s="185"/>
      <c r="BN199" s="185"/>
      <c r="BO199" s="185"/>
      <c r="BP199" s="185"/>
      <c r="BQ199" s="185"/>
      <c r="BR199" s="185"/>
      <c r="BS199" s="185"/>
      <c r="BT199" s="185"/>
      <c r="BU199" s="185"/>
      <c r="BV199" s="185"/>
      <c r="BW199" s="185"/>
      <c r="BX199" s="185"/>
      <c r="BY199" s="185"/>
      <c r="BZ199" s="185"/>
      <c r="CA199" s="185"/>
      <c r="CB199" s="185"/>
      <c r="CC199" s="185"/>
      <c r="CD199" s="185"/>
      <c r="CE199" s="185"/>
      <c r="CF199" s="185"/>
      <c r="CG199" s="185"/>
      <c r="CH199" s="185"/>
      <c r="CI199" s="185"/>
      <c r="CJ199" s="185"/>
      <c r="CK199" s="185"/>
      <c r="CL199" s="185"/>
      <c r="CM199" s="185"/>
      <c r="CN199" s="185"/>
      <c r="CO199" s="185"/>
      <c r="CP199" s="185"/>
      <c r="CQ199" s="185"/>
      <c r="CR199" s="185"/>
      <c r="CS199" s="185"/>
      <c r="CT199" s="185"/>
      <c r="CU199" s="185"/>
      <c r="CV199" s="185"/>
      <c r="CW199" s="185"/>
      <c r="CX199" s="185"/>
      <c r="CY199" s="185"/>
      <c r="CZ199" s="185"/>
      <c r="DA199" s="185"/>
    </row>
    <row r="200" spans="1:106" s="110" customFormat="1">
      <c r="A200" s="107" t="s">
        <v>811</v>
      </c>
      <c r="B200" s="107">
        <v>22109526</v>
      </c>
      <c r="C200" s="121" t="s">
        <v>812</v>
      </c>
      <c r="D200" s="107"/>
      <c r="E200" s="107"/>
      <c r="F200" s="107"/>
      <c r="G200" s="109"/>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c r="AX200" s="107"/>
      <c r="AY200" s="107"/>
      <c r="AZ200" s="107"/>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row>
    <row r="201" spans="1:106" s="193" customFormat="1">
      <c r="A201" s="194" t="s">
        <v>815</v>
      </c>
      <c r="B201" s="194">
        <v>22109482</v>
      </c>
      <c r="C201" s="222" t="s">
        <v>816</v>
      </c>
      <c r="D201" s="194"/>
      <c r="E201" s="194"/>
      <c r="F201" s="194"/>
      <c r="G201" s="232"/>
      <c r="H201" s="194"/>
      <c r="I201" s="194"/>
      <c r="J201" s="194"/>
      <c r="K201" s="194"/>
      <c r="L201" s="194"/>
      <c r="M201" s="194"/>
      <c r="N201" s="194"/>
      <c r="O201" s="194"/>
      <c r="P201" s="194"/>
      <c r="Q201" s="194"/>
      <c r="R201" s="194"/>
      <c r="S201" s="194"/>
      <c r="T201" s="194"/>
      <c r="U201" s="194"/>
      <c r="V201" s="194"/>
      <c r="W201" s="194"/>
      <c r="X201" s="194"/>
      <c r="Y201" s="194"/>
      <c r="Z201" s="194"/>
      <c r="AA201" s="194"/>
      <c r="AB201" s="194"/>
      <c r="AC201" s="194"/>
      <c r="AD201" s="194"/>
      <c r="AE201" s="194"/>
      <c r="AF201" s="194"/>
      <c r="AG201" s="194"/>
      <c r="AH201" s="194"/>
      <c r="AI201" s="194"/>
      <c r="AJ201" s="194"/>
      <c r="AK201" s="194"/>
      <c r="AL201" s="194"/>
      <c r="AM201" s="194"/>
      <c r="AN201" s="194"/>
      <c r="AO201" s="194"/>
      <c r="AP201" s="194"/>
      <c r="AQ201" s="194"/>
      <c r="AR201" s="194"/>
      <c r="AS201" s="194"/>
      <c r="AT201" s="194"/>
      <c r="AU201" s="194"/>
      <c r="AV201" s="194"/>
      <c r="AW201" s="194"/>
      <c r="AX201" s="194"/>
      <c r="AY201" s="194"/>
      <c r="AZ201" s="194"/>
      <c r="BA201" s="194"/>
      <c r="BB201" s="194"/>
      <c r="BC201" s="194"/>
      <c r="BD201" s="194"/>
      <c r="BE201" s="194"/>
      <c r="BF201" s="194"/>
      <c r="BG201" s="194"/>
      <c r="BH201" s="194"/>
      <c r="BI201" s="194"/>
      <c r="BJ201" s="194"/>
      <c r="BK201" s="194"/>
      <c r="BL201" s="194"/>
      <c r="BM201" s="194"/>
      <c r="BN201" s="194"/>
      <c r="BO201" s="194"/>
      <c r="BP201" s="194"/>
      <c r="BQ201" s="194"/>
      <c r="BR201" s="194"/>
      <c r="BS201" s="194"/>
      <c r="BT201" s="194"/>
      <c r="BU201" s="194"/>
      <c r="BV201" s="194"/>
      <c r="BW201" s="194"/>
      <c r="BX201" s="194"/>
      <c r="BY201" s="194"/>
      <c r="BZ201" s="194"/>
      <c r="CA201" s="194"/>
      <c r="CB201" s="194"/>
      <c r="CC201" s="194"/>
      <c r="CD201" s="194"/>
      <c r="CE201" s="194"/>
      <c r="CF201" s="194"/>
      <c r="CG201" s="194"/>
      <c r="CH201" s="194"/>
      <c r="CI201" s="194"/>
      <c r="CJ201" s="194"/>
      <c r="CK201" s="194"/>
      <c r="CL201" s="194"/>
      <c r="CM201" s="194"/>
      <c r="CN201" s="194"/>
      <c r="CO201" s="194"/>
      <c r="CP201" s="194"/>
      <c r="CQ201" s="194"/>
      <c r="CR201" s="194"/>
      <c r="CS201" s="194"/>
      <c r="CT201" s="194"/>
      <c r="CU201" s="194"/>
      <c r="CV201" s="194"/>
      <c r="CW201" s="194"/>
      <c r="CX201" s="194"/>
      <c r="CY201" s="194"/>
      <c r="CZ201" s="194"/>
      <c r="DA201" s="194"/>
    </row>
    <row r="202" spans="1:106" s="189" customFormat="1">
      <c r="A202" s="185" t="s">
        <v>818</v>
      </c>
      <c r="B202" s="185">
        <v>22109057</v>
      </c>
      <c r="C202" s="230" t="s">
        <v>819</v>
      </c>
      <c r="D202" s="185"/>
      <c r="E202" s="185"/>
      <c r="F202" s="185"/>
      <c r="G202" s="229"/>
      <c r="H202" s="185"/>
      <c r="I202" s="185"/>
      <c r="J202" s="185"/>
      <c r="K202" s="185"/>
      <c r="L202" s="185"/>
      <c r="M202" s="185"/>
      <c r="N202" s="185"/>
      <c r="O202" s="185"/>
      <c r="P202" s="185"/>
      <c r="Q202" s="185"/>
      <c r="R202" s="185"/>
      <c r="S202" s="185"/>
      <c r="T202" s="185"/>
      <c r="U202" s="185"/>
      <c r="V202" s="185"/>
      <c r="W202" s="185"/>
      <c r="X202" s="185"/>
      <c r="Y202" s="185"/>
      <c r="Z202" s="185"/>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c r="AX202" s="185"/>
      <c r="AY202" s="185"/>
      <c r="AZ202" s="185"/>
      <c r="BA202" s="185"/>
      <c r="BB202" s="185"/>
      <c r="BC202" s="185"/>
      <c r="BD202" s="185"/>
      <c r="BE202" s="185"/>
      <c r="BF202" s="185"/>
      <c r="BG202" s="185"/>
      <c r="BH202" s="185"/>
      <c r="BI202" s="185"/>
      <c r="BJ202" s="185"/>
      <c r="BK202" s="185"/>
      <c r="BL202" s="185"/>
      <c r="BM202" s="185"/>
      <c r="BN202" s="185"/>
      <c r="BO202" s="185"/>
      <c r="BP202" s="185"/>
      <c r="BQ202" s="185"/>
      <c r="BR202" s="185"/>
      <c r="BS202" s="185"/>
      <c r="BT202" s="185"/>
      <c r="BU202" s="185"/>
      <c r="BV202" s="185"/>
      <c r="BW202" s="185"/>
      <c r="BX202" s="185"/>
      <c r="BY202" s="185"/>
      <c r="BZ202" s="185"/>
      <c r="CA202" s="185"/>
      <c r="CB202" s="185"/>
      <c r="CC202" s="185"/>
      <c r="CD202" s="185"/>
      <c r="CE202" s="185"/>
      <c r="CF202" s="185"/>
      <c r="CG202" s="185"/>
      <c r="CH202" s="185"/>
      <c r="CI202" s="185"/>
      <c r="CJ202" s="185"/>
      <c r="CK202" s="185"/>
      <c r="CL202" s="185"/>
      <c r="CM202" s="185"/>
      <c r="CN202" s="185"/>
      <c r="CO202" s="185"/>
      <c r="CP202" s="185"/>
      <c r="CQ202" s="185"/>
      <c r="CR202" s="185"/>
      <c r="CS202" s="185"/>
      <c r="CT202" s="185"/>
      <c r="CU202" s="185"/>
      <c r="CV202" s="185"/>
      <c r="CW202" s="185"/>
      <c r="CX202" s="185"/>
      <c r="CY202" s="185"/>
      <c r="CZ202" s="185"/>
      <c r="DA202" s="185"/>
    </row>
    <row r="203" spans="1:106" s="193" customFormat="1">
      <c r="A203" s="194" t="s">
        <v>822</v>
      </c>
      <c r="B203" s="194">
        <v>22109404</v>
      </c>
      <c r="C203" s="222" t="s">
        <v>823</v>
      </c>
      <c r="D203" s="194"/>
      <c r="E203" s="194"/>
      <c r="F203" s="194"/>
      <c r="G203" s="232"/>
      <c r="H203" s="194"/>
      <c r="I203" s="194"/>
      <c r="J203" s="194"/>
      <c r="K203" s="194"/>
      <c r="L203" s="194"/>
      <c r="M203" s="194"/>
      <c r="N203" s="194"/>
      <c r="O203" s="194"/>
      <c r="P203" s="194"/>
      <c r="Q203" s="194"/>
      <c r="R203" s="194"/>
      <c r="S203" s="194"/>
      <c r="T203" s="194"/>
      <c r="U203" s="194"/>
      <c r="V203" s="194"/>
      <c r="W203" s="194"/>
      <c r="X203" s="194"/>
      <c r="Y203" s="194"/>
      <c r="Z203" s="194"/>
      <c r="AA203" s="194"/>
      <c r="AB203" s="194"/>
      <c r="AC203" s="194"/>
      <c r="AD203" s="194"/>
      <c r="AE203" s="194"/>
      <c r="AF203" s="194"/>
      <c r="AG203" s="194"/>
      <c r="AH203" s="194"/>
      <c r="AI203" s="194"/>
      <c r="AJ203" s="194"/>
      <c r="AK203" s="194"/>
      <c r="AL203" s="194"/>
      <c r="AM203" s="194"/>
      <c r="AN203" s="194"/>
      <c r="AO203" s="194"/>
      <c r="AP203" s="194"/>
      <c r="AQ203" s="194"/>
      <c r="AR203" s="194"/>
      <c r="AS203" s="194"/>
      <c r="AT203" s="194"/>
      <c r="AU203" s="194"/>
      <c r="AV203" s="194"/>
      <c r="AW203" s="194"/>
      <c r="AX203" s="194"/>
      <c r="AY203" s="194"/>
      <c r="AZ203" s="194"/>
      <c r="BA203" s="194"/>
      <c r="BB203" s="194"/>
      <c r="BC203" s="194"/>
      <c r="BD203" s="194"/>
      <c r="BE203" s="194"/>
      <c r="BF203" s="194"/>
      <c r="BG203" s="194"/>
      <c r="BH203" s="194"/>
      <c r="BI203" s="194"/>
      <c r="BJ203" s="194"/>
      <c r="BK203" s="194"/>
      <c r="BL203" s="194"/>
      <c r="BM203" s="194"/>
      <c r="BN203" s="194"/>
      <c r="BO203" s="194"/>
      <c r="BP203" s="194"/>
      <c r="BQ203" s="194"/>
      <c r="BR203" s="194"/>
      <c r="BS203" s="194"/>
      <c r="BT203" s="194"/>
      <c r="BU203" s="194"/>
      <c r="BV203" s="194"/>
      <c r="BW203" s="194"/>
      <c r="BX203" s="194"/>
      <c r="BY203" s="194"/>
      <c r="BZ203" s="194"/>
      <c r="CA203" s="194"/>
      <c r="CB203" s="194"/>
      <c r="CC203" s="194"/>
      <c r="CD203" s="194"/>
      <c r="CE203" s="194"/>
      <c r="CF203" s="194"/>
      <c r="CG203" s="194"/>
      <c r="CH203" s="194"/>
      <c r="CI203" s="194"/>
      <c r="CJ203" s="194"/>
      <c r="CK203" s="194"/>
      <c r="CL203" s="194"/>
      <c r="CM203" s="194"/>
      <c r="CN203" s="194"/>
      <c r="CO203" s="194"/>
      <c r="CP203" s="194"/>
      <c r="CQ203" s="194"/>
      <c r="CR203" s="194"/>
      <c r="CS203" s="194"/>
      <c r="CT203" s="194"/>
      <c r="CU203" s="194"/>
      <c r="CV203" s="194"/>
      <c r="CW203" s="194"/>
      <c r="CX203" s="194"/>
      <c r="CY203" s="194"/>
      <c r="CZ203" s="194"/>
      <c r="DA203" s="194"/>
    </row>
    <row r="204" spans="1:106" s="193" customFormat="1">
      <c r="A204" s="194" t="s">
        <v>825</v>
      </c>
      <c r="B204" s="194">
        <v>22107380</v>
      </c>
      <c r="C204" s="222" t="s">
        <v>826</v>
      </c>
      <c r="D204" s="194"/>
      <c r="E204" s="194"/>
      <c r="F204" s="194"/>
      <c r="G204" s="232"/>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c r="AF204" s="194"/>
      <c r="AG204" s="194"/>
      <c r="AH204" s="194"/>
      <c r="AI204" s="194"/>
      <c r="AJ204" s="194"/>
      <c r="AK204" s="194"/>
      <c r="AL204" s="194"/>
      <c r="AM204" s="194"/>
      <c r="AN204" s="194"/>
      <c r="AO204" s="194"/>
      <c r="AP204" s="194"/>
      <c r="AQ204" s="194"/>
      <c r="AR204" s="194"/>
      <c r="AS204" s="194"/>
      <c r="AT204" s="194"/>
      <c r="AU204" s="194"/>
      <c r="AV204" s="194"/>
      <c r="AW204" s="194"/>
      <c r="AX204" s="194"/>
      <c r="AY204" s="194"/>
      <c r="AZ204" s="194"/>
      <c r="BA204" s="194"/>
      <c r="BB204" s="194"/>
      <c r="BC204" s="194"/>
      <c r="BD204" s="194"/>
      <c r="BE204" s="194"/>
      <c r="BF204" s="194"/>
      <c r="BG204" s="194"/>
      <c r="BH204" s="194"/>
      <c r="BI204" s="194"/>
      <c r="BJ204" s="194"/>
      <c r="BK204" s="194"/>
      <c r="BL204" s="194"/>
      <c r="BM204" s="194"/>
      <c r="BN204" s="194"/>
      <c r="BO204" s="194"/>
      <c r="BP204" s="194"/>
      <c r="BQ204" s="194"/>
      <c r="BR204" s="194"/>
      <c r="BS204" s="194"/>
      <c r="BT204" s="194"/>
      <c r="BU204" s="194"/>
      <c r="BV204" s="194"/>
      <c r="BW204" s="194"/>
      <c r="BX204" s="194"/>
      <c r="BY204" s="194"/>
      <c r="BZ204" s="194"/>
      <c r="CA204" s="194"/>
      <c r="CB204" s="194"/>
      <c r="CC204" s="194"/>
      <c r="CD204" s="194"/>
      <c r="CE204" s="194"/>
      <c r="CF204" s="194"/>
      <c r="CG204" s="194"/>
      <c r="CH204" s="194"/>
      <c r="CI204" s="194"/>
      <c r="CJ204" s="194"/>
      <c r="CK204" s="194"/>
      <c r="CL204" s="194"/>
      <c r="CM204" s="194"/>
      <c r="CN204" s="194"/>
      <c r="CO204" s="194"/>
      <c r="CP204" s="194"/>
      <c r="CQ204" s="194"/>
      <c r="CR204" s="194"/>
      <c r="CS204" s="194"/>
      <c r="CT204" s="194"/>
      <c r="CU204" s="194"/>
      <c r="CV204" s="194"/>
      <c r="CW204" s="194"/>
      <c r="CX204" s="194"/>
      <c r="CY204" s="194"/>
      <c r="CZ204" s="194"/>
      <c r="DA204" s="194"/>
    </row>
    <row r="205" spans="1:106" s="189" customFormat="1">
      <c r="A205" s="185" t="s">
        <v>829</v>
      </c>
      <c r="B205" s="185">
        <v>22108775</v>
      </c>
      <c r="C205" s="230" t="s">
        <v>830</v>
      </c>
      <c r="D205" s="185"/>
      <c r="E205" s="185"/>
      <c r="F205" s="185"/>
      <c r="G205" s="229"/>
      <c r="H205" s="185"/>
      <c r="I205" s="185"/>
      <c r="J205" s="185"/>
      <c r="K205" s="185"/>
      <c r="L205" s="185"/>
      <c r="M205" s="185"/>
      <c r="N205" s="185"/>
      <c r="O205" s="185"/>
      <c r="P205" s="185"/>
      <c r="Q205" s="185"/>
      <c r="R205" s="185"/>
      <c r="S205" s="185"/>
      <c r="T205" s="185"/>
      <c r="U205" s="185"/>
      <c r="V205" s="185"/>
      <c r="W205" s="185"/>
      <c r="X205" s="185"/>
      <c r="Y205" s="185"/>
      <c r="Z205" s="185"/>
      <c r="AA205" s="185"/>
      <c r="AB205" s="185"/>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c r="AY205" s="185"/>
      <c r="AZ205" s="185"/>
      <c r="BA205" s="185"/>
      <c r="BB205" s="185"/>
      <c r="BC205" s="185"/>
      <c r="BD205" s="185"/>
      <c r="BE205" s="185"/>
      <c r="BF205" s="185"/>
      <c r="BG205" s="185"/>
      <c r="BH205" s="185"/>
      <c r="BI205" s="185"/>
      <c r="BJ205" s="185"/>
      <c r="BK205" s="185"/>
      <c r="BL205" s="185"/>
      <c r="BM205" s="185"/>
      <c r="BN205" s="185"/>
      <c r="BO205" s="185"/>
      <c r="BP205" s="185"/>
      <c r="BQ205" s="185"/>
      <c r="BR205" s="185"/>
      <c r="BS205" s="185"/>
      <c r="BT205" s="185"/>
      <c r="BU205" s="185"/>
      <c r="BV205" s="185"/>
      <c r="BW205" s="185"/>
      <c r="BX205" s="185"/>
      <c r="BY205" s="185"/>
      <c r="BZ205" s="185"/>
      <c r="CA205" s="185"/>
      <c r="CB205" s="185"/>
      <c r="CC205" s="185"/>
      <c r="CD205" s="185"/>
      <c r="CE205" s="185"/>
      <c r="CF205" s="185"/>
      <c r="CG205" s="185"/>
      <c r="CH205" s="185"/>
      <c r="CI205" s="185"/>
      <c r="CJ205" s="185"/>
      <c r="CK205" s="185"/>
      <c r="CL205" s="185"/>
      <c r="CM205" s="185"/>
      <c r="CN205" s="185"/>
      <c r="CO205" s="185"/>
      <c r="CP205" s="185"/>
      <c r="CQ205" s="185"/>
      <c r="CR205" s="185"/>
      <c r="CS205" s="185"/>
      <c r="CT205" s="185"/>
      <c r="CU205" s="185"/>
      <c r="CV205" s="185"/>
      <c r="CW205" s="185"/>
      <c r="CX205" s="185"/>
      <c r="CY205" s="185"/>
      <c r="CZ205" s="185"/>
      <c r="DA205" s="185"/>
    </row>
    <row r="206" spans="1:106" s="189" customFormat="1">
      <c r="A206" s="185" t="s">
        <v>833</v>
      </c>
      <c r="B206" s="186">
        <v>22103595</v>
      </c>
      <c r="C206" s="190" t="s">
        <v>1618</v>
      </c>
      <c r="D206" s="188">
        <v>44790</v>
      </c>
      <c r="E206" s="186">
        <v>88.5</v>
      </c>
      <c r="F206" s="186">
        <v>11.2</v>
      </c>
      <c r="G206" s="191">
        <v>14.3</v>
      </c>
      <c r="H206" s="186">
        <v>45.5</v>
      </c>
      <c r="I206" s="186">
        <v>26</v>
      </c>
      <c r="J206" s="186">
        <v>4</v>
      </c>
      <c r="K206" s="186">
        <v>1</v>
      </c>
      <c r="L206" s="186">
        <v>1</v>
      </c>
      <c r="M206" s="186">
        <v>0</v>
      </c>
      <c r="N206" s="186">
        <v>7</v>
      </c>
      <c r="O206" s="186">
        <v>9</v>
      </c>
      <c r="P206" s="186">
        <v>780</v>
      </c>
      <c r="Q206" s="186">
        <v>33.5</v>
      </c>
      <c r="R206" s="186">
        <v>22.5</v>
      </c>
      <c r="S206" s="186">
        <v>20.5</v>
      </c>
      <c r="T206" s="188">
        <v>30234</v>
      </c>
      <c r="U206" s="186">
        <v>37.479999999999997</v>
      </c>
      <c r="V206" s="186">
        <v>0</v>
      </c>
      <c r="W206" s="186">
        <v>1</v>
      </c>
      <c r="X206" s="186">
        <v>0</v>
      </c>
      <c r="Y206" s="186">
        <v>1</v>
      </c>
      <c r="Z206" s="186">
        <v>0</v>
      </c>
      <c r="AA206" s="186">
        <v>0</v>
      </c>
      <c r="AB206" s="186">
        <v>0</v>
      </c>
      <c r="AC206" s="186">
        <v>1</v>
      </c>
      <c r="AD206" s="186">
        <v>0</v>
      </c>
      <c r="AE206" s="186">
        <v>0</v>
      </c>
      <c r="AF206" s="186">
        <v>0</v>
      </c>
      <c r="AG206" s="186">
        <v>0</v>
      </c>
      <c r="AH206" s="186">
        <v>1</v>
      </c>
      <c r="AI206" s="186">
        <v>0</v>
      </c>
      <c r="AJ206" s="186">
        <v>0</v>
      </c>
      <c r="AK206" s="186">
        <v>0</v>
      </c>
      <c r="AL206" s="186">
        <v>0</v>
      </c>
      <c r="AM206" s="186">
        <v>0</v>
      </c>
      <c r="AN206" s="186">
        <v>0</v>
      </c>
      <c r="AO206" s="186">
        <v>0</v>
      </c>
      <c r="AP206" s="186">
        <v>0</v>
      </c>
      <c r="AQ206" s="186">
        <v>0</v>
      </c>
      <c r="AR206" s="186">
        <v>1</v>
      </c>
      <c r="AS206" s="186">
        <v>0</v>
      </c>
      <c r="AT206" s="186">
        <v>0</v>
      </c>
      <c r="AU206" s="186">
        <v>0</v>
      </c>
      <c r="AV206" s="186">
        <v>0</v>
      </c>
      <c r="AW206" s="186">
        <v>0</v>
      </c>
      <c r="AX206" s="186">
        <v>0</v>
      </c>
      <c r="AY206" s="186">
        <v>0</v>
      </c>
      <c r="AZ206" s="186">
        <v>0</v>
      </c>
      <c r="BA206" s="186">
        <v>0</v>
      </c>
      <c r="BB206" s="186">
        <v>0</v>
      </c>
      <c r="BC206" s="186">
        <v>0</v>
      </c>
      <c r="BD206" s="186">
        <v>0</v>
      </c>
      <c r="BE206" s="186">
        <v>0</v>
      </c>
      <c r="BF206" s="186">
        <v>0</v>
      </c>
      <c r="BG206" s="186">
        <v>0</v>
      </c>
      <c r="BH206" s="186">
        <v>0</v>
      </c>
      <c r="BI206" s="186">
        <v>0</v>
      </c>
      <c r="BJ206" s="186">
        <v>0</v>
      </c>
      <c r="BK206" s="186">
        <v>1</v>
      </c>
      <c r="BL206" s="186">
        <v>0</v>
      </c>
      <c r="BM206" s="186">
        <v>1</v>
      </c>
      <c r="BN206" s="186">
        <v>1</v>
      </c>
      <c r="BO206" s="186">
        <v>0</v>
      </c>
      <c r="BP206" s="186">
        <v>0</v>
      </c>
      <c r="BQ206" s="186">
        <v>1</v>
      </c>
      <c r="BR206" s="186">
        <v>0</v>
      </c>
      <c r="BS206" s="186">
        <v>1</v>
      </c>
      <c r="BT206" s="186">
        <v>1</v>
      </c>
      <c r="BU206" s="186">
        <v>0</v>
      </c>
      <c r="BV206" s="186">
        <v>0</v>
      </c>
      <c r="BW206" s="186">
        <v>0</v>
      </c>
      <c r="BX206" s="186">
        <v>0</v>
      </c>
      <c r="BY206" s="186">
        <v>0</v>
      </c>
      <c r="BZ206" s="186">
        <v>1</v>
      </c>
      <c r="CA206" s="186" t="s">
        <v>1619</v>
      </c>
      <c r="CB206" s="186">
        <v>1</v>
      </c>
      <c r="CC206" s="190" t="s">
        <v>1057</v>
      </c>
      <c r="CD206" s="186">
        <v>1</v>
      </c>
      <c r="CE206" s="186" t="s">
        <v>946</v>
      </c>
      <c r="CF206" s="190" t="s">
        <v>1620</v>
      </c>
      <c r="CG206" s="186">
        <v>1</v>
      </c>
      <c r="CH206" s="186" t="s">
        <v>1621</v>
      </c>
      <c r="CI206" s="186">
        <v>0</v>
      </c>
      <c r="CJ206" s="186" t="s">
        <v>947</v>
      </c>
      <c r="CK206" s="186" t="s">
        <v>947</v>
      </c>
      <c r="CL206" s="186">
        <v>1</v>
      </c>
      <c r="CM206" s="186" t="s">
        <v>946</v>
      </c>
      <c r="CN206" s="190" t="s">
        <v>1622</v>
      </c>
      <c r="CO206" s="190" t="s">
        <v>1060</v>
      </c>
      <c r="CP206" s="186" t="s">
        <v>946</v>
      </c>
      <c r="CQ206" s="190" t="s">
        <v>993</v>
      </c>
      <c r="CR206" s="190" t="s">
        <v>1623</v>
      </c>
      <c r="CS206" s="186" t="s">
        <v>1624</v>
      </c>
      <c r="CT206" s="190" t="s">
        <v>1127</v>
      </c>
      <c r="CU206" s="186">
        <v>0</v>
      </c>
      <c r="CV206" s="186" t="s">
        <v>947</v>
      </c>
      <c r="CW206" s="186" t="s">
        <v>947</v>
      </c>
      <c r="CX206" s="186">
        <v>1</v>
      </c>
      <c r="CY206" s="190" t="s">
        <v>1149</v>
      </c>
      <c r="CZ206" s="186">
        <v>2</v>
      </c>
      <c r="DA206" s="186"/>
      <c r="DB206" s="187"/>
    </row>
    <row r="207" spans="1:106" s="189" customFormat="1">
      <c r="A207" s="185" t="s">
        <v>838</v>
      </c>
      <c r="B207" s="185">
        <v>22109382</v>
      </c>
      <c r="C207" s="230" t="s">
        <v>839</v>
      </c>
      <c r="D207" s="185"/>
      <c r="E207" s="185"/>
      <c r="F207" s="185"/>
      <c r="G207" s="229"/>
      <c r="H207" s="185"/>
      <c r="I207" s="185"/>
      <c r="J207" s="185"/>
      <c r="K207" s="185"/>
      <c r="L207" s="185"/>
      <c r="M207" s="185"/>
      <c r="N207" s="185"/>
      <c r="O207" s="185"/>
      <c r="P207" s="185"/>
      <c r="Q207" s="185"/>
      <c r="R207" s="185"/>
      <c r="S207" s="185"/>
      <c r="T207" s="185"/>
      <c r="U207" s="185"/>
      <c r="V207" s="185"/>
      <c r="W207" s="185"/>
      <c r="X207" s="185"/>
      <c r="Y207" s="185"/>
      <c r="Z207" s="185"/>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c r="AY207" s="185"/>
      <c r="AZ207" s="185"/>
      <c r="BA207" s="185"/>
      <c r="BB207" s="185"/>
      <c r="BC207" s="185"/>
      <c r="BD207" s="185"/>
      <c r="BE207" s="185"/>
      <c r="BF207" s="185"/>
      <c r="BG207" s="185"/>
      <c r="BH207" s="185"/>
      <c r="BI207" s="185"/>
      <c r="BJ207" s="185"/>
      <c r="BK207" s="185"/>
      <c r="BL207" s="185"/>
      <c r="BM207" s="185"/>
      <c r="BN207" s="185"/>
      <c r="BO207" s="185"/>
      <c r="BP207" s="185"/>
      <c r="BQ207" s="185"/>
      <c r="BR207" s="185"/>
      <c r="BS207" s="185"/>
      <c r="BT207" s="185"/>
      <c r="BU207" s="185"/>
      <c r="BV207" s="185"/>
      <c r="BW207" s="185"/>
      <c r="BX207" s="185"/>
      <c r="BY207" s="185"/>
      <c r="BZ207" s="185"/>
      <c r="CA207" s="185"/>
      <c r="CB207" s="185"/>
      <c r="CC207" s="185"/>
      <c r="CD207" s="185"/>
      <c r="CE207" s="185"/>
      <c r="CF207" s="185"/>
      <c r="CG207" s="185"/>
      <c r="CH207" s="185"/>
      <c r="CI207" s="185"/>
      <c r="CJ207" s="185"/>
      <c r="CK207" s="185"/>
      <c r="CL207" s="185"/>
      <c r="CM207" s="185"/>
      <c r="CN207" s="185"/>
      <c r="CO207" s="185"/>
      <c r="CP207" s="185"/>
      <c r="CQ207" s="185"/>
      <c r="CR207" s="185"/>
      <c r="CS207" s="185"/>
      <c r="CT207" s="185"/>
      <c r="CU207" s="185"/>
      <c r="CV207" s="185"/>
      <c r="CW207" s="185"/>
      <c r="CX207" s="185"/>
      <c r="CY207" s="185"/>
      <c r="CZ207" s="185"/>
      <c r="DA207" s="185"/>
    </row>
    <row r="1048576" spans="90:90">
      <c r="CL1048576" s="1">
        <f>SUM(CL4:CL1048575)</f>
        <v>24</v>
      </c>
    </row>
  </sheetData>
  <autoFilter ref="A1:DB207" xr:uid="{00000000-0009-0000-0000-000001000000}"/>
  <phoneticPr fontId="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zoomScale="150" workbookViewId="0">
      <selection activeCell="C13" sqref="C13"/>
    </sheetView>
  </sheetViews>
  <sheetFormatPr baseColWidth="10" defaultColWidth="11.5" defaultRowHeight="15"/>
  <cols>
    <col min="1" max="1" width="25.33203125" bestFit="1" customWidth="1"/>
    <col min="2" max="2" width="8" bestFit="1" customWidth="1"/>
    <col min="3" max="3" width="23.1640625" bestFit="1" customWidth="1"/>
    <col min="4" max="4" width="7.33203125" bestFit="1" customWidth="1"/>
    <col min="5" max="6" width="15.6640625" bestFit="1" customWidth="1"/>
    <col min="7" max="7" width="20.1640625" bestFit="1" customWidth="1"/>
    <col min="8" max="8" width="17.6640625" bestFit="1" customWidth="1"/>
    <col min="9" max="9" width="5.33203125" bestFit="1" customWidth="1"/>
  </cols>
  <sheetData>
    <row r="1" spans="1:8">
      <c r="A1" t="s">
        <v>2327</v>
      </c>
      <c r="B1" t="s">
        <v>2232</v>
      </c>
      <c r="C1" t="s">
        <v>2233</v>
      </c>
      <c r="D1" t="s">
        <v>2234</v>
      </c>
    </row>
    <row r="2" spans="1:8">
      <c r="A2" s="327" t="s">
        <v>2254</v>
      </c>
      <c r="B2" t="s">
        <v>2283</v>
      </c>
      <c r="C2" t="s">
        <v>2200</v>
      </c>
      <c r="D2" t="s">
        <v>2235</v>
      </c>
      <c r="E2" t="s">
        <v>2236</v>
      </c>
    </row>
    <row r="3" spans="1:8">
      <c r="A3" s="327"/>
      <c r="B3" s="31" t="s">
        <v>2285</v>
      </c>
      <c r="C3" t="s">
        <v>2237</v>
      </c>
      <c r="D3" s="34" t="s">
        <v>2320</v>
      </c>
    </row>
    <row r="4" spans="1:8">
      <c r="A4" s="327"/>
      <c r="B4" s="31" t="s">
        <v>2286</v>
      </c>
      <c r="C4" t="s">
        <v>2238</v>
      </c>
      <c r="D4" s="35" t="s">
        <v>2320</v>
      </c>
    </row>
    <row r="5" spans="1:8">
      <c r="A5" s="327"/>
      <c r="B5" s="31" t="s">
        <v>2333</v>
      </c>
      <c r="C5" t="s">
        <v>1793</v>
      </c>
      <c r="D5" s="35" t="s">
        <v>2334</v>
      </c>
    </row>
    <row r="6" spans="1:8">
      <c r="A6" s="327"/>
      <c r="B6" s="31" t="s">
        <v>2332</v>
      </c>
      <c r="C6" t="s">
        <v>2239</v>
      </c>
      <c r="D6" s="35" t="s">
        <v>2320</v>
      </c>
    </row>
    <row r="7" spans="1:8">
      <c r="A7" s="327" t="s">
        <v>2255</v>
      </c>
      <c r="B7" s="31" t="s">
        <v>2288</v>
      </c>
      <c r="C7" t="s">
        <v>2240</v>
      </c>
      <c r="D7" s="35" t="s">
        <v>2320</v>
      </c>
    </row>
    <row r="8" spans="1:8">
      <c r="A8" s="327"/>
      <c r="B8" s="31" t="s">
        <v>2289</v>
      </c>
      <c r="C8" t="s">
        <v>2241</v>
      </c>
      <c r="D8" s="35" t="s">
        <v>2320</v>
      </c>
    </row>
    <row r="9" spans="1:8">
      <c r="A9" s="327"/>
      <c r="B9" s="31" t="s">
        <v>2290</v>
      </c>
      <c r="C9" t="s">
        <v>2242</v>
      </c>
      <c r="D9" s="35" t="s">
        <v>2320</v>
      </c>
    </row>
    <row r="10" spans="1:8">
      <c r="A10" t="s">
        <v>2243</v>
      </c>
      <c r="B10" t="s">
        <v>2282</v>
      </c>
      <c r="C10" t="s">
        <v>2243</v>
      </c>
      <c r="D10" t="s">
        <v>2244</v>
      </c>
      <c r="E10" t="s">
        <v>2245</v>
      </c>
      <c r="F10" t="s">
        <v>2246</v>
      </c>
      <c r="G10" t="s">
        <v>2247</v>
      </c>
      <c r="H10" t="s">
        <v>2248</v>
      </c>
    </row>
    <row r="11" spans="1:8" ht="16">
      <c r="A11" t="s">
        <v>2266</v>
      </c>
      <c r="B11" t="s">
        <v>2291</v>
      </c>
      <c r="C11" s="33" t="s">
        <v>2249</v>
      </c>
      <c r="D11" t="s">
        <v>2250</v>
      </c>
      <c r="E11" t="s">
        <v>2251</v>
      </c>
      <c r="F11" t="s">
        <v>2252</v>
      </c>
      <c r="G11" t="s">
        <v>2253</v>
      </c>
    </row>
    <row r="12" spans="1:8">
      <c r="A12" s="327" t="s">
        <v>2265</v>
      </c>
      <c r="B12" t="s">
        <v>2292</v>
      </c>
      <c r="C12" t="s">
        <v>2323</v>
      </c>
      <c r="D12" t="s">
        <v>2324</v>
      </c>
      <c r="E12" t="s">
        <v>2325</v>
      </c>
    </row>
    <row r="13" spans="1:8">
      <c r="A13" s="327"/>
      <c r="B13" s="31" t="s">
        <v>2335</v>
      </c>
      <c r="C13" t="s">
        <v>2202</v>
      </c>
      <c r="D13" t="s">
        <v>2330</v>
      </c>
    </row>
    <row r="14" spans="1:8">
      <c r="A14" s="327"/>
      <c r="B14" t="s">
        <v>2293</v>
      </c>
      <c r="C14" t="s">
        <v>2326</v>
      </c>
      <c r="D14" t="s">
        <v>2256</v>
      </c>
      <c r="E14" t="s">
        <v>2257</v>
      </c>
      <c r="F14" t="s">
        <v>2258</v>
      </c>
      <c r="G14" t="s">
        <v>2259</v>
      </c>
      <c r="H14" t="s">
        <v>2260</v>
      </c>
    </row>
    <row r="15" spans="1:8">
      <c r="A15" s="327"/>
      <c r="B15" s="31" t="s">
        <v>2294</v>
      </c>
      <c r="C15" t="s">
        <v>2328</v>
      </c>
      <c r="D15" s="35" t="s">
        <v>2321</v>
      </c>
    </row>
    <row r="16" spans="1:8">
      <c r="A16" s="327"/>
      <c r="B16" t="s">
        <v>2336</v>
      </c>
      <c r="C16" t="s">
        <v>2261</v>
      </c>
      <c r="D16" t="s">
        <v>2244</v>
      </c>
      <c r="E16" t="s">
        <v>2262</v>
      </c>
      <c r="F16" t="s">
        <v>2263</v>
      </c>
      <c r="G16" t="s">
        <v>2264</v>
      </c>
      <c r="H16" t="s">
        <v>2253</v>
      </c>
    </row>
    <row r="17" spans="1:8">
      <c r="A17" s="327" t="s">
        <v>2267</v>
      </c>
      <c r="B17" t="s">
        <v>2295</v>
      </c>
      <c r="C17" t="s">
        <v>2302</v>
      </c>
      <c r="D17" t="s">
        <v>2338</v>
      </c>
      <c r="E17" t="s">
        <v>2340</v>
      </c>
    </row>
    <row r="18" spans="1:8">
      <c r="A18" s="327"/>
      <c r="B18" t="s">
        <v>2296</v>
      </c>
      <c r="C18" t="s">
        <v>2303</v>
      </c>
      <c r="D18" t="s">
        <v>2338</v>
      </c>
      <c r="E18" t="s">
        <v>2339</v>
      </c>
    </row>
    <row r="19" spans="1:8">
      <c r="A19" s="327"/>
      <c r="B19" t="s">
        <v>2297</v>
      </c>
      <c r="C19" t="s">
        <v>2304</v>
      </c>
      <c r="D19" t="s">
        <v>2338</v>
      </c>
      <c r="E19" t="s">
        <v>2339</v>
      </c>
    </row>
    <row r="20" spans="1:8">
      <c r="A20" s="327"/>
      <c r="B20" t="s">
        <v>2298</v>
      </c>
      <c r="C20" t="s">
        <v>2305</v>
      </c>
      <c r="D20" t="s">
        <v>2338</v>
      </c>
      <c r="E20" t="s">
        <v>2339</v>
      </c>
    </row>
    <row r="21" spans="1:8">
      <c r="A21" s="327"/>
      <c r="B21" t="s">
        <v>2299</v>
      </c>
      <c r="C21" t="s">
        <v>2306</v>
      </c>
      <c r="D21" t="s">
        <v>2338</v>
      </c>
      <c r="E21" t="s">
        <v>2339</v>
      </c>
    </row>
    <row r="22" spans="1:8">
      <c r="A22" s="327"/>
      <c r="B22" s="31" t="s">
        <v>2300</v>
      </c>
      <c r="C22" t="s">
        <v>2307</v>
      </c>
      <c r="D22" t="s">
        <v>2338</v>
      </c>
      <c r="E22" t="s">
        <v>2339</v>
      </c>
    </row>
    <row r="23" spans="1:8">
      <c r="A23" s="327"/>
      <c r="B23" s="31" t="s">
        <v>2301</v>
      </c>
      <c r="C23" t="s">
        <v>2307</v>
      </c>
      <c r="D23" t="s">
        <v>2338</v>
      </c>
      <c r="E23" t="s">
        <v>2339</v>
      </c>
    </row>
    <row r="24" spans="1:8">
      <c r="A24" s="327" t="s">
        <v>2274</v>
      </c>
      <c r="B24" t="s">
        <v>2308</v>
      </c>
      <c r="C24" t="s">
        <v>2268</v>
      </c>
      <c r="D24" t="s">
        <v>2244</v>
      </c>
      <c r="E24" t="s">
        <v>2269</v>
      </c>
    </row>
    <row r="25" spans="1:8">
      <c r="A25" s="327"/>
      <c r="B25" s="36" t="s">
        <v>2309</v>
      </c>
      <c r="C25" t="s">
        <v>2203</v>
      </c>
      <c r="D25" s="34" t="s">
        <v>2321</v>
      </c>
    </row>
    <row r="26" spans="1:8">
      <c r="A26" s="327"/>
      <c r="B26" s="36" t="s">
        <v>2310</v>
      </c>
      <c r="C26" t="s">
        <v>2227</v>
      </c>
      <c r="D26" s="35" t="s">
        <v>2321</v>
      </c>
    </row>
    <row r="27" spans="1:8">
      <c r="A27" s="327"/>
      <c r="B27" s="36" t="s">
        <v>2311</v>
      </c>
      <c r="C27" t="s">
        <v>2226</v>
      </c>
      <c r="D27" s="35" t="s">
        <v>2321</v>
      </c>
    </row>
    <row r="28" spans="1:8">
      <c r="A28" s="327"/>
      <c r="B28" s="36" t="s">
        <v>2312</v>
      </c>
      <c r="C28" t="s">
        <v>2226</v>
      </c>
      <c r="D28" s="35" t="s">
        <v>2321</v>
      </c>
    </row>
    <row r="29" spans="1:8" ht="14" customHeight="1">
      <c r="A29" s="327" t="s">
        <v>2275</v>
      </c>
      <c r="B29" t="s">
        <v>2313</v>
      </c>
      <c r="C29" t="s">
        <v>2270</v>
      </c>
      <c r="D29" t="s">
        <v>2244</v>
      </c>
      <c r="E29" t="s">
        <v>2269</v>
      </c>
    </row>
    <row r="30" spans="1:8" ht="14" customHeight="1">
      <c r="A30" s="327"/>
      <c r="B30" s="36" t="s">
        <v>2314</v>
      </c>
      <c r="C30" t="s">
        <v>2225</v>
      </c>
      <c r="D30" s="37" t="s">
        <v>2330</v>
      </c>
    </row>
    <row r="31" spans="1:8">
      <c r="A31" s="327"/>
      <c r="B31" t="s">
        <v>2329</v>
      </c>
      <c r="C31" t="s">
        <v>2271</v>
      </c>
      <c r="D31" t="s">
        <v>2244</v>
      </c>
      <c r="E31" t="s">
        <v>2272</v>
      </c>
      <c r="F31" t="s">
        <v>2273</v>
      </c>
      <c r="G31" t="s">
        <v>2331</v>
      </c>
    </row>
    <row r="32" spans="1:8">
      <c r="A32" s="327" t="s">
        <v>2279</v>
      </c>
      <c r="B32" t="s">
        <v>2315</v>
      </c>
      <c r="C32" t="s">
        <v>2228</v>
      </c>
      <c r="D32" t="s">
        <v>2244</v>
      </c>
      <c r="E32" t="s">
        <v>2277</v>
      </c>
      <c r="F32" t="s">
        <v>2230</v>
      </c>
      <c r="G32" t="s">
        <v>2278</v>
      </c>
      <c r="H32" t="s">
        <v>2230</v>
      </c>
    </row>
    <row r="33" spans="1:8">
      <c r="A33" s="327"/>
      <c r="B33" t="s">
        <v>2316</v>
      </c>
      <c r="C33" t="s">
        <v>2229</v>
      </c>
      <c r="D33" t="s">
        <v>2244</v>
      </c>
      <c r="E33" t="s">
        <v>2276</v>
      </c>
      <c r="F33" t="s">
        <v>2230</v>
      </c>
      <c r="G33" t="s">
        <v>2278</v>
      </c>
      <c r="H33" t="s">
        <v>2230</v>
      </c>
    </row>
    <row r="34" spans="1:8">
      <c r="A34" s="327"/>
      <c r="B34" t="s">
        <v>2317</v>
      </c>
      <c r="C34" t="s">
        <v>2271</v>
      </c>
      <c r="D34" t="s">
        <v>2244</v>
      </c>
      <c r="E34" t="s">
        <v>2272</v>
      </c>
      <c r="F34" t="s">
        <v>2273</v>
      </c>
      <c r="G34" t="s">
        <v>2331</v>
      </c>
    </row>
    <row r="35" spans="1:8">
      <c r="A35" s="327" t="s">
        <v>2280</v>
      </c>
      <c r="B35" t="s">
        <v>2318</v>
      </c>
      <c r="C35" t="s">
        <v>2281</v>
      </c>
      <c r="D35" t="s">
        <v>2244</v>
      </c>
      <c r="E35" t="s">
        <v>2269</v>
      </c>
      <c r="F35" t="s">
        <v>2202</v>
      </c>
      <c r="G35" t="s">
        <v>2230</v>
      </c>
    </row>
    <row r="36" spans="1:8">
      <c r="A36" s="327"/>
      <c r="B36" t="s">
        <v>2319</v>
      </c>
      <c r="C36" t="s">
        <v>2271</v>
      </c>
      <c r="D36" t="s">
        <v>2244</v>
      </c>
      <c r="E36" t="s">
        <v>2272</v>
      </c>
      <c r="F36" t="s">
        <v>2273</v>
      </c>
      <c r="G36" t="s">
        <v>2331</v>
      </c>
    </row>
  </sheetData>
  <mergeCells count="8">
    <mergeCell ref="A32:A34"/>
    <mergeCell ref="A35:A36"/>
    <mergeCell ref="A29:A31"/>
    <mergeCell ref="A24:A28"/>
    <mergeCell ref="A2:A6"/>
    <mergeCell ref="A7:A9"/>
    <mergeCell ref="A12:A16"/>
    <mergeCell ref="A17:A23"/>
  </mergeCells>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07"/>
  <sheetViews>
    <sheetView zoomScale="130" zoomScaleNormal="130" workbookViewId="0">
      <pane xSplit="3" ySplit="1" topLeftCell="J2" activePane="bottomRight" state="frozen"/>
      <selection pane="topRight" activeCell="D1" sqref="D1"/>
      <selection pane="bottomLeft" activeCell="A2" sqref="A2"/>
      <selection pane="bottomRight" activeCell="H10" sqref="H10"/>
    </sheetView>
  </sheetViews>
  <sheetFormatPr baseColWidth="10" defaultColWidth="11.5" defaultRowHeight="16"/>
  <cols>
    <col min="1" max="1" width="9.33203125" style="1" bestFit="1" customWidth="1"/>
    <col min="2" max="2" width="11.5" style="1" bestFit="1" customWidth="1"/>
    <col min="3" max="3" width="16.1640625" style="1" bestFit="1" customWidth="1"/>
    <col min="4" max="4" width="11" bestFit="1" customWidth="1"/>
    <col min="5" max="7" width="7" bestFit="1" customWidth="1"/>
    <col min="8" max="8" width="8.5" bestFit="1" customWidth="1"/>
    <col min="9" max="9" width="10" bestFit="1" customWidth="1"/>
    <col min="10" max="11" width="12.6640625" customWidth="1"/>
    <col min="12" max="12" width="10.6640625" style="15" customWidth="1"/>
    <col min="13" max="13" width="10.6640625" style="220" bestFit="1" customWidth="1"/>
    <col min="14" max="15" width="10.6640625" bestFit="1" customWidth="1"/>
    <col min="16" max="16" width="14.6640625" bestFit="1" customWidth="1"/>
    <col min="17" max="19" width="8" bestFit="1" customWidth="1"/>
    <col min="20" max="22" width="7" bestFit="1" customWidth="1"/>
    <col min="23" max="23" width="38.6640625" bestFit="1" customWidth="1"/>
    <col min="24" max="24" width="19.33203125" bestFit="1" customWidth="1"/>
    <col min="25" max="26" width="7" bestFit="1" customWidth="1"/>
    <col min="27" max="27" width="11" bestFit="1" customWidth="1"/>
    <col min="28" max="28" width="10" bestFit="1" customWidth="1"/>
    <col min="29" max="31" width="7" bestFit="1" customWidth="1"/>
    <col min="32" max="32" width="11" bestFit="1" customWidth="1"/>
    <col min="33" max="33" width="11" style="221" bestFit="1" customWidth="1"/>
    <col min="34" max="34" width="7.6640625" bestFit="1" customWidth="1"/>
    <col min="35" max="36" width="11" bestFit="1" customWidth="1"/>
    <col min="37" max="37" width="7" bestFit="1" customWidth="1"/>
    <col min="38" max="38" width="11" bestFit="1" customWidth="1"/>
    <col min="39" max="39" width="7" bestFit="1" customWidth="1"/>
    <col min="40" max="41" width="11" bestFit="1" customWidth="1"/>
    <col min="42" max="42" width="9" bestFit="1" customWidth="1"/>
  </cols>
  <sheetData>
    <row r="1" spans="1:42">
      <c r="A1" s="1" t="s">
        <v>0</v>
      </c>
      <c r="B1" s="1" t="s">
        <v>1</v>
      </c>
      <c r="C1" s="1" t="s">
        <v>2</v>
      </c>
      <c r="D1" s="1" t="s">
        <v>2322</v>
      </c>
      <c r="E1" s="152" t="s">
        <v>2283</v>
      </c>
      <c r="F1" s="204" t="s">
        <v>2284</v>
      </c>
      <c r="G1" s="204" t="s">
        <v>2286</v>
      </c>
      <c r="H1" s="205" t="s">
        <v>2287</v>
      </c>
      <c r="I1" s="205" t="s">
        <v>2332</v>
      </c>
      <c r="J1" s="204" t="s">
        <v>2288</v>
      </c>
      <c r="K1" s="206" t="s">
        <v>2289</v>
      </c>
      <c r="L1" s="269" t="s">
        <v>2290</v>
      </c>
      <c r="M1" s="208" t="s">
        <v>2282</v>
      </c>
      <c r="N1" s="209" t="s">
        <v>2291</v>
      </c>
      <c r="O1" s="137" t="s">
        <v>2292</v>
      </c>
      <c r="P1" s="205" t="s">
        <v>2335</v>
      </c>
      <c r="Q1" s="137" t="s">
        <v>2293</v>
      </c>
      <c r="R1" s="205" t="s">
        <v>2294</v>
      </c>
      <c r="S1" s="205" t="s">
        <v>2336</v>
      </c>
      <c r="T1" s="31" t="s">
        <v>2295</v>
      </c>
      <c r="U1" s="210" t="s">
        <v>2296</v>
      </c>
      <c r="V1" s="210" t="s">
        <v>2297</v>
      </c>
      <c r="W1" s="207" t="s">
        <v>2298</v>
      </c>
      <c r="X1" s="207" t="s">
        <v>2299</v>
      </c>
      <c r="Y1" s="210" t="s">
        <v>2300</v>
      </c>
      <c r="Z1" s="210" t="s">
        <v>2301</v>
      </c>
      <c r="AA1" s="211" t="s">
        <v>2308</v>
      </c>
      <c r="AB1" s="207" t="s">
        <v>2309</v>
      </c>
      <c r="AC1" s="207" t="s">
        <v>2310</v>
      </c>
      <c r="AD1" s="207" t="s">
        <v>2311</v>
      </c>
      <c r="AE1" s="207" t="s">
        <v>2312</v>
      </c>
      <c r="AF1" s="209" t="s">
        <v>2313</v>
      </c>
      <c r="AG1" s="212" t="s">
        <v>2314</v>
      </c>
      <c r="AH1" s="209" t="s">
        <v>2329</v>
      </c>
      <c r="AI1" s="209" t="s">
        <v>2315</v>
      </c>
      <c r="AJ1" s="207" t="s">
        <v>2230</v>
      </c>
      <c r="AK1" s="211" t="s">
        <v>2316</v>
      </c>
      <c r="AL1" s="211" t="s">
        <v>2230</v>
      </c>
      <c r="AM1" s="31" t="s">
        <v>2317</v>
      </c>
      <c r="AN1" s="211" t="s">
        <v>2318</v>
      </c>
      <c r="AO1" s="210" t="s">
        <v>2230</v>
      </c>
      <c r="AP1" s="209">
        <v>10.199999999999999</v>
      </c>
    </row>
    <row r="2" spans="1:42" s="110" customFormat="1">
      <c r="A2" s="107" t="s">
        <v>15</v>
      </c>
      <c r="B2" s="107">
        <v>22104031</v>
      </c>
      <c r="C2" s="107" t="s">
        <v>16</v>
      </c>
      <c r="D2" s="213">
        <v>44917</v>
      </c>
      <c r="E2" s="110">
        <v>2</v>
      </c>
      <c r="F2" s="110">
        <v>91</v>
      </c>
      <c r="G2" s="110">
        <v>12.4</v>
      </c>
      <c r="H2" s="214">
        <f>G2/(F2/100)^2</f>
        <v>14.974036952058929</v>
      </c>
      <c r="I2" s="214"/>
      <c r="J2" s="213">
        <v>43970</v>
      </c>
      <c r="K2" s="213">
        <v>43974</v>
      </c>
      <c r="L2" s="262" t="s">
        <v>19</v>
      </c>
      <c r="M2" s="215" t="s">
        <v>2513</v>
      </c>
      <c r="N2" s="110">
        <v>1</v>
      </c>
      <c r="O2" s="110">
        <v>2</v>
      </c>
      <c r="P2" s="110" t="s">
        <v>2337</v>
      </c>
      <c r="Q2" s="110">
        <v>1.5</v>
      </c>
      <c r="R2" s="110">
        <v>210</v>
      </c>
      <c r="S2" s="110">
        <v>2</v>
      </c>
      <c r="T2" s="110">
        <v>0</v>
      </c>
      <c r="U2" s="110">
        <v>0</v>
      </c>
      <c r="V2" s="110">
        <v>0</v>
      </c>
      <c r="W2" s="110">
        <v>0</v>
      </c>
      <c r="X2" s="110">
        <v>0</v>
      </c>
      <c r="Y2" s="110">
        <v>0</v>
      </c>
      <c r="Z2" s="110">
        <v>0</v>
      </c>
      <c r="AA2" s="110">
        <v>0</v>
      </c>
      <c r="AB2" s="110">
        <v>0</v>
      </c>
      <c r="AC2" s="110">
        <v>0</v>
      </c>
      <c r="AD2" s="110">
        <v>0</v>
      </c>
      <c r="AE2" s="110">
        <v>0</v>
      </c>
      <c r="AF2" s="110">
        <v>1</v>
      </c>
      <c r="AG2" s="213">
        <v>44853</v>
      </c>
      <c r="AH2" s="110" t="s">
        <v>2341</v>
      </c>
      <c r="AI2" s="110">
        <v>0</v>
      </c>
      <c r="AJ2" s="110">
        <v>0</v>
      </c>
      <c r="AK2" s="110">
        <v>0</v>
      </c>
      <c r="AL2" s="110">
        <v>0</v>
      </c>
      <c r="AM2" s="110">
        <v>0</v>
      </c>
      <c r="AN2" s="110">
        <v>1</v>
      </c>
      <c r="AO2" s="213">
        <v>44880</v>
      </c>
      <c r="AP2" s="110">
        <v>0</v>
      </c>
    </row>
    <row r="3" spans="1:42" s="189" customFormat="1">
      <c r="A3" s="185" t="s">
        <v>21</v>
      </c>
      <c r="B3" s="185">
        <v>22103764</v>
      </c>
      <c r="C3" s="216" t="s">
        <v>1659</v>
      </c>
      <c r="D3" s="201">
        <v>44876</v>
      </c>
      <c r="E3" s="189">
        <v>1</v>
      </c>
      <c r="F3" s="272">
        <v>82.7</v>
      </c>
      <c r="G3" s="272">
        <v>11.3</v>
      </c>
      <c r="H3" s="281">
        <f>G3/(F3/100)^2</f>
        <v>16.522182858162175</v>
      </c>
      <c r="I3" s="272">
        <v>48.5</v>
      </c>
      <c r="J3" s="273">
        <v>43941</v>
      </c>
      <c r="K3" s="273">
        <v>43955</v>
      </c>
      <c r="L3" s="270">
        <v>38</v>
      </c>
      <c r="M3" s="217" t="s">
        <v>2342</v>
      </c>
      <c r="N3" s="189" t="s">
        <v>2343</v>
      </c>
      <c r="O3" s="189">
        <v>2</v>
      </c>
      <c r="P3" s="189" t="s">
        <v>2344</v>
      </c>
      <c r="Q3" s="189">
        <v>5</v>
      </c>
      <c r="R3" s="189">
        <v>240</v>
      </c>
      <c r="S3" s="189">
        <v>2.2999999999999998</v>
      </c>
      <c r="T3" s="189">
        <v>0</v>
      </c>
      <c r="U3" s="189">
        <v>0</v>
      </c>
      <c r="V3" s="189">
        <v>0</v>
      </c>
      <c r="W3" s="189" t="s">
        <v>2345</v>
      </c>
      <c r="X3" s="189" t="s">
        <v>2349</v>
      </c>
      <c r="Y3" s="189">
        <v>0</v>
      </c>
      <c r="Z3" s="189">
        <v>1</v>
      </c>
      <c r="AA3" s="189">
        <v>0</v>
      </c>
      <c r="AB3" s="189">
        <v>0</v>
      </c>
      <c r="AC3" s="189">
        <v>0</v>
      </c>
      <c r="AD3" s="189">
        <v>0</v>
      </c>
      <c r="AE3" s="189">
        <v>0</v>
      </c>
      <c r="AF3" s="189">
        <v>1</v>
      </c>
      <c r="AG3" s="201" t="s">
        <v>2346</v>
      </c>
      <c r="AH3" s="189">
        <v>0</v>
      </c>
      <c r="AI3" s="189">
        <v>0</v>
      </c>
      <c r="AJ3" s="189">
        <v>0</v>
      </c>
      <c r="AK3" s="189">
        <v>0</v>
      </c>
      <c r="AL3" s="189">
        <v>0</v>
      </c>
      <c r="AM3" s="189">
        <v>0</v>
      </c>
      <c r="AN3" s="189">
        <v>1</v>
      </c>
      <c r="AO3" s="201">
        <v>44873</v>
      </c>
      <c r="AP3" s="189">
        <v>0</v>
      </c>
    </row>
    <row r="4" spans="1:42" s="189" customFormat="1">
      <c r="A4" s="185" t="s">
        <v>26</v>
      </c>
      <c r="B4" s="185">
        <v>22103833</v>
      </c>
      <c r="C4" s="185" t="s">
        <v>27</v>
      </c>
      <c r="M4" s="217"/>
      <c r="AG4" s="201"/>
    </row>
    <row r="5" spans="1:42" s="189" customFormat="1">
      <c r="A5" s="185" t="s">
        <v>31</v>
      </c>
      <c r="B5" s="185">
        <v>21928650</v>
      </c>
      <c r="C5" s="185" t="s">
        <v>32</v>
      </c>
      <c r="M5" s="217"/>
      <c r="AG5" s="201"/>
    </row>
    <row r="6" spans="1:42" s="110" customFormat="1">
      <c r="A6" s="107" t="s">
        <v>36</v>
      </c>
      <c r="B6" s="107">
        <v>16900804</v>
      </c>
      <c r="C6" s="107" t="s">
        <v>37</v>
      </c>
      <c r="D6" s="213">
        <v>44972</v>
      </c>
      <c r="E6" s="110">
        <v>1</v>
      </c>
      <c r="F6" s="274">
        <v>95.5</v>
      </c>
      <c r="G6" s="274">
        <v>14.2</v>
      </c>
      <c r="H6" s="214">
        <f>G6/(F6/100)^2</f>
        <v>15.569748636276417</v>
      </c>
      <c r="I6" s="274">
        <v>61</v>
      </c>
      <c r="J6" s="275">
        <v>43979</v>
      </c>
      <c r="K6" s="275">
        <v>43979</v>
      </c>
      <c r="L6" s="261" t="s">
        <v>39</v>
      </c>
      <c r="M6" s="215" t="s">
        <v>2342</v>
      </c>
      <c r="N6" s="110" t="s">
        <v>2419</v>
      </c>
      <c r="O6" s="110">
        <v>2</v>
      </c>
      <c r="P6" s="110" t="s">
        <v>2420</v>
      </c>
      <c r="Q6" s="110">
        <v>2.5</v>
      </c>
      <c r="R6" s="110">
        <v>180</v>
      </c>
      <c r="S6" s="110">
        <v>1</v>
      </c>
      <c r="T6" s="110">
        <v>0</v>
      </c>
      <c r="U6" s="110">
        <v>0</v>
      </c>
      <c r="V6" s="110" t="s">
        <v>2421</v>
      </c>
      <c r="W6" s="110">
        <v>0</v>
      </c>
      <c r="X6" s="110" t="s">
        <v>2352</v>
      </c>
      <c r="Y6" s="110">
        <v>0</v>
      </c>
      <c r="Z6" s="110">
        <v>0</v>
      </c>
      <c r="AA6" s="110">
        <v>0</v>
      </c>
      <c r="AB6" s="110">
        <v>0</v>
      </c>
      <c r="AC6" s="110">
        <v>0</v>
      </c>
      <c r="AD6" s="110">
        <v>0</v>
      </c>
      <c r="AE6" s="110">
        <v>0</v>
      </c>
      <c r="AF6" s="110">
        <v>1</v>
      </c>
      <c r="AG6" s="213">
        <v>44683</v>
      </c>
      <c r="AH6" s="110">
        <v>0</v>
      </c>
      <c r="AI6" s="110">
        <v>0</v>
      </c>
      <c r="AJ6" s="110">
        <v>0</v>
      </c>
      <c r="AK6" s="110">
        <v>0</v>
      </c>
      <c r="AL6" s="110">
        <v>0</v>
      </c>
      <c r="AM6" s="110">
        <v>0</v>
      </c>
      <c r="AN6" s="110">
        <v>1</v>
      </c>
    </row>
    <row r="7" spans="1:42" s="193" customFormat="1">
      <c r="A7" s="192" t="s">
        <v>41</v>
      </c>
      <c r="B7" s="192">
        <v>21926441</v>
      </c>
      <c r="C7" s="192" t="s">
        <v>42</v>
      </c>
      <c r="M7" s="218"/>
      <c r="AG7" s="219"/>
    </row>
    <row r="8" spans="1:42" s="189" customFormat="1">
      <c r="A8" s="185" t="s">
        <v>46</v>
      </c>
      <c r="B8" s="185">
        <v>21929504</v>
      </c>
      <c r="C8" s="185" t="s">
        <v>47</v>
      </c>
      <c r="M8" s="217"/>
      <c r="AG8" s="201"/>
    </row>
    <row r="9" spans="1:42" s="189" customFormat="1">
      <c r="A9" s="185" t="s">
        <v>51</v>
      </c>
      <c r="B9" s="185">
        <v>21929505</v>
      </c>
      <c r="C9" s="185" t="s">
        <v>52</v>
      </c>
      <c r="M9" s="217"/>
      <c r="AG9" s="201"/>
    </row>
    <row r="10" spans="1:42" s="189" customFormat="1">
      <c r="A10" s="185" t="s">
        <v>54</v>
      </c>
      <c r="B10" s="185">
        <v>22100733</v>
      </c>
      <c r="C10" s="185" t="s">
        <v>55</v>
      </c>
      <c r="M10" s="217"/>
      <c r="AG10" s="201"/>
    </row>
    <row r="11" spans="1:42" s="189" customFormat="1">
      <c r="A11" s="185" t="s">
        <v>59</v>
      </c>
      <c r="B11" s="185">
        <v>22101152</v>
      </c>
      <c r="C11" s="185" t="s">
        <v>60</v>
      </c>
      <c r="M11" s="217"/>
      <c r="AG11" s="201"/>
    </row>
    <row r="12" spans="1:42" s="193" customFormat="1">
      <c r="A12" s="192" t="s">
        <v>63</v>
      </c>
      <c r="B12" s="192">
        <v>22140400</v>
      </c>
      <c r="C12" s="192" t="s">
        <v>64</v>
      </c>
      <c r="M12" s="218"/>
      <c r="AG12" s="219"/>
    </row>
    <row r="13" spans="1:42" s="193" customFormat="1">
      <c r="A13" s="192" t="s">
        <v>68</v>
      </c>
      <c r="B13" s="192">
        <v>22140401</v>
      </c>
      <c r="C13" s="192" t="s">
        <v>69</v>
      </c>
      <c r="M13" s="218"/>
      <c r="AG13" s="219"/>
    </row>
    <row r="14" spans="1:42" s="193" customFormat="1">
      <c r="A14" s="194" t="s">
        <v>71</v>
      </c>
      <c r="B14" s="194">
        <v>16900981</v>
      </c>
      <c r="C14" s="194" t="s">
        <v>72</v>
      </c>
      <c r="M14" s="218"/>
      <c r="AG14" s="219"/>
    </row>
    <row r="15" spans="1:42" s="189" customFormat="1">
      <c r="A15" s="185" t="s">
        <v>77</v>
      </c>
      <c r="B15" s="185">
        <v>21928109</v>
      </c>
      <c r="C15" s="185" t="s">
        <v>78</v>
      </c>
      <c r="M15" s="217"/>
      <c r="AG15" s="201"/>
    </row>
    <row r="16" spans="1:42" s="110" customFormat="1">
      <c r="A16" s="107" t="s">
        <v>82</v>
      </c>
      <c r="B16" s="107">
        <v>22104301</v>
      </c>
      <c r="C16" s="107" t="s">
        <v>83</v>
      </c>
      <c r="F16" s="110">
        <v>86.4</v>
      </c>
      <c r="G16" s="110">
        <v>12.5</v>
      </c>
      <c r="H16" s="110">
        <v>16.7</v>
      </c>
      <c r="M16" s="215"/>
      <c r="AG16" s="213"/>
    </row>
    <row r="17" spans="1:42" s="193" customFormat="1">
      <c r="A17" s="192" t="s">
        <v>87</v>
      </c>
      <c r="B17" s="192">
        <v>21929043</v>
      </c>
      <c r="C17" s="192" t="s">
        <v>88</v>
      </c>
      <c r="M17" s="218"/>
      <c r="AG17" s="219"/>
    </row>
    <row r="18" spans="1:42" s="193" customFormat="1">
      <c r="A18" s="194" t="s">
        <v>92</v>
      </c>
      <c r="B18" s="194">
        <v>22104128</v>
      </c>
      <c r="C18" s="194" t="s">
        <v>93</v>
      </c>
      <c r="M18" s="218"/>
      <c r="AG18" s="219"/>
    </row>
    <row r="19" spans="1:42" s="193" customFormat="1">
      <c r="A19" s="196" t="s">
        <v>97</v>
      </c>
      <c r="B19" s="196">
        <v>22104135</v>
      </c>
      <c r="C19" s="196" t="s">
        <v>98</v>
      </c>
      <c r="M19" s="218"/>
      <c r="AG19" s="219"/>
    </row>
    <row r="20" spans="1:42" s="193" customFormat="1">
      <c r="A20" s="196" t="s">
        <v>102</v>
      </c>
      <c r="B20" s="196">
        <v>22243391</v>
      </c>
      <c r="C20" s="196" t="s">
        <v>103</v>
      </c>
      <c r="M20" s="218"/>
      <c r="AG20" s="219"/>
    </row>
    <row r="21" spans="1:42" s="193" customFormat="1">
      <c r="A21" s="196" t="s">
        <v>107</v>
      </c>
      <c r="B21" s="196">
        <v>22103984</v>
      </c>
      <c r="C21" s="196" t="s">
        <v>108</v>
      </c>
      <c r="M21" s="218"/>
      <c r="AG21" s="219"/>
    </row>
    <row r="22" spans="1:42" s="110" customFormat="1">
      <c r="A22" s="116" t="s">
        <v>112</v>
      </c>
      <c r="B22" s="116">
        <v>21927677</v>
      </c>
      <c r="C22" s="116" t="s">
        <v>113</v>
      </c>
      <c r="M22" s="215"/>
      <c r="AG22" s="213"/>
    </row>
    <row r="23" spans="1:42" s="193" customFormat="1">
      <c r="A23" s="196" t="s">
        <v>116</v>
      </c>
      <c r="B23" s="196">
        <v>22104757</v>
      </c>
      <c r="C23" s="196" t="s">
        <v>117</v>
      </c>
      <c r="M23" s="218"/>
      <c r="AG23" s="219"/>
    </row>
    <row r="24" spans="1:42" s="189" customFormat="1">
      <c r="A24" s="198" t="s">
        <v>121</v>
      </c>
      <c r="B24" s="198">
        <v>22104689</v>
      </c>
      <c r="C24" s="198" t="s">
        <v>122</v>
      </c>
      <c r="M24" s="217"/>
      <c r="AG24" s="201"/>
    </row>
    <row r="25" spans="1:42" s="189" customFormat="1">
      <c r="A25" s="198" t="s">
        <v>126</v>
      </c>
      <c r="B25" s="198">
        <v>22264557</v>
      </c>
      <c r="C25" s="198" t="s">
        <v>127</v>
      </c>
      <c r="D25" s="201">
        <v>44995</v>
      </c>
      <c r="E25" s="189">
        <v>2</v>
      </c>
      <c r="F25" s="272">
        <v>93.1</v>
      </c>
      <c r="G25" s="272">
        <v>15.2</v>
      </c>
      <c r="H25" s="281">
        <f>G25/(F25/100)^2</f>
        <v>17.53655275214275</v>
      </c>
      <c r="I25" s="272"/>
      <c r="J25" s="276">
        <v>44036</v>
      </c>
      <c r="K25" s="276">
        <v>44043</v>
      </c>
      <c r="L25" s="98" t="s">
        <v>129</v>
      </c>
      <c r="M25" s="217" t="s">
        <v>2513</v>
      </c>
      <c r="N25" s="189">
        <v>2</v>
      </c>
      <c r="O25" s="189">
        <v>2</v>
      </c>
      <c r="P25" s="189" t="s">
        <v>2436</v>
      </c>
      <c r="Q25" s="189">
        <v>1.5</v>
      </c>
      <c r="R25" s="189">
        <v>200</v>
      </c>
      <c r="S25" s="189">
        <v>0</v>
      </c>
      <c r="AG25" s="201">
        <v>44862</v>
      </c>
      <c r="AH25" s="189">
        <v>0</v>
      </c>
      <c r="AI25" s="189">
        <v>0</v>
      </c>
      <c r="AJ25" s="189">
        <v>0</v>
      </c>
      <c r="AK25" s="189">
        <v>0</v>
      </c>
      <c r="AL25" s="189">
        <v>0</v>
      </c>
      <c r="AM25" s="189">
        <v>0</v>
      </c>
    </row>
    <row r="26" spans="1:42" s="189" customFormat="1">
      <c r="A26" s="198" t="s">
        <v>131</v>
      </c>
      <c r="B26" s="198">
        <v>22104829</v>
      </c>
      <c r="C26" s="199" t="s">
        <v>1032</v>
      </c>
      <c r="D26" s="201">
        <v>44894</v>
      </c>
      <c r="E26" s="189">
        <v>1</v>
      </c>
      <c r="F26" s="272">
        <v>88.1</v>
      </c>
      <c r="G26" s="272">
        <v>12.3</v>
      </c>
      <c r="H26" s="281">
        <f>G26/(F26/100)^2</f>
        <v>15.847227572629912</v>
      </c>
      <c r="I26" s="272">
        <v>48.2</v>
      </c>
      <c r="J26" s="273">
        <v>44049</v>
      </c>
      <c r="K26" s="273">
        <v>44114</v>
      </c>
      <c r="L26" s="270" t="s">
        <v>134</v>
      </c>
      <c r="M26" s="217" t="s">
        <v>2513</v>
      </c>
      <c r="N26" s="189">
        <v>1</v>
      </c>
      <c r="O26" s="189">
        <v>2</v>
      </c>
      <c r="P26" s="189" t="s">
        <v>2347</v>
      </c>
      <c r="Q26" s="189" t="s">
        <v>2348</v>
      </c>
      <c r="R26" s="189">
        <v>220</v>
      </c>
      <c r="S26" s="189">
        <v>0</v>
      </c>
      <c r="T26" s="189">
        <v>0</v>
      </c>
      <c r="U26" s="189">
        <v>0</v>
      </c>
      <c r="V26" s="189">
        <v>0</v>
      </c>
      <c r="W26" s="189">
        <v>0</v>
      </c>
      <c r="X26" s="189">
        <v>0</v>
      </c>
      <c r="Y26" s="189">
        <v>0</v>
      </c>
      <c r="Z26" s="189">
        <v>0</v>
      </c>
      <c r="AA26" s="189">
        <v>0</v>
      </c>
      <c r="AB26" s="189">
        <v>0</v>
      </c>
      <c r="AC26" s="189">
        <v>0</v>
      </c>
      <c r="AD26" s="189">
        <v>0</v>
      </c>
      <c r="AE26" s="189">
        <v>0</v>
      </c>
      <c r="AF26" s="189">
        <v>1</v>
      </c>
      <c r="AG26" s="201">
        <v>44774</v>
      </c>
      <c r="AH26" s="189">
        <v>0</v>
      </c>
      <c r="AI26" s="189">
        <v>0</v>
      </c>
      <c r="AJ26" s="189">
        <v>0</v>
      </c>
      <c r="AK26" s="189">
        <v>0</v>
      </c>
      <c r="AL26" s="189">
        <v>0</v>
      </c>
      <c r="AM26" s="189">
        <v>0</v>
      </c>
      <c r="AN26" s="189">
        <v>1</v>
      </c>
      <c r="AO26" s="201">
        <v>44860</v>
      </c>
      <c r="AP26" s="189">
        <v>0</v>
      </c>
    </row>
    <row r="27" spans="1:42" s="110" customFormat="1">
      <c r="A27" s="116" t="s">
        <v>136</v>
      </c>
      <c r="B27" s="116">
        <v>22105033</v>
      </c>
      <c r="C27" s="116" t="s">
        <v>137</v>
      </c>
      <c r="AG27" s="213"/>
    </row>
    <row r="28" spans="1:42" s="189" customFormat="1">
      <c r="A28" s="198" t="s">
        <v>141</v>
      </c>
      <c r="B28" s="198">
        <v>22104898</v>
      </c>
      <c r="C28" s="198" t="s">
        <v>142</v>
      </c>
      <c r="D28" s="201">
        <v>44934</v>
      </c>
      <c r="E28" s="189">
        <v>2</v>
      </c>
      <c r="F28" s="277">
        <v>82.6</v>
      </c>
      <c r="G28" s="277">
        <v>9</v>
      </c>
      <c r="H28" s="281">
        <f>G28/(F28/100)^2</f>
        <v>13.191142587457277</v>
      </c>
      <c r="I28" s="272">
        <v>45</v>
      </c>
      <c r="J28" s="276">
        <v>44055</v>
      </c>
      <c r="K28" s="276">
        <v>44142</v>
      </c>
      <c r="L28" s="96" t="s">
        <v>144</v>
      </c>
      <c r="M28" s="98">
        <v>0</v>
      </c>
      <c r="N28" s="98">
        <v>1</v>
      </c>
      <c r="O28" s="98">
        <v>0</v>
      </c>
      <c r="P28" s="98">
        <v>0</v>
      </c>
      <c r="Q28" s="98">
        <v>0</v>
      </c>
      <c r="R28" s="98">
        <v>0</v>
      </c>
      <c r="S28" s="98">
        <v>0</v>
      </c>
      <c r="T28" s="98">
        <v>0</v>
      </c>
      <c r="U28" s="98">
        <v>0</v>
      </c>
      <c r="V28" s="98">
        <v>0</v>
      </c>
      <c r="W28" s="98">
        <v>0</v>
      </c>
      <c r="X28" s="98">
        <v>0</v>
      </c>
      <c r="Y28" s="98">
        <v>0</v>
      </c>
      <c r="Z28" s="98">
        <v>0</v>
      </c>
      <c r="AA28" s="98">
        <v>0</v>
      </c>
      <c r="AB28" s="98">
        <v>0</v>
      </c>
      <c r="AC28" s="98">
        <v>0</v>
      </c>
      <c r="AD28" s="98">
        <v>0</v>
      </c>
      <c r="AE28" s="98">
        <v>0</v>
      </c>
      <c r="AF28" s="98">
        <v>1</v>
      </c>
      <c r="AG28" s="201">
        <v>44702</v>
      </c>
      <c r="AH28" s="98">
        <v>0</v>
      </c>
      <c r="AI28" s="98">
        <v>1</v>
      </c>
      <c r="AJ28" s="201">
        <v>44811</v>
      </c>
      <c r="AK28" s="98">
        <v>1</v>
      </c>
      <c r="AL28" s="201">
        <v>44911</v>
      </c>
      <c r="AM28" s="98">
        <v>0</v>
      </c>
      <c r="AN28" s="189">
        <v>1</v>
      </c>
      <c r="AO28" s="201">
        <v>44887</v>
      </c>
      <c r="AP28" s="189">
        <v>0</v>
      </c>
    </row>
    <row r="29" spans="1:42" s="189" customFormat="1">
      <c r="A29" s="198" t="s">
        <v>146</v>
      </c>
      <c r="B29" s="198">
        <v>22104899</v>
      </c>
      <c r="C29" s="198" t="s">
        <v>147</v>
      </c>
      <c r="D29" s="201">
        <v>44934</v>
      </c>
      <c r="E29" s="189">
        <v>2</v>
      </c>
      <c r="F29" s="277">
        <v>85.2</v>
      </c>
      <c r="G29" s="277">
        <v>10</v>
      </c>
      <c r="H29" s="281">
        <f>G29/(F29/100)^2</f>
        <v>13.775926293283961</v>
      </c>
      <c r="I29" s="272">
        <v>46</v>
      </c>
      <c r="J29" s="276">
        <v>44055</v>
      </c>
      <c r="K29" s="276">
        <v>44142</v>
      </c>
      <c r="L29" s="96" t="s">
        <v>144</v>
      </c>
      <c r="M29" s="98">
        <v>0</v>
      </c>
      <c r="N29" s="98">
        <v>1</v>
      </c>
      <c r="O29" s="98">
        <v>0</v>
      </c>
      <c r="P29" s="98">
        <v>0</v>
      </c>
      <c r="Q29" s="98">
        <v>0</v>
      </c>
      <c r="R29" s="98">
        <v>0</v>
      </c>
      <c r="S29" s="98">
        <v>0</v>
      </c>
      <c r="T29" s="98">
        <v>0</v>
      </c>
      <c r="U29" s="98">
        <v>0</v>
      </c>
      <c r="V29" s="98">
        <v>0</v>
      </c>
      <c r="W29" s="98">
        <v>0</v>
      </c>
      <c r="X29" s="98">
        <v>0</v>
      </c>
      <c r="Y29" s="98">
        <v>0</v>
      </c>
      <c r="Z29" s="98">
        <v>0</v>
      </c>
      <c r="AA29" s="98">
        <v>0</v>
      </c>
      <c r="AB29" s="98">
        <v>0</v>
      </c>
      <c r="AC29" s="98">
        <v>0</v>
      </c>
      <c r="AD29" s="98">
        <v>0</v>
      </c>
      <c r="AE29" s="98">
        <v>0</v>
      </c>
      <c r="AF29" s="98">
        <v>1</v>
      </c>
      <c r="AG29" s="201">
        <v>44700</v>
      </c>
      <c r="AH29" s="98">
        <v>0</v>
      </c>
      <c r="AI29" s="98">
        <v>1</v>
      </c>
      <c r="AJ29" s="201">
        <v>44811</v>
      </c>
      <c r="AK29" s="98">
        <v>1</v>
      </c>
      <c r="AL29" s="201">
        <v>44911</v>
      </c>
      <c r="AM29" s="98">
        <v>0</v>
      </c>
      <c r="AN29" s="189">
        <v>1</v>
      </c>
      <c r="AO29" s="201">
        <v>44887</v>
      </c>
      <c r="AP29" s="189">
        <v>0</v>
      </c>
    </row>
    <row r="30" spans="1:42" s="193" customFormat="1">
      <c r="A30" s="196" t="s">
        <v>148</v>
      </c>
      <c r="B30" s="196">
        <v>22103889</v>
      </c>
      <c r="C30" s="196" t="s">
        <v>149</v>
      </c>
      <c r="M30" s="218"/>
      <c r="AG30" s="219"/>
    </row>
    <row r="31" spans="1:42" s="193" customFormat="1">
      <c r="A31" s="196" t="s">
        <v>152</v>
      </c>
      <c r="B31" s="196">
        <v>22105253</v>
      </c>
      <c r="C31" s="196" t="s">
        <v>153</v>
      </c>
      <c r="M31" s="218"/>
      <c r="AG31" s="219"/>
    </row>
    <row r="32" spans="1:42" s="189" customFormat="1">
      <c r="A32" s="198" t="s">
        <v>157</v>
      </c>
      <c r="B32" s="198">
        <v>22239382</v>
      </c>
      <c r="C32" s="198" t="s">
        <v>158</v>
      </c>
      <c r="D32" s="201">
        <v>45077</v>
      </c>
      <c r="E32" s="189">
        <v>1</v>
      </c>
      <c r="F32" s="277">
        <v>89.1</v>
      </c>
      <c r="G32" s="277">
        <v>12.6</v>
      </c>
      <c r="H32" s="281">
        <f>G32/(F32/100)^2</f>
        <v>15.871396342776817</v>
      </c>
      <c r="I32" s="272"/>
      <c r="J32" s="273">
        <v>44206</v>
      </c>
      <c r="K32" s="273">
        <v>44219</v>
      </c>
      <c r="L32" s="270" t="s">
        <v>160</v>
      </c>
      <c r="M32" s="217" t="s">
        <v>2342</v>
      </c>
      <c r="N32" s="189">
        <v>1.2</v>
      </c>
      <c r="O32" s="189">
        <v>2</v>
      </c>
      <c r="P32" s="189" t="s">
        <v>2484</v>
      </c>
      <c r="Q32" s="189">
        <v>1</v>
      </c>
      <c r="R32" s="189">
        <v>150</v>
      </c>
      <c r="S32" s="189">
        <v>1</v>
      </c>
      <c r="T32" s="189">
        <v>0</v>
      </c>
      <c r="U32" s="189">
        <v>0</v>
      </c>
      <c r="V32" s="189">
        <v>0</v>
      </c>
      <c r="W32" s="189">
        <v>0</v>
      </c>
      <c r="X32" s="189">
        <v>0</v>
      </c>
      <c r="Y32" s="189" t="s">
        <v>2485</v>
      </c>
      <c r="Z32" s="189" t="s">
        <v>2486</v>
      </c>
      <c r="AA32" s="189">
        <v>0</v>
      </c>
      <c r="AB32" s="189">
        <v>0</v>
      </c>
      <c r="AC32" s="189">
        <v>0</v>
      </c>
      <c r="AD32" s="189">
        <v>0</v>
      </c>
      <c r="AE32" s="189">
        <v>0</v>
      </c>
      <c r="AF32" s="189">
        <v>1</v>
      </c>
      <c r="AG32" s="201">
        <v>44819</v>
      </c>
      <c r="AH32" s="189">
        <v>0</v>
      </c>
      <c r="AI32" s="189">
        <v>1</v>
      </c>
      <c r="AM32" s="189">
        <v>0</v>
      </c>
      <c r="AN32" s="189">
        <v>1</v>
      </c>
      <c r="AO32" s="201">
        <v>44849</v>
      </c>
    </row>
    <row r="33" spans="1:40" s="193" customFormat="1">
      <c r="A33" s="196" t="s">
        <v>162</v>
      </c>
      <c r="B33" s="196">
        <v>22104618</v>
      </c>
      <c r="C33" s="196" t="s">
        <v>163</v>
      </c>
      <c r="M33" s="218"/>
      <c r="AG33" s="219"/>
    </row>
    <row r="34" spans="1:40" s="189" customFormat="1">
      <c r="A34" s="185" t="s">
        <v>167</v>
      </c>
      <c r="B34" s="185">
        <v>4997153</v>
      </c>
      <c r="C34" s="185" t="s">
        <v>168</v>
      </c>
      <c r="M34" s="217"/>
      <c r="AG34" s="201"/>
    </row>
    <row r="35" spans="1:40" s="189" customFormat="1">
      <c r="A35" s="185" t="s">
        <v>172</v>
      </c>
      <c r="B35" s="185">
        <v>21926144</v>
      </c>
      <c r="C35" s="185" t="s">
        <v>173</v>
      </c>
      <c r="M35" s="217"/>
      <c r="AG35" s="201"/>
    </row>
    <row r="36" spans="1:40" s="189" customFormat="1">
      <c r="A36" s="185" t="s">
        <v>177</v>
      </c>
      <c r="B36" s="185">
        <v>21923161</v>
      </c>
      <c r="C36" s="185" t="s">
        <v>178</v>
      </c>
      <c r="M36" s="217"/>
      <c r="AG36" s="201"/>
    </row>
    <row r="37" spans="1:40" s="193" customFormat="1">
      <c r="A37" s="194" t="s">
        <v>182</v>
      </c>
      <c r="B37" s="194">
        <v>22104076</v>
      </c>
      <c r="C37" s="194" t="s">
        <v>183</v>
      </c>
      <c r="M37" s="218"/>
      <c r="AG37" s="219"/>
    </row>
    <row r="38" spans="1:40" s="189" customFormat="1">
      <c r="A38" s="185" t="s">
        <v>187</v>
      </c>
      <c r="B38" s="185">
        <v>21929566</v>
      </c>
      <c r="C38" s="185" t="s">
        <v>188</v>
      </c>
      <c r="M38" s="217"/>
      <c r="AG38" s="201"/>
    </row>
    <row r="39" spans="1:40" s="193" customFormat="1">
      <c r="A39" s="194" t="s">
        <v>192</v>
      </c>
      <c r="B39" s="194">
        <v>22103802</v>
      </c>
      <c r="C39" s="194" t="s">
        <v>193</v>
      </c>
      <c r="M39" s="218"/>
      <c r="AG39" s="219"/>
    </row>
    <row r="40" spans="1:40" s="193" customFormat="1">
      <c r="A40" s="194" t="s">
        <v>196</v>
      </c>
      <c r="B40" s="194">
        <v>22106464</v>
      </c>
      <c r="C40" s="194" t="s">
        <v>197</v>
      </c>
      <c r="M40" s="218"/>
      <c r="AG40" s="219"/>
    </row>
    <row r="41" spans="1:40" s="110" customFormat="1">
      <c r="A41" s="107" t="s">
        <v>200</v>
      </c>
      <c r="B41" s="153">
        <v>22102954</v>
      </c>
      <c r="C41" s="157" t="s">
        <v>1079</v>
      </c>
      <c r="M41" s="215"/>
      <c r="AG41" s="213"/>
    </row>
    <row r="42" spans="1:40" s="193" customFormat="1">
      <c r="A42" s="194" t="s">
        <v>204</v>
      </c>
      <c r="B42" s="194">
        <v>22104292</v>
      </c>
      <c r="C42" s="194" t="s">
        <v>205</v>
      </c>
      <c r="M42" s="218"/>
      <c r="AG42" s="219"/>
    </row>
    <row r="43" spans="1:40" s="193" customFormat="1">
      <c r="A43" s="194" t="s">
        <v>209</v>
      </c>
      <c r="B43" s="194">
        <v>22104265</v>
      </c>
      <c r="C43" s="194" t="s">
        <v>210</v>
      </c>
      <c r="M43" s="218"/>
      <c r="AG43" s="219"/>
    </row>
    <row r="44" spans="1:40" s="193" customFormat="1">
      <c r="A44" s="194" t="s">
        <v>212</v>
      </c>
      <c r="B44" s="194">
        <v>22103803</v>
      </c>
      <c r="C44" s="194" t="s">
        <v>213</v>
      </c>
      <c r="M44" s="218"/>
      <c r="AG44" s="219"/>
    </row>
    <row r="45" spans="1:40" s="193" customFormat="1">
      <c r="A45" s="194" t="s">
        <v>214</v>
      </c>
      <c r="B45" s="194">
        <v>22105667</v>
      </c>
      <c r="C45" s="194" t="s">
        <v>215</v>
      </c>
      <c r="M45" s="218"/>
      <c r="AG45" s="219"/>
    </row>
    <row r="46" spans="1:40" s="189" customFormat="1">
      <c r="A46" s="185" t="s">
        <v>219</v>
      </c>
      <c r="B46" s="185">
        <v>22107706</v>
      </c>
      <c r="C46" s="185" t="s">
        <v>220</v>
      </c>
      <c r="D46" s="201">
        <v>45160</v>
      </c>
      <c r="E46" s="189">
        <v>2</v>
      </c>
      <c r="F46" s="278">
        <v>81.900000000000006</v>
      </c>
      <c r="G46" s="278">
        <v>9.9</v>
      </c>
      <c r="H46" s="281">
        <f>G46/(F46/100)^2</f>
        <v>14.759355418696078</v>
      </c>
      <c r="I46" s="272">
        <v>44</v>
      </c>
      <c r="J46" s="279">
        <v>44328</v>
      </c>
      <c r="K46" s="279">
        <v>44412</v>
      </c>
      <c r="L46" s="270">
        <v>28</v>
      </c>
      <c r="M46" s="217" t="s">
        <v>2342</v>
      </c>
      <c r="N46" s="189">
        <v>1</v>
      </c>
      <c r="O46" s="189">
        <v>2</v>
      </c>
      <c r="P46" s="189" t="s">
        <v>2347</v>
      </c>
      <c r="Q46" s="189">
        <v>1.5</v>
      </c>
      <c r="R46" s="189">
        <v>190</v>
      </c>
      <c r="AA46" s="189">
        <v>1</v>
      </c>
      <c r="AD46" s="189" t="s">
        <v>2525</v>
      </c>
      <c r="AF46" s="189">
        <v>1</v>
      </c>
      <c r="AG46" s="201" t="s">
        <v>2526</v>
      </c>
      <c r="AH46" s="189">
        <v>0</v>
      </c>
      <c r="AI46" s="189">
        <v>2</v>
      </c>
      <c r="AJ46" s="201">
        <v>44817</v>
      </c>
      <c r="AK46" s="189">
        <v>2</v>
      </c>
      <c r="AL46" s="201">
        <v>44896</v>
      </c>
      <c r="AM46" s="189">
        <v>0</v>
      </c>
      <c r="AN46" s="189">
        <v>1</v>
      </c>
    </row>
    <row r="47" spans="1:40" s="193" customFormat="1">
      <c r="A47" s="194" t="s">
        <v>223</v>
      </c>
      <c r="B47" s="194">
        <v>22107436</v>
      </c>
      <c r="C47" s="194" t="s">
        <v>224</v>
      </c>
      <c r="M47" s="218"/>
      <c r="AG47" s="219"/>
    </row>
    <row r="48" spans="1:40" s="189" customFormat="1">
      <c r="A48" s="185" t="s">
        <v>228</v>
      </c>
      <c r="B48" s="185">
        <v>22107749</v>
      </c>
      <c r="C48" s="185" t="s">
        <v>229</v>
      </c>
      <c r="D48" s="201">
        <v>45163</v>
      </c>
      <c r="E48" s="189">
        <v>1</v>
      </c>
      <c r="F48" s="272">
        <v>89.4</v>
      </c>
      <c r="G48" s="272">
        <v>11.8</v>
      </c>
      <c r="H48" s="281">
        <f>G48/(F48/100)^2</f>
        <v>14.764099715228042</v>
      </c>
      <c r="I48" s="272">
        <v>47.9</v>
      </c>
      <c r="J48" s="279">
        <v>44333</v>
      </c>
      <c r="K48" s="279">
        <v>44402</v>
      </c>
      <c r="L48" s="270" t="s">
        <v>100</v>
      </c>
      <c r="M48" s="217" t="s">
        <v>2342</v>
      </c>
      <c r="N48" s="189">
        <v>1</v>
      </c>
      <c r="AA48" s="189">
        <v>0</v>
      </c>
      <c r="AF48" s="189">
        <v>1</v>
      </c>
      <c r="AG48" s="201">
        <v>44701</v>
      </c>
      <c r="AH48" s="189">
        <v>1</v>
      </c>
      <c r="AI48" s="189">
        <v>0</v>
      </c>
      <c r="AN48" s="189">
        <v>1</v>
      </c>
    </row>
    <row r="49" spans="1:42" s="189" customFormat="1">
      <c r="A49" s="185" t="s">
        <v>232</v>
      </c>
      <c r="B49" s="186">
        <v>21929694</v>
      </c>
      <c r="C49" s="190" t="s">
        <v>1100</v>
      </c>
      <c r="M49" s="217"/>
      <c r="AG49" s="201"/>
    </row>
    <row r="50" spans="1:42" s="189" customFormat="1">
      <c r="A50" s="185" t="s">
        <v>236</v>
      </c>
      <c r="B50" s="186">
        <v>21929692</v>
      </c>
      <c r="C50" s="190" t="s">
        <v>1106</v>
      </c>
      <c r="M50" s="217"/>
      <c r="AG50" s="201"/>
    </row>
    <row r="51" spans="1:42" s="110" customFormat="1">
      <c r="A51" s="107" t="s">
        <v>239</v>
      </c>
      <c r="B51" s="107">
        <v>22107552</v>
      </c>
      <c r="C51" s="107" t="s">
        <v>240</v>
      </c>
      <c r="D51" s="213">
        <v>45134</v>
      </c>
      <c r="E51" s="110">
        <v>2</v>
      </c>
      <c r="F51" s="266">
        <v>83</v>
      </c>
      <c r="G51" s="266">
        <v>10</v>
      </c>
      <c r="H51" s="214">
        <f>G51/(F51/100)^2</f>
        <v>14.51589490492089</v>
      </c>
      <c r="I51" s="274"/>
      <c r="J51" s="280">
        <v>44310</v>
      </c>
      <c r="K51" s="280">
        <v>44374</v>
      </c>
      <c r="L51" s="261" t="s">
        <v>242</v>
      </c>
      <c r="M51" s="215" t="s">
        <v>2513</v>
      </c>
      <c r="N51" s="110">
        <v>1.2</v>
      </c>
      <c r="O51" s="110">
        <v>2</v>
      </c>
      <c r="P51" s="110" t="s">
        <v>1994</v>
      </c>
      <c r="Q51" s="110">
        <v>1.5</v>
      </c>
      <c r="R51" s="110">
        <v>120</v>
      </c>
      <c r="S51" s="110">
        <v>2.2999999999999998</v>
      </c>
      <c r="T51" s="110">
        <v>0</v>
      </c>
      <c r="U51" s="110">
        <v>0</v>
      </c>
      <c r="V51" s="110">
        <v>0</v>
      </c>
      <c r="W51" s="110">
        <v>0</v>
      </c>
      <c r="X51" s="110" t="s">
        <v>2515</v>
      </c>
      <c r="Y51" s="110">
        <v>0</v>
      </c>
      <c r="Z51" s="110">
        <v>0</v>
      </c>
      <c r="AA51" s="110">
        <v>0</v>
      </c>
      <c r="AB51" s="110">
        <v>0</v>
      </c>
      <c r="AC51" s="110">
        <v>0</v>
      </c>
      <c r="AD51" s="110">
        <v>0</v>
      </c>
      <c r="AE51" s="110">
        <v>0</v>
      </c>
      <c r="AF51" s="110">
        <v>1</v>
      </c>
      <c r="AG51" s="213">
        <v>44834</v>
      </c>
      <c r="AH51" s="110">
        <v>0</v>
      </c>
      <c r="AI51" s="110">
        <v>2</v>
      </c>
      <c r="AM51" s="110">
        <v>0</v>
      </c>
      <c r="AN51" s="110">
        <v>1</v>
      </c>
      <c r="AO51" s="213">
        <v>44862</v>
      </c>
      <c r="AP51" s="110">
        <v>0</v>
      </c>
    </row>
    <row r="52" spans="1:42" s="189" customFormat="1">
      <c r="A52" s="185" t="s">
        <v>244</v>
      </c>
      <c r="B52" s="185">
        <v>22105413</v>
      </c>
      <c r="C52" s="185" t="s">
        <v>245</v>
      </c>
      <c r="D52" s="201">
        <v>44909</v>
      </c>
      <c r="E52" s="189">
        <v>2</v>
      </c>
      <c r="F52" s="278">
        <v>79.2</v>
      </c>
      <c r="G52" s="278">
        <v>8.3000000000000007</v>
      </c>
      <c r="H52" s="281">
        <f>G52/(F52/100)^2</f>
        <v>13.23206815631058</v>
      </c>
      <c r="I52" s="278">
        <v>38.5</v>
      </c>
      <c r="J52" s="273">
        <v>44106</v>
      </c>
      <c r="K52" s="273">
        <v>44208</v>
      </c>
      <c r="L52" s="270" t="s">
        <v>247</v>
      </c>
      <c r="M52" s="217" t="s">
        <v>2513</v>
      </c>
      <c r="N52" s="189">
        <v>1</v>
      </c>
      <c r="O52" s="189">
        <v>2</v>
      </c>
      <c r="P52" s="189" t="s">
        <v>2395</v>
      </c>
      <c r="Q52" s="189" t="s">
        <v>2348</v>
      </c>
      <c r="R52" s="189">
        <v>220</v>
      </c>
      <c r="S52" s="189">
        <v>2.2999999999999998</v>
      </c>
      <c r="T52" s="189">
        <v>0</v>
      </c>
      <c r="U52" s="189">
        <v>0</v>
      </c>
      <c r="V52" s="189">
        <v>0</v>
      </c>
      <c r="W52" s="189">
        <v>0</v>
      </c>
      <c r="X52" s="189" t="s">
        <v>2396</v>
      </c>
      <c r="Y52" s="189" t="s">
        <v>2397</v>
      </c>
      <c r="Z52" s="189">
        <v>0</v>
      </c>
      <c r="AA52" s="189">
        <v>1</v>
      </c>
      <c r="AB52" s="189">
        <v>0</v>
      </c>
      <c r="AC52" s="189">
        <v>0</v>
      </c>
      <c r="AD52" s="189" t="s">
        <v>2361</v>
      </c>
      <c r="AE52" s="189">
        <v>0</v>
      </c>
      <c r="AF52" s="189">
        <v>1</v>
      </c>
      <c r="AG52" s="201">
        <v>44693</v>
      </c>
      <c r="AH52" s="189" t="s">
        <v>2362</v>
      </c>
      <c r="AI52" s="189">
        <v>1</v>
      </c>
      <c r="AJ52" s="201">
        <v>44917</v>
      </c>
      <c r="AK52" s="189">
        <v>0</v>
      </c>
      <c r="AL52" s="189">
        <v>0</v>
      </c>
      <c r="AM52" s="189">
        <v>0</v>
      </c>
      <c r="AN52" s="189">
        <v>1</v>
      </c>
      <c r="AO52" s="201">
        <v>44841</v>
      </c>
      <c r="AP52" s="189">
        <v>0</v>
      </c>
    </row>
    <row r="53" spans="1:42" s="110" customFormat="1">
      <c r="A53" s="107" t="s">
        <v>249</v>
      </c>
      <c r="B53" s="107">
        <v>22105943</v>
      </c>
      <c r="C53" s="107" t="s">
        <v>250</v>
      </c>
      <c r="D53" s="213">
        <v>44914</v>
      </c>
      <c r="E53" s="110">
        <v>2</v>
      </c>
      <c r="F53" s="266">
        <v>81.400000000000006</v>
      </c>
      <c r="G53" s="266">
        <v>10</v>
      </c>
      <c r="H53" s="214">
        <f>G53/(F53/100)^2</f>
        <v>15.092152684290275</v>
      </c>
      <c r="I53" s="266">
        <v>45.5</v>
      </c>
      <c r="J53" s="275">
        <v>44156</v>
      </c>
      <c r="K53" s="275">
        <v>44214</v>
      </c>
      <c r="L53" s="261" t="s">
        <v>119</v>
      </c>
      <c r="M53" s="215" t="s">
        <v>2513</v>
      </c>
      <c r="N53" s="110">
        <v>1</v>
      </c>
      <c r="O53" s="110">
        <v>2</v>
      </c>
      <c r="P53" s="110" t="s">
        <v>2347</v>
      </c>
      <c r="Q53" s="110">
        <v>1.5</v>
      </c>
      <c r="R53" s="110">
        <v>120</v>
      </c>
      <c r="S53" s="110">
        <v>0</v>
      </c>
      <c r="T53" s="110">
        <v>0</v>
      </c>
      <c r="U53" s="110">
        <v>0</v>
      </c>
      <c r="V53" s="110" t="s">
        <v>2352</v>
      </c>
      <c r="W53" s="110">
        <v>0</v>
      </c>
      <c r="X53" s="110" t="s">
        <v>2363</v>
      </c>
      <c r="Y53" s="110" t="s">
        <v>2364</v>
      </c>
      <c r="Z53" s="110">
        <v>0</v>
      </c>
      <c r="AA53" s="110">
        <v>0</v>
      </c>
      <c r="AB53" s="110">
        <v>0</v>
      </c>
      <c r="AC53" s="110">
        <v>0</v>
      </c>
      <c r="AD53" s="110">
        <v>0</v>
      </c>
      <c r="AE53" s="110">
        <v>0</v>
      </c>
      <c r="AF53" s="110">
        <v>1</v>
      </c>
      <c r="AG53" s="213" t="s">
        <v>2346</v>
      </c>
      <c r="AH53" s="110">
        <v>0</v>
      </c>
      <c r="AI53" s="110">
        <v>0</v>
      </c>
      <c r="AJ53" s="110">
        <v>0</v>
      </c>
      <c r="AK53" s="110">
        <v>0</v>
      </c>
      <c r="AL53" s="110">
        <v>0</v>
      </c>
      <c r="AM53" s="110">
        <v>0</v>
      </c>
      <c r="AN53" s="110">
        <v>1</v>
      </c>
      <c r="AO53" s="213">
        <v>44914</v>
      </c>
      <c r="AP53" s="110">
        <v>0</v>
      </c>
    </row>
    <row r="54" spans="1:42" s="193" customFormat="1">
      <c r="A54" s="194" t="s">
        <v>253</v>
      </c>
      <c r="B54" s="194">
        <v>22104786</v>
      </c>
      <c r="C54" s="194" t="s">
        <v>254</v>
      </c>
      <c r="M54" s="218"/>
      <c r="AG54" s="219"/>
    </row>
    <row r="55" spans="1:42" s="110" customFormat="1">
      <c r="A55" s="107" t="s">
        <v>257</v>
      </c>
      <c r="B55" s="107">
        <v>22106937</v>
      </c>
      <c r="C55" s="107" t="s">
        <v>258</v>
      </c>
      <c r="D55" s="213">
        <v>45011</v>
      </c>
      <c r="E55" s="110">
        <v>2</v>
      </c>
      <c r="F55" s="274">
        <v>80</v>
      </c>
      <c r="G55" s="274">
        <v>9</v>
      </c>
      <c r="H55" s="214">
        <f>G55/(F55/100)^2</f>
        <v>14.062499999999996</v>
      </c>
      <c r="I55" s="274">
        <v>45.5</v>
      </c>
      <c r="J55" s="280">
        <v>44156</v>
      </c>
      <c r="K55" s="280">
        <v>44214</v>
      </c>
      <c r="L55" s="17" t="s">
        <v>119</v>
      </c>
      <c r="M55" s="215" t="s">
        <v>2342</v>
      </c>
      <c r="N55" s="110">
        <v>2</v>
      </c>
      <c r="O55" s="110">
        <v>2</v>
      </c>
      <c r="Q55" s="110" t="s">
        <v>2348</v>
      </c>
      <c r="R55" s="110">
        <v>2.2999999999999998</v>
      </c>
      <c r="W55" s="110" t="s">
        <v>2397</v>
      </c>
      <c r="X55" s="110" t="s">
        <v>2396</v>
      </c>
      <c r="AA55" s="110">
        <v>1</v>
      </c>
      <c r="AD55" s="110" t="s">
        <v>2446</v>
      </c>
      <c r="AF55" s="110">
        <v>1</v>
      </c>
      <c r="AG55" s="213">
        <v>44810</v>
      </c>
      <c r="AH55" s="110">
        <v>0</v>
      </c>
      <c r="AI55" s="110">
        <v>1</v>
      </c>
      <c r="AJ55" s="213">
        <v>44771</v>
      </c>
      <c r="AK55" s="110">
        <v>0</v>
      </c>
      <c r="AM55" s="110">
        <v>0</v>
      </c>
    </row>
    <row r="56" spans="1:42" s="193" customFormat="1">
      <c r="A56" s="194" t="s">
        <v>262</v>
      </c>
      <c r="B56" s="194">
        <v>22102827</v>
      </c>
      <c r="C56" s="194" t="s">
        <v>263</v>
      </c>
      <c r="M56" s="218"/>
      <c r="AG56" s="219"/>
    </row>
    <row r="57" spans="1:42" s="189" customFormat="1">
      <c r="A57" s="185" t="s">
        <v>266</v>
      </c>
      <c r="B57" s="186">
        <v>22192272</v>
      </c>
      <c r="C57" s="190" t="s">
        <v>1117</v>
      </c>
      <c r="M57" s="217"/>
      <c r="AG57" s="201"/>
    </row>
    <row r="58" spans="1:42" s="189" customFormat="1">
      <c r="A58" s="185" t="s">
        <v>270</v>
      </c>
      <c r="B58" s="185">
        <v>22105580</v>
      </c>
      <c r="C58" s="185" t="s">
        <v>271</v>
      </c>
      <c r="D58" s="201">
        <v>44850</v>
      </c>
      <c r="E58" s="189">
        <v>1</v>
      </c>
      <c r="F58" s="272">
        <v>80.599999999999994</v>
      </c>
      <c r="G58" s="272">
        <v>10.7</v>
      </c>
      <c r="H58" s="281">
        <f>G58/(F58/100)^2</f>
        <v>16.470762088307914</v>
      </c>
      <c r="I58" s="272">
        <v>47</v>
      </c>
      <c r="J58" s="273">
        <v>44123</v>
      </c>
      <c r="K58" s="273">
        <v>44179</v>
      </c>
      <c r="L58" s="270">
        <v>32</v>
      </c>
      <c r="M58" s="217" t="s">
        <v>2342</v>
      </c>
      <c r="N58" s="189">
        <v>1</v>
      </c>
      <c r="O58" s="189">
        <v>2</v>
      </c>
      <c r="P58" s="189" t="s">
        <v>2350</v>
      </c>
      <c r="Q58" s="189">
        <v>1.5</v>
      </c>
      <c r="R58" s="189">
        <v>230</v>
      </c>
      <c r="S58" s="189">
        <v>0</v>
      </c>
      <c r="T58" s="189">
        <v>0</v>
      </c>
      <c r="U58" s="189">
        <v>0</v>
      </c>
      <c r="V58" s="189" t="s">
        <v>2351</v>
      </c>
      <c r="W58" s="189" t="s">
        <v>2352</v>
      </c>
      <c r="X58" s="189">
        <v>0</v>
      </c>
      <c r="Y58" s="189">
        <v>0</v>
      </c>
      <c r="Z58" s="189">
        <v>0</v>
      </c>
      <c r="AA58" s="189">
        <v>1</v>
      </c>
      <c r="AB58" s="189">
        <v>0</v>
      </c>
      <c r="AC58" s="189">
        <v>0</v>
      </c>
      <c r="AD58" s="189" t="s">
        <v>2353</v>
      </c>
      <c r="AE58" s="189">
        <v>0</v>
      </c>
      <c r="AF58" s="189">
        <v>1</v>
      </c>
      <c r="AG58" s="201">
        <v>44713</v>
      </c>
      <c r="AH58" s="189">
        <v>0</v>
      </c>
      <c r="AI58" s="189">
        <v>0</v>
      </c>
      <c r="AJ58" s="189">
        <v>0</v>
      </c>
      <c r="AK58" s="189">
        <v>0</v>
      </c>
      <c r="AL58" s="189">
        <v>0</v>
      </c>
      <c r="AM58" s="189">
        <v>0</v>
      </c>
      <c r="AN58" s="189">
        <v>1</v>
      </c>
      <c r="AO58" s="201">
        <v>44122</v>
      </c>
      <c r="AP58" s="189">
        <v>0</v>
      </c>
    </row>
    <row r="59" spans="1:42" s="189" customFormat="1">
      <c r="A59" s="185" t="s">
        <v>273</v>
      </c>
      <c r="B59" s="185">
        <v>22105942</v>
      </c>
      <c r="C59" s="185" t="s">
        <v>274</v>
      </c>
      <c r="D59" s="201">
        <v>44980</v>
      </c>
      <c r="E59" s="189">
        <v>1</v>
      </c>
      <c r="F59" s="278">
        <v>89</v>
      </c>
      <c r="G59" s="278">
        <v>12.5</v>
      </c>
      <c r="H59" s="281">
        <f>G59/(F59/100)^2</f>
        <v>15.780835753061481</v>
      </c>
      <c r="I59" s="278">
        <v>46.2</v>
      </c>
      <c r="J59" s="279">
        <v>44156</v>
      </c>
      <c r="K59" s="279">
        <v>44251</v>
      </c>
      <c r="L59" s="99" t="s">
        <v>276</v>
      </c>
      <c r="M59" s="217" t="s">
        <v>2342</v>
      </c>
      <c r="N59" s="189" t="s">
        <v>2426</v>
      </c>
      <c r="O59" s="189">
        <v>2</v>
      </c>
      <c r="P59" s="189" t="s">
        <v>2427</v>
      </c>
      <c r="Q59" s="189">
        <v>5</v>
      </c>
      <c r="R59" s="189">
        <v>150</v>
      </c>
      <c r="S59" s="189">
        <v>0</v>
      </c>
      <c r="T59" s="189">
        <v>0</v>
      </c>
      <c r="U59" s="189">
        <v>0</v>
      </c>
      <c r="V59" s="189">
        <v>0</v>
      </c>
      <c r="W59" s="189">
        <v>0</v>
      </c>
      <c r="X59" s="189" t="s">
        <v>2396</v>
      </c>
      <c r="Y59" s="189" t="s">
        <v>2428</v>
      </c>
      <c r="Z59" s="189">
        <v>0</v>
      </c>
      <c r="AA59" s="189">
        <v>1</v>
      </c>
      <c r="AB59" s="189">
        <v>0</v>
      </c>
      <c r="AC59" s="189">
        <v>0</v>
      </c>
      <c r="AD59" s="189" t="s">
        <v>2429</v>
      </c>
      <c r="AE59" s="189" t="s">
        <v>2430</v>
      </c>
      <c r="AF59" s="189">
        <v>0</v>
      </c>
      <c r="AG59" s="189">
        <v>0</v>
      </c>
      <c r="AH59" s="189">
        <v>0</v>
      </c>
      <c r="AI59" s="189">
        <v>1</v>
      </c>
      <c r="AJ59" s="201">
        <v>44765</v>
      </c>
      <c r="AK59" s="189">
        <v>1</v>
      </c>
      <c r="AL59" s="201">
        <v>44804</v>
      </c>
      <c r="AM59" s="189">
        <v>0</v>
      </c>
      <c r="AN59" s="189">
        <v>1</v>
      </c>
      <c r="AO59" s="201">
        <v>44852</v>
      </c>
      <c r="AP59" s="189">
        <v>0</v>
      </c>
    </row>
    <row r="60" spans="1:42" s="110" customFormat="1">
      <c r="A60" s="107" t="s">
        <v>278</v>
      </c>
      <c r="B60" s="107">
        <v>22106996</v>
      </c>
      <c r="C60" s="107" t="s">
        <v>279</v>
      </c>
      <c r="D60" s="213">
        <v>45076</v>
      </c>
      <c r="E60" s="110">
        <v>2</v>
      </c>
      <c r="F60" s="274">
        <v>80.2</v>
      </c>
      <c r="G60" s="274">
        <v>9.5</v>
      </c>
      <c r="H60" s="214">
        <f>G60/(F60/100)^2</f>
        <v>14.76980864546862</v>
      </c>
      <c r="I60" s="274"/>
      <c r="J60" s="280">
        <v>44254</v>
      </c>
      <c r="K60" s="280">
        <v>44329</v>
      </c>
      <c r="L60" s="261" t="s">
        <v>281</v>
      </c>
      <c r="M60" s="215" t="s">
        <v>2342</v>
      </c>
      <c r="N60" s="110">
        <v>1</v>
      </c>
      <c r="O60" s="110">
        <v>2</v>
      </c>
      <c r="P60" s="110" t="s">
        <v>2493</v>
      </c>
      <c r="R60" s="110">
        <v>700</v>
      </c>
      <c r="S60" s="110">
        <v>0</v>
      </c>
      <c r="T60" s="110">
        <v>0</v>
      </c>
      <c r="U60" s="110">
        <v>0</v>
      </c>
      <c r="V60" s="110">
        <v>0</v>
      </c>
      <c r="W60" s="110">
        <v>0</v>
      </c>
      <c r="X60" s="110">
        <v>0</v>
      </c>
      <c r="Y60" s="110">
        <v>0</v>
      </c>
      <c r="Z60" s="110">
        <v>0</v>
      </c>
      <c r="AA60" s="110">
        <v>0</v>
      </c>
      <c r="AB60" s="110">
        <v>0</v>
      </c>
      <c r="AC60" s="110">
        <v>0</v>
      </c>
      <c r="AD60" s="110">
        <v>0</v>
      </c>
      <c r="AE60" s="110">
        <v>0</v>
      </c>
      <c r="AF60" s="110">
        <v>1</v>
      </c>
      <c r="AG60" s="213">
        <v>44378</v>
      </c>
      <c r="AH60" s="110">
        <v>0</v>
      </c>
      <c r="AI60" s="110">
        <v>0</v>
      </c>
      <c r="AJ60" s="110">
        <v>0</v>
      </c>
      <c r="AK60" s="110">
        <v>0</v>
      </c>
      <c r="AL60" s="110">
        <v>0</v>
      </c>
      <c r="AM60" s="110">
        <v>0</v>
      </c>
      <c r="AN60" s="110">
        <v>0</v>
      </c>
      <c r="AO60" s="110">
        <v>0</v>
      </c>
      <c r="AP60" s="110">
        <v>0</v>
      </c>
    </row>
    <row r="61" spans="1:42" s="110" customFormat="1">
      <c r="A61" s="107" t="s">
        <v>283</v>
      </c>
      <c r="B61" s="107">
        <v>22106997</v>
      </c>
      <c r="C61" s="107" t="s">
        <v>284</v>
      </c>
      <c r="D61" s="213">
        <v>45076</v>
      </c>
      <c r="E61" s="110">
        <v>2</v>
      </c>
      <c r="F61" s="274">
        <v>85.8</v>
      </c>
      <c r="G61" s="274">
        <v>9</v>
      </c>
      <c r="H61" s="214">
        <f>G61/(F61/100)^2</f>
        <v>12.225536701061177</v>
      </c>
      <c r="I61" s="274"/>
      <c r="J61" s="280">
        <v>44254</v>
      </c>
      <c r="K61" s="280">
        <v>44329</v>
      </c>
      <c r="L61" s="261" t="s">
        <v>281</v>
      </c>
      <c r="M61" s="215" t="s">
        <v>2342</v>
      </c>
      <c r="N61" s="110">
        <v>1</v>
      </c>
      <c r="O61" s="110">
        <v>2</v>
      </c>
      <c r="P61" s="110" t="s">
        <v>2493</v>
      </c>
      <c r="R61" s="110">
        <v>700</v>
      </c>
      <c r="S61" s="110">
        <v>0</v>
      </c>
      <c r="T61" s="110">
        <v>0</v>
      </c>
      <c r="U61" s="110">
        <v>0</v>
      </c>
      <c r="V61" s="110">
        <v>0</v>
      </c>
      <c r="W61" s="110">
        <v>0</v>
      </c>
      <c r="X61" s="110">
        <v>0</v>
      </c>
      <c r="Y61" s="110">
        <v>0</v>
      </c>
      <c r="Z61" s="110">
        <v>0</v>
      </c>
      <c r="AA61" s="110">
        <v>0</v>
      </c>
      <c r="AB61" s="110">
        <v>0</v>
      </c>
      <c r="AC61" s="110">
        <v>0</v>
      </c>
      <c r="AD61" s="110">
        <v>0</v>
      </c>
      <c r="AE61" s="110">
        <v>0</v>
      </c>
      <c r="AG61" s="213"/>
    </row>
    <row r="62" spans="1:42" s="110" customFormat="1">
      <c r="A62" s="107" t="s">
        <v>286</v>
      </c>
      <c r="B62" s="107">
        <v>22108155</v>
      </c>
      <c r="C62" s="107" t="s">
        <v>287</v>
      </c>
      <c r="D62" s="213">
        <v>45365</v>
      </c>
      <c r="E62" s="110">
        <v>2</v>
      </c>
      <c r="F62" s="110">
        <v>90</v>
      </c>
      <c r="G62" s="110">
        <v>12</v>
      </c>
      <c r="I62" s="110">
        <v>44.2</v>
      </c>
      <c r="J62" s="75">
        <v>44446</v>
      </c>
      <c r="K62" s="75">
        <v>44446</v>
      </c>
      <c r="L62" s="93" t="s">
        <v>2638</v>
      </c>
      <c r="M62" s="215" t="s">
        <v>2342</v>
      </c>
      <c r="N62" s="110">
        <v>1.2</v>
      </c>
      <c r="O62" s="110">
        <v>2</v>
      </c>
      <c r="P62" s="110" t="s">
        <v>2514</v>
      </c>
      <c r="Q62" s="110" t="s">
        <v>2538</v>
      </c>
      <c r="R62" s="110" t="s">
        <v>2639</v>
      </c>
      <c r="S62" s="110">
        <v>0</v>
      </c>
      <c r="T62" s="110">
        <v>0</v>
      </c>
      <c r="U62" s="110">
        <v>0</v>
      </c>
      <c r="V62" s="110" t="s">
        <v>2640</v>
      </c>
      <c r="W62" s="110">
        <v>0</v>
      </c>
      <c r="X62" s="110">
        <v>0</v>
      </c>
      <c r="Y62" s="110">
        <v>0</v>
      </c>
      <c r="Z62" s="110">
        <v>0</v>
      </c>
      <c r="AA62" s="110">
        <v>0</v>
      </c>
      <c r="AB62" s="110">
        <v>0</v>
      </c>
      <c r="AC62" s="110">
        <v>0</v>
      </c>
      <c r="AD62" s="110">
        <v>0</v>
      </c>
      <c r="AE62" s="110">
        <v>0</v>
      </c>
      <c r="AF62" s="110">
        <v>1</v>
      </c>
      <c r="AG62" s="213">
        <v>44726</v>
      </c>
      <c r="AH62" s="110">
        <v>0</v>
      </c>
      <c r="AI62" s="110">
        <v>0</v>
      </c>
      <c r="AJ62" s="110">
        <v>0</v>
      </c>
      <c r="AK62" s="110">
        <v>0</v>
      </c>
      <c r="AL62" s="110">
        <v>0</v>
      </c>
      <c r="AM62" s="110">
        <v>0</v>
      </c>
      <c r="AN62" s="110">
        <v>0</v>
      </c>
      <c r="AO62" s="110">
        <v>0</v>
      </c>
    </row>
    <row r="63" spans="1:42" s="193" customFormat="1">
      <c r="A63" s="194" t="s">
        <v>291</v>
      </c>
      <c r="B63" s="194">
        <v>22106340</v>
      </c>
      <c r="C63" s="194" t="s">
        <v>292</v>
      </c>
      <c r="M63" s="218"/>
      <c r="AG63" s="219"/>
    </row>
    <row r="64" spans="1:42" s="189" customFormat="1">
      <c r="A64" s="185" t="s">
        <v>296</v>
      </c>
      <c r="B64" s="186">
        <v>22103195</v>
      </c>
      <c r="C64" s="190" t="s">
        <v>1138</v>
      </c>
      <c r="M64" s="217"/>
      <c r="AG64" s="201"/>
    </row>
    <row r="65" spans="1:43" s="189" customFormat="1">
      <c r="A65" s="185" t="s">
        <v>301</v>
      </c>
      <c r="B65" s="185">
        <v>22107168</v>
      </c>
      <c r="C65" s="185" t="s">
        <v>302</v>
      </c>
      <c r="D65" s="201">
        <v>45107</v>
      </c>
      <c r="E65" s="189">
        <v>1</v>
      </c>
      <c r="F65" s="272">
        <v>86</v>
      </c>
      <c r="G65" s="272">
        <v>11.2</v>
      </c>
      <c r="H65" s="281">
        <f>G65/(F65/100)^2</f>
        <v>15.143320713899406</v>
      </c>
      <c r="I65" s="272">
        <v>46</v>
      </c>
      <c r="J65" s="279">
        <v>44272</v>
      </c>
      <c r="K65" s="279">
        <v>44338</v>
      </c>
      <c r="L65" s="270" t="s">
        <v>304</v>
      </c>
      <c r="M65" s="217" t="s">
        <v>2342</v>
      </c>
      <c r="N65" s="189">
        <v>1.2</v>
      </c>
      <c r="O65" s="189">
        <v>2</v>
      </c>
      <c r="P65" s="189" t="s">
        <v>2501</v>
      </c>
      <c r="Q65" s="189">
        <v>1.5</v>
      </c>
      <c r="R65" s="189">
        <v>180</v>
      </c>
      <c r="S65" s="189">
        <v>2</v>
      </c>
      <c r="X65" s="189" t="s">
        <v>2505</v>
      </c>
      <c r="AA65" s="189">
        <v>0</v>
      </c>
      <c r="AF65" s="189">
        <v>1</v>
      </c>
      <c r="AG65" s="201">
        <v>44819</v>
      </c>
      <c r="AH65" s="189">
        <v>0</v>
      </c>
      <c r="AI65" s="189">
        <v>0</v>
      </c>
      <c r="AN65" s="189">
        <v>1</v>
      </c>
      <c r="AO65" s="201">
        <v>44855</v>
      </c>
      <c r="AP65" s="189">
        <v>0</v>
      </c>
    </row>
    <row r="66" spans="1:43" s="193" customFormat="1">
      <c r="A66" s="192" t="s">
        <v>306</v>
      </c>
      <c r="B66" s="192">
        <v>22107334</v>
      </c>
      <c r="C66" s="192" t="s">
        <v>307</v>
      </c>
      <c r="M66" s="218"/>
      <c r="AG66" s="219"/>
    </row>
    <row r="67" spans="1:43" s="193" customFormat="1">
      <c r="A67" s="192" t="s">
        <v>309</v>
      </c>
      <c r="B67" s="192">
        <v>22107336</v>
      </c>
      <c r="C67" s="192" t="s">
        <v>310</v>
      </c>
      <c r="M67" s="218"/>
      <c r="AG67" s="219"/>
    </row>
    <row r="68" spans="1:43" s="189" customFormat="1">
      <c r="A68" s="185" t="s">
        <v>312</v>
      </c>
      <c r="B68" s="185">
        <v>22106885</v>
      </c>
      <c r="C68" s="185" t="s">
        <v>313</v>
      </c>
      <c r="D68" s="201">
        <v>45071</v>
      </c>
      <c r="E68" s="189">
        <v>2</v>
      </c>
      <c r="F68" s="278">
        <v>84.6</v>
      </c>
      <c r="G68" s="278">
        <v>11.6</v>
      </c>
      <c r="H68" s="281">
        <f>G68/(F68/100)^2</f>
        <v>16.207546009869837</v>
      </c>
      <c r="I68" s="272"/>
      <c r="J68" s="279">
        <v>44246</v>
      </c>
      <c r="K68" s="279">
        <v>44356</v>
      </c>
      <c r="L68" s="271" t="s">
        <v>314</v>
      </c>
      <c r="M68" s="217" t="s">
        <v>2513</v>
      </c>
      <c r="N68" s="189">
        <v>1.2</v>
      </c>
      <c r="O68" s="189">
        <v>2</v>
      </c>
      <c r="Q68" s="189">
        <v>1.4</v>
      </c>
      <c r="S68" s="189" t="s">
        <v>2489</v>
      </c>
      <c r="T68" s="189">
        <v>0</v>
      </c>
      <c r="U68" s="189">
        <v>0</v>
      </c>
      <c r="V68" s="189">
        <v>0</v>
      </c>
      <c r="W68" s="189">
        <v>0</v>
      </c>
      <c r="X68" s="189" t="s">
        <v>2490</v>
      </c>
      <c r="Y68" s="189" t="s">
        <v>2491</v>
      </c>
      <c r="Z68" s="189" t="s">
        <v>2492</v>
      </c>
      <c r="AA68" s="189">
        <v>1</v>
      </c>
      <c r="AB68" s="189">
        <v>0</v>
      </c>
      <c r="AC68" s="189">
        <v>0</v>
      </c>
      <c r="AD68" s="189" t="s">
        <v>2353</v>
      </c>
      <c r="AF68" s="189">
        <v>1</v>
      </c>
      <c r="AG68" s="201">
        <v>45064</v>
      </c>
      <c r="AH68" s="189">
        <v>0</v>
      </c>
      <c r="AI68" s="189">
        <v>1</v>
      </c>
      <c r="AJ68" s="201">
        <v>44793</v>
      </c>
      <c r="AK68" s="189">
        <v>1</v>
      </c>
      <c r="AL68" s="201">
        <v>44847</v>
      </c>
      <c r="AM68" s="189">
        <v>2</v>
      </c>
      <c r="AP68" s="189">
        <v>0</v>
      </c>
    </row>
    <row r="69" spans="1:43" s="189" customFormat="1">
      <c r="A69" s="185" t="s">
        <v>316</v>
      </c>
      <c r="B69" s="185">
        <v>22106005</v>
      </c>
      <c r="C69" s="185" t="s">
        <v>317</v>
      </c>
      <c r="D69" s="201">
        <v>44994</v>
      </c>
      <c r="E69" s="189">
        <v>1</v>
      </c>
      <c r="F69" s="278">
        <v>87</v>
      </c>
      <c r="G69" s="278">
        <v>11.5</v>
      </c>
      <c r="H69" s="281">
        <f>G69/(F69/100)^2</f>
        <v>15.193552648962875</v>
      </c>
      <c r="I69" s="272"/>
      <c r="J69" s="279">
        <v>44164</v>
      </c>
      <c r="K69" s="279">
        <v>44259</v>
      </c>
      <c r="L69" s="99" t="s">
        <v>276</v>
      </c>
      <c r="M69" s="217" t="s">
        <v>2513</v>
      </c>
      <c r="N69" s="189">
        <v>1</v>
      </c>
      <c r="O69" s="189">
        <v>2</v>
      </c>
      <c r="P69" s="189" t="s">
        <v>2438</v>
      </c>
      <c r="Q69" s="189" t="s">
        <v>2439</v>
      </c>
      <c r="R69" s="189">
        <v>330</v>
      </c>
      <c r="S69" s="189">
        <v>0</v>
      </c>
      <c r="T69" s="189">
        <v>0</v>
      </c>
      <c r="U69" s="189">
        <v>0</v>
      </c>
      <c r="V69" s="189">
        <v>0</v>
      </c>
      <c r="W69" s="189">
        <v>0</v>
      </c>
      <c r="X69" s="189">
        <v>0</v>
      </c>
      <c r="Y69" s="189">
        <v>0</v>
      </c>
      <c r="Z69" s="189">
        <v>0</v>
      </c>
      <c r="AA69" s="189">
        <v>1</v>
      </c>
      <c r="AB69" s="189">
        <v>0</v>
      </c>
      <c r="AC69" s="189">
        <v>0</v>
      </c>
      <c r="AD69" s="189" t="s">
        <v>2440</v>
      </c>
      <c r="AE69" s="189">
        <v>0</v>
      </c>
      <c r="AF69" s="189">
        <v>1</v>
      </c>
      <c r="AG69" s="201" t="s">
        <v>2441</v>
      </c>
      <c r="AH69" s="189">
        <v>0</v>
      </c>
      <c r="AI69" s="189">
        <v>0</v>
      </c>
      <c r="AJ69" s="189">
        <v>0</v>
      </c>
      <c r="AK69" s="189">
        <v>0</v>
      </c>
      <c r="AL69" s="189">
        <v>0</v>
      </c>
      <c r="AM69" s="189">
        <v>0</v>
      </c>
      <c r="AN69" s="189">
        <v>1</v>
      </c>
      <c r="AP69" s="189">
        <v>0</v>
      </c>
    </row>
    <row r="70" spans="1:43" s="110" customFormat="1">
      <c r="A70" s="107" t="s">
        <v>320</v>
      </c>
      <c r="B70" s="107">
        <v>22108151</v>
      </c>
      <c r="C70" s="107" t="s">
        <v>321</v>
      </c>
      <c r="D70" s="213">
        <v>45283</v>
      </c>
      <c r="E70" s="110">
        <v>1</v>
      </c>
      <c r="F70" s="110">
        <v>90</v>
      </c>
      <c r="G70" s="110">
        <v>12</v>
      </c>
      <c r="J70" s="40">
        <v>44374</v>
      </c>
      <c r="K70" s="40">
        <v>44436</v>
      </c>
      <c r="L70" s="110" t="s">
        <v>323</v>
      </c>
      <c r="M70" s="215" t="s">
        <v>2342</v>
      </c>
      <c r="N70" s="110" t="s">
        <v>2611</v>
      </c>
      <c r="O70" s="110">
        <v>2</v>
      </c>
      <c r="P70" s="110" t="s">
        <v>2612</v>
      </c>
      <c r="Q70" s="110">
        <v>1.5</v>
      </c>
      <c r="R70" s="110">
        <v>180</v>
      </c>
      <c r="S70" s="110">
        <v>0</v>
      </c>
      <c r="T70" s="110">
        <v>0</v>
      </c>
      <c r="U70" s="110">
        <v>0</v>
      </c>
      <c r="V70" s="110">
        <v>0</v>
      </c>
      <c r="W70" s="110">
        <v>0</v>
      </c>
      <c r="X70" s="110" t="s">
        <v>2352</v>
      </c>
      <c r="Y70" s="110">
        <v>0</v>
      </c>
      <c r="Z70" s="110">
        <v>0</v>
      </c>
      <c r="AA70" s="110">
        <v>0</v>
      </c>
      <c r="AB70" s="110">
        <v>0</v>
      </c>
      <c r="AC70" s="110">
        <v>0</v>
      </c>
      <c r="AD70" s="110">
        <v>0</v>
      </c>
      <c r="AE70" s="110">
        <v>0</v>
      </c>
      <c r="AF70" s="110">
        <v>0</v>
      </c>
      <c r="AG70" s="213">
        <v>0</v>
      </c>
      <c r="AH70" s="110">
        <v>0</v>
      </c>
      <c r="AI70" s="110">
        <v>0</v>
      </c>
      <c r="AJ70" s="110">
        <v>0</v>
      </c>
      <c r="AK70" s="110">
        <v>0</v>
      </c>
      <c r="AL70" s="110">
        <v>0</v>
      </c>
      <c r="AM70" s="110">
        <v>0</v>
      </c>
      <c r="AN70" s="110">
        <v>0</v>
      </c>
      <c r="AO70" s="110">
        <v>0</v>
      </c>
      <c r="AP70" s="110">
        <v>0</v>
      </c>
      <c r="AQ70" s="110">
        <v>0</v>
      </c>
    </row>
    <row r="71" spans="1:43" s="193" customFormat="1">
      <c r="A71" s="194" t="s">
        <v>325</v>
      </c>
      <c r="B71" s="194">
        <v>22108143</v>
      </c>
      <c r="C71" s="194" t="s">
        <v>326</v>
      </c>
      <c r="M71" s="218"/>
      <c r="AG71" s="219"/>
    </row>
    <row r="72" spans="1:43" s="110" customFormat="1">
      <c r="A72" s="107" t="s">
        <v>329</v>
      </c>
      <c r="B72" s="107">
        <v>22107452</v>
      </c>
      <c r="C72" s="107" t="s">
        <v>330</v>
      </c>
      <c r="D72" s="213">
        <v>45148</v>
      </c>
      <c r="E72" s="110">
        <v>1</v>
      </c>
      <c r="F72" s="274">
        <v>90</v>
      </c>
      <c r="G72" s="274">
        <v>8.8000000000000007</v>
      </c>
      <c r="H72" s="214">
        <f>G72/(F72/100)^2</f>
        <v>10.864197530864198</v>
      </c>
      <c r="I72" s="274"/>
      <c r="J72" s="280">
        <v>44301</v>
      </c>
      <c r="K72" s="280">
        <v>44393</v>
      </c>
      <c r="L72" s="261" t="s">
        <v>165</v>
      </c>
      <c r="M72" s="215" t="s">
        <v>2342</v>
      </c>
      <c r="N72" s="110">
        <v>1</v>
      </c>
      <c r="O72" s="110">
        <v>2</v>
      </c>
      <c r="P72" s="110" t="s">
        <v>2347</v>
      </c>
      <c r="Q72" s="110" t="s">
        <v>2355</v>
      </c>
      <c r="R72" s="110">
        <v>130</v>
      </c>
      <c r="S72" s="110">
        <v>2.2999999999999998</v>
      </c>
      <c r="T72" s="110" t="s">
        <v>2520</v>
      </c>
      <c r="U72" s="110" t="s">
        <v>2520</v>
      </c>
      <c r="V72" s="110">
        <v>0</v>
      </c>
      <c r="W72" s="268" t="s">
        <v>2519</v>
      </c>
      <c r="X72" s="268" t="s">
        <v>2519</v>
      </c>
      <c r="Y72" s="110">
        <v>0</v>
      </c>
      <c r="Z72" s="110">
        <v>0</v>
      </c>
      <c r="AA72" s="110">
        <v>1</v>
      </c>
      <c r="AD72" s="110" t="s">
        <v>2353</v>
      </c>
      <c r="AF72" s="110">
        <v>1</v>
      </c>
      <c r="AG72" s="213" t="s">
        <v>2521</v>
      </c>
      <c r="AH72" s="110">
        <v>0</v>
      </c>
      <c r="AI72" s="110">
        <v>0</v>
      </c>
      <c r="AJ72" s="110">
        <v>0</v>
      </c>
      <c r="AK72" s="110">
        <v>0</v>
      </c>
      <c r="AL72" s="110">
        <v>0</v>
      </c>
      <c r="AM72" s="110">
        <v>0</v>
      </c>
      <c r="AN72" s="110">
        <v>1</v>
      </c>
    </row>
    <row r="73" spans="1:43" s="110" customFormat="1">
      <c r="A73" s="107" t="s">
        <v>333</v>
      </c>
      <c r="B73" s="107">
        <v>22105672</v>
      </c>
      <c r="C73" s="107" t="s">
        <v>334</v>
      </c>
      <c r="D73" s="213">
        <v>45230</v>
      </c>
      <c r="E73" s="110">
        <v>2</v>
      </c>
      <c r="F73" s="110">
        <v>88.3</v>
      </c>
      <c r="G73" s="110">
        <v>9.5</v>
      </c>
      <c r="I73" s="110">
        <v>45.9</v>
      </c>
      <c r="J73" s="213">
        <v>44496</v>
      </c>
      <c r="K73" s="213">
        <v>44578</v>
      </c>
      <c r="L73" s="110">
        <v>28</v>
      </c>
      <c r="M73" s="215" t="s">
        <v>2342</v>
      </c>
      <c r="N73" s="110">
        <v>1</v>
      </c>
      <c r="O73" s="110">
        <v>2</v>
      </c>
      <c r="P73" s="110" t="s">
        <v>2572</v>
      </c>
      <c r="Q73" s="110">
        <v>1.5</v>
      </c>
      <c r="R73" s="110">
        <v>180</v>
      </c>
      <c r="S73" s="110">
        <v>2.2999999999999998</v>
      </c>
      <c r="T73" s="110">
        <v>0</v>
      </c>
      <c r="U73" s="110" t="s">
        <v>2573</v>
      </c>
      <c r="V73" s="110">
        <v>0</v>
      </c>
      <c r="W73" s="110" t="s">
        <v>2574</v>
      </c>
      <c r="X73" s="110" t="s">
        <v>2575</v>
      </c>
      <c r="Y73" s="110">
        <v>0</v>
      </c>
      <c r="Z73" s="110">
        <v>0</v>
      </c>
      <c r="AA73" s="110">
        <v>1</v>
      </c>
      <c r="AB73" s="110">
        <v>0</v>
      </c>
      <c r="AC73" s="110">
        <v>0</v>
      </c>
      <c r="AD73" s="110" t="s">
        <v>2353</v>
      </c>
      <c r="AE73" s="110">
        <v>0</v>
      </c>
      <c r="AF73" s="110">
        <v>1</v>
      </c>
      <c r="AG73" s="213">
        <v>44692</v>
      </c>
      <c r="AH73" s="110">
        <v>0</v>
      </c>
      <c r="AI73" s="110">
        <v>0</v>
      </c>
      <c r="AJ73" s="110">
        <v>0</v>
      </c>
      <c r="AK73" s="110">
        <v>0</v>
      </c>
      <c r="AL73" s="110">
        <v>0</v>
      </c>
      <c r="AM73" s="110">
        <v>0</v>
      </c>
      <c r="AN73" s="110">
        <v>1</v>
      </c>
    </row>
    <row r="74" spans="1:43" s="193" customFormat="1">
      <c r="A74" s="192" t="s">
        <v>337</v>
      </c>
      <c r="B74" s="192">
        <v>22108394</v>
      </c>
      <c r="C74" s="192" t="s">
        <v>338</v>
      </c>
      <c r="M74" s="218"/>
      <c r="AG74" s="219"/>
    </row>
    <row r="75" spans="1:43" s="193" customFormat="1">
      <c r="A75" s="192" t="s">
        <v>341</v>
      </c>
      <c r="B75" s="192">
        <v>22108395</v>
      </c>
      <c r="C75" s="192" t="s">
        <v>342</v>
      </c>
      <c r="M75" s="218"/>
      <c r="AG75" s="219"/>
    </row>
    <row r="76" spans="1:43" s="189" customFormat="1">
      <c r="A76" s="185" t="s">
        <v>344</v>
      </c>
      <c r="B76" s="186">
        <v>21929897</v>
      </c>
      <c r="C76" s="190" t="s">
        <v>1190</v>
      </c>
      <c r="M76" s="217"/>
      <c r="AG76" s="201"/>
    </row>
    <row r="77" spans="1:43" s="189" customFormat="1">
      <c r="A77" s="185" t="s">
        <v>349</v>
      </c>
      <c r="B77" s="186">
        <v>22102403</v>
      </c>
      <c r="C77" s="190" t="s">
        <v>1198</v>
      </c>
      <c r="M77" s="217"/>
      <c r="AG77" s="201"/>
    </row>
    <row r="78" spans="1:43" s="110" customFormat="1">
      <c r="A78" s="107" t="s">
        <v>353</v>
      </c>
      <c r="B78" s="107">
        <v>22107823</v>
      </c>
      <c r="C78" s="107" t="s">
        <v>354</v>
      </c>
      <c r="D78" s="213">
        <v>45173</v>
      </c>
      <c r="E78" s="110">
        <v>2</v>
      </c>
      <c r="F78" s="274">
        <v>85.6</v>
      </c>
      <c r="G78" s="274">
        <v>10.6</v>
      </c>
      <c r="H78" s="214">
        <v>14.5</v>
      </c>
      <c r="I78" s="274"/>
      <c r="J78" s="275">
        <v>44339</v>
      </c>
      <c r="K78" s="275">
        <v>44405</v>
      </c>
      <c r="L78" s="261" t="s">
        <v>134</v>
      </c>
      <c r="M78" s="215" t="s">
        <v>2342</v>
      </c>
      <c r="N78" s="110">
        <v>1</v>
      </c>
      <c r="O78" s="110">
        <v>2</v>
      </c>
      <c r="P78" s="110" t="s">
        <v>2540</v>
      </c>
      <c r="Q78" s="110">
        <v>1.5</v>
      </c>
      <c r="R78" s="110">
        <v>210</v>
      </c>
      <c r="S78" s="110" t="s">
        <v>2541</v>
      </c>
      <c r="W78" s="110" t="s">
        <v>2542</v>
      </c>
      <c r="AA78" s="110">
        <v>0</v>
      </c>
      <c r="AF78" s="110">
        <v>1</v>
      </c>
      <c r="AG78" s="213" t="s">
        <v>2543</v>
      </c>
      <c r="AH78" s="110">
        <v>0</v>
      </c>
      <c r="AI78" s="110">
        <v>2</v>
      </c>
      <c r="AM78" s="110">
        <v>0</v>
      </c>
      <c r="AN78" s="110">
        <v>1</v>
      </c>
    </row>
    <row r="79" spans="1:43" s="193" customFormat="1">
      <c r="A79" s="194" t="s">
        <v>357</v>
      </c>
      <c r="B79" s="194">
        <v>4998396</v>
      </c>
      <c r="C79" s="194" t="s">
        <v>358</v>
      </c>
      <c r="M79" s="218"/>
      <c r="AG79" s="219"/>
    </row>
    <row r="80" spans="1:43" s="189" customFormat="1">
      <c r="A80" s="185" t="s">
        <v>359</v>
      </c>
      <c r="B80" s="185">
        <v>22270695</v>
      </c>
      <c r="C80" s="185" t="s">
        <v>360</v>
      </c>
      <c r="D80" s="201">
        <v>45080</v>
      </c>
      <c r="E80" s="189">
        <v>1</v>
      </c>
      <c r="F80" s="185">
        <v>82.7</v>
      </c>
      <c r="G80" s="185">
        <v>11.3</v>
      </c>
      <c r="H80" s="281">
        <f>G80/(F80/100)^2</f>
        <v>16.522182858162175</v>
      </c>
      <c r="J80" s="95">
        <v>44227</v>
      </c>
      <c r="K80" s="95">
        <v>44324</v>
      </c>
      <c r="L80" s="270">
        <v>26</v>
      </c>
      <c r="M80" s="217" t="s">
        <v>2342</v>
      </c>
      <c r="N80" s="189" t="s">
        <v>2426</v>
      </c>
      <c r="O80" s="189">
        <v>2</v>
      </c>
      <c r="P80" s="189" t="s">
        <v>2473</v>
      </c>
      <c r="Q80" s="189">
        <v>1.4</v>
      </c>
      <c r="R80" s="189">
        <v>160</v>
      </c>
      <c r="S80" s="189" t="s">
        <v>2487</v>
      </c>
      <c r="T80" s="189">
        <v>0</v>
      </c>
      <c r="U80" s="189">
        <v>0</v>
      </c>
      <c r="V80" s="189">
        <v>0</v>
      </c>
      <c r="W80" s="189">
        <v>0</v>
      </c>
      <c r="X80" s="189" t="s">
        <v>2488</v>
      </c>
      <c r="Y80" s="189" t="s">
        <v>2488</v>
      </c>
      <c r="AA80" s="189">
        <v>1</v>
      </c>
      <c r="AB80" s="189">
        <v>0</v>
      </c>
      <c r="AC80" s="189">
        <v>0</v>
      </c>
      <c r="AD80" s="189" t="s">
        <v>2353</v>
      </c>
      <c r="AF80" s="189">
        <v>0</v>
      </c>
      <c r="AG80" s="201"/>
      <c r="AI80" s="189">
        <v>1</v>
      </c>
      <c r="AJ80" s="201">
        <v>44832</v>
      </c>
      <c r="AK80" s="189">
        <v>2</v>
      </c>
      <c r="AL80" s="201">
        <v>44895</v>
      </c>
      <c r="AM80" s="189">
        <v>2</v>
      </c>
      <c r="AN80" s="189">
        <v>1</v>
      </c>
      <c r="AO80" s="201">
        <v>44836</v>
      </c>
      <c r="AP80" s="189">
        <v>0</v>
      </c>
    </row>
    <row r="81" spans="1:42" s="110" customFormat="1">
      <c r="A81" s="107" t="s">
        <v>363</v>
      </c>
      <c r="B81" s="107">
        <v>22107485</v>
      </c>
      <c r="C81" s="107" t="s">
        <v>364</v>
      </c>
      <c r="D81" s="213">
        <v>45128</v>
      </c>
      <c r="E81" s="110">
        <v>1</v>
      </c>
      <c r="F81" s="107">
        <v>91.7</v>
      </c>
      <c r="G81" s="107">
        <v>14.5</v>
      </c>
      <c r="H81" s="214">
        <f>G81/(F81/100)^2</f>
        <v>17.243655226789741</v>
      </c>
      <c r="I81" s="110">
        <v>49.3</v>
      </c>
      <c r="J81" s="213">
        <v>44304</v>
      </c>
      <c r="K81" s="213">
        <v>44368</v>
      </c>
      <c r="L81" s="261" t="s">
        <v>299</v>
      </c>
      <c r="M81" s="215" t="s">
        <v>2342</v>
      </c>
      <c r="N81" s="110">
        <v>1</v>
      </c>
      <c r="O81" s="110">
        <v>2</v>
      </c>
      <c r="P81" s="110" t="s">
        <v>2511</v>
      </c>
      <c r="Q81" s="110">
        <v>1.5</v>
      </c>
      <c r="R81" s="110">
        <v>270</v>
      </c>
      <c r="S81" s="110">
        <v>0</v>
      </c>
      <c r="T81" s="110">
        <v>0</v>
      </c>
      <c r="U81" s="110">
        <v>0</v>
      </c>
      <c r="V81" s="110">
        <v>0</v>
      </c>
      <c r="W81" s="110">
        <v>0</v>
      </c>
      <c r="X81" s="110">
        <v>0</v>
      </c>
      <c r="Y81" s="110" t="s">
        <v>2512</v>
      </c>
      <c r="AA81" s="110">
        <v>0</v>
      </c>
      <c r="AB81" s="110">
        <v>0</v>
      </c>
      <c r="AC81" s="110">
        <v>0</v>
      </c>
      <c r="AD81" s="110">
        <v>0</v>
      </c>
      <c r="AE81" s="110">
        <v>0</v>
      </c>
      <c r="AF81" s="110">
        <v>0</v>
      </c>
      <c r="AG81" s="213">
        <v>44892</v>
      </c>
      <c r="AH81" s="110">
        <v>0</v>
      </c>
      <c r="AI81" s="110">
        <v>2</v>
      </c>
      <c r="AJ81" s="213">
        <v>44803</v>
      </c>
    </row>
    <row r="82" spans="1:42" s="110" customFormat="1">
      <c r="A82" s="107" t="s">
        <v>367</v>
      </c>
      <c r="B82" s="107">
        <v>22107486</v>
      </c>
      <c r="C82" s="107" t="s">
        <v>368</v>
      </c>
      <c r="D82" s="213">
        <v>45128</v>
      </c>
      <c r="E82" s="110">
        <v>1</v>
      </c>
      <c r="F82" s="107">
        <v>92.8</v>
      </c>
      <c r="G82" s="107">
        <v>14.9</v>
      </c>
      <c r="H82" s="214">
        <f>G82/(F82/100)^2</f>
        <v>17.301761296076105</v>
      </c>
      <c r="I82" s="110">
        <v>49.2</v>
      </c>
      <c r="J82" s="213">
        <v>44304</v>
      </c>
      <c r="K82" s="213">
        <v>44368</v>
      </c>
      <c r="L82" s="261" t="s">
        <v>299</v>
      </c>
      <c r="M82" s="215" t="s">
        <v>2342</v>
      </c>
      <c r="N82" s="110">
        <v>1</v>
      </c>
      <c r="O82" s="110">
        <v>2</v>
      </c>
      <c r="P82" s="110" t="s">
        <v>2511</v>
      </c>
      <c r="Q82" s="110">
        <v>1.5</v>
      </c>
      <c r="R82" s="110">
        <v>270</v>
      </c>
      <c r="S82" s="110">
        <v>0</v>
      </c>
      <c r="T82" s="110">
        <v>0</v>
      </c>
      <c r="U82" s="110">
        <v>0</v>
      </c>
      <c r="V82" s="110">
        <v>0</v>
      </c>
      <c r="W82" s="110">
        <v>0</v>
      </c>
      <c r="X82" s="110">
        <v>0</v>
      </c>
      <c r="Y82" s="110" t="s">
        <v>2512</v>
      </c>
      <c r="AA82" s="110">
        <v>0</v>
      </c>
      <c r="AB82" s="110">
        <v>0</v>
      </c>
      <c r="AC82" s="110">
        <v>0</v>
      </c>
      <c r="AD82" s="110">
        <v>0</v>
      </c>
      <c r="AE82" s="110">
        <v>0</v>
      </c>
      <c r="AF82" s="110">
        <v>0</v>
      </c>
      <c r="AG82" s="213">
        <v>44892</v>
      </c>
      <c r="AH82" s="110">
        <v>0</v>
      </c>
      <c r="AI82" s="110">
        <v>2</v>
      </c>
      <c r="AJ82" s="213">
        <v>44803</v>
      </c>
    </row>
    <row r="83" spans="1:42" s="203" customFormat="1">
      <c r="A83" s="202" t="s">
        <v>370</v>
      </c>
      <c r="B83" s="202">
        <v>22108150</v>
      </c>
      <c r="C83" s="202" t="s">
        <v>371</v>
      </c>
      <c r="M83" s="224"/>
      <c r="AG83" s="225"/>
    </row>
    <row r="84" spans="1:42" s="193" customFormat="1">
      <c r="A84" s="194" t="s">
        <v>373</v>
      </c>
      <c r="B84" s="194">
        <v>22107133</v>
      </c>
      <c r="C84" s="194" t="s">
        <v>374</v>
      </c>
      <c r="M84" s="218"/>
      <c r="O84" s="193">
        <v>0</v>
      </c>
      <c r="AG84" s="219"/>
    </row>
    <row r="85" spans="1:42" s="110" customFormat="1">
      <c r="A85" s="107" t="s">
        <v>377</v>
      </c>
      <c r="B85" s="107">
        <v>22108726</v>
      </c>
      <c r="C85" s="107" t="s">
        <v>378</v>
      </c>
      <c r="E85" s="110">
        <v>2</v>
      </c>
      <c r="F85" s="110">
        <v>91.4</v>
      </c>
      <c r="G85" s="110">
        <v>12.9</v>
      </c>
      <c r="I85" s="110">
        <v>47.5</v>
      </c>
      <c r="J85" s="40">
        <v>44437</v>
      </c>
      <c r="K85" s="40">
        <v>44434</v>
      </c>
      <c r="L85" s="110" t="s">
        <v>226</v>
      </c>
      <c r="M85" s="215" t="s">
        <v>2342</v>
      </c>
      <c r="N85" s="110">
        <v>1</v>
      </c>
      <c r="O85" s="110">
        <v>2</v>
      </c>
      <c r="Q85" s="110">
        <v>1.5</v>
      </c>
      <c r="T85" s="110">
        <v>0</v>
      </c>
      <c r="U85" s="110">
        <v>0</v>
      </c>
      <c r="V85" s="110">
        <v>0</v>
      </c>
      <c r="W85" s="110">
        <v>0</v>
      </c>
      <c r="X85" s="110">
        <v>0</v>
      </c>
      <c r="Y85" s="110">
        <v>0</v>
      </c>
      <c r="Z85" s="110">
        <v>0</v>
      </c>
      <c r="AA85" s="110">
        <v>0</v>
      </c>
      <c r="AB85" s="110">
        <v>0</v>
      </c>
      <c r="AC85" s="110">
        <v>0</v>
      </c>
      <c r="AD85" s="110">
        <v>0</v>
      </c>
      <c r="AE85" s="110">
        <v>0</v>
      </c>
      <c r="AF85" s="110">
        <v>0</v>
      </c>
      <c r="AG85" s="213"/>
      <c r="AH85" s="110">
        <v>0</v>
      </c>
      <c r="AI85" s="110">
        <v>1</v>
      </c>
      <c r="AJ85" s="213">
        <v>44802</v>
      </c>
      <c r="AK85" s="110">
        <v>1</v>
      </c>
      <c r="AL85" s="213">
        <v>44833</v>
      </c>
      <c r="AM85" s="110">
        <v>0</v>
      </c>
      <c r="AN85" s="110">
        <v>1</v>
      </c>
      <c r="AO85" s="110">
        <v>0</v>
      </c>
    </row>
    <row r="86" spans="1:42" s="189" customFormat="1">
      <c r="A86" s="185" t="s">
        <v>381</v>
      </c>
      <c r="B86" s="185">
        <v>22104406</v>
      </c>
      <c r="C86" s="185" t="s">
        <v>382</v>
      </c>
      <c r="D86" s="201">
        <v>44879</v>
      </c>
      <c r="E86" s="189">
        <v>2</v>
      </c>
      <c r="F86" s="185">
        <v>83</v>
      </c>
      <c r="G86" s="189">
        <v>9.9</v>
      </c>
      <c r="H86" s="281">
        <f>G86/(F86/100)^2</f>
        <v>14.37073595587168</v>
      </c>
      <c r="I86" s="189">
        <v>47.5</v>
      </c>
      <c r="J86" s="201">
        <v>44008</v>
      </c>
      <c r="K86" s="201">
        <v>44099</v>
      </c>
      <c r="L86" s="270">
        <v>27</v>
      </c>
      <c r="M86" s="217" t="s">
        <v>2342</v>
      </c>
      <c r="N86" s="189" t="s">
        <v>2354</v>
      </c>
      <c r="O86" s="189">
        <v>2</v>
      </c>
      <c r="P86" s="189" t="s">
        <v>1888</v>
      </c>
      <c r="Q86" s="189" t="s">
        <v>2355</v>
      </c>
      <c r="R86" s="189">
        <v>150</v>
      </c>
      <c r="S86" s="189" t="s">
        <v>2356</v>
      </c>
      <c r="T86" s="189">
        <v>0</v>
      </c>
      <c r="U86" s="189">
        <v>0</v>
      </c>
      <c r="V86" s="189" t="s">
        <v>2357</v>
      </c>
      <c r="W86" s="189">
        <v>0</v>
      </c>
      <c r="X86" s="189">
        <v>0</v>
      </c>
      <c r="Y86" s="189">
        <v>0</v>
      </c>
      <c r="Z86" s="189">
        <v>0</v>
      </c>
      <c r="AA86" s="189">
        <v>0</v>
      </c>
      <c r="AB86" s="189">
        <v>0</v>
      </c>
      <c r="AC86" s="189">
        <v>0</v>
      </c>
      <c r="AD86" s="189">
        <v>0</v>
      </c>
      <c r="AE86" s="189">
        <v>0</v>
      </c>
      <c r="AF86" s="189">
        <v>1</v>
      </c>
      <c r="AG86" s="201" t="s">
        <v>2358</v>
      </c>
      <c r="AH86" s="189">
        <v>0</v>
      </c>
      <c r="AI86" s="189">
        <v>0</v>
      </c>
      <c r="AJ86" s="189">
        <v>0</v>
      </c>
      <c r="AK86" s="189">
        <v>0</v>
      </c>
      <c r="AL86" s="189">
        <v>0</v>
      </c>
      <c r="AM86" s="189">
        <v>0</v>
      </c>
      <c r="AN86" s="189">
        <v>1</v>
      </c>
      <c r="AO86" s="201">
        <v>44841</v>
      </c>
      <c r="AP86" s="189">
        <v>0</v>
      </c>
    </row>
    <row r="87" spans="1:42" s="193" customFormat="1">
      <c r="A87" s="194" t="s">
        <v>384</v>
      </c>
      <c r="B87" s="194">
        <v>22108755</v>
      </c>
      <c r="C87" s="194" t="s">
        <v>385</v>
      </c>
      <c r="M87" s="218"/>
      <c r="AG87" s="219"/>
    </row>
    <row r="88" spans="1:42" s="193" customFormat="1">
      <c r="A88" s="194" t="s">
        <v>388</v>
      </c>
      <c r="B88" s="194">
        <v>22108762</v>
      </c>
      <c r="C88" s="194" t="s">
        <v>389</v>
      </c>
      <c r="M88" s="218"/>
      <c r="AG88" s="219"/>
    </row>
    <row r="89" spans="1:42" s="193" customFormat="1">
      <c r="A89" s="194" t="s">
        <v>393</v>
      </c>
      <c r="B89" s="194">
        <v>22105932</v>
      </c>
      <c r="C89" s="194" t="s">
        <v>394</v>
      </c>
      <c r="M89" s="218"/>
      <c r="AG89" s="219"/>
    </row>
    <row r="90" spans="1:42" s="193" customFormat="1">
      <c r="A90" s="194" t="s">
        <v>397</v>
      </c>
      <c r="B90" s="194">
        <v>22105933</v>
      </c>
      <c r="C90" s="194" t="s">
        <v>398</v>
      </c>
      <c r="M90" s="218"/>
      <c r="AG90" s="219"/>
    </row>
    <row r="91" spans="1:42" s="189" customFormat="1">
      <c r="A91" s="185" t="s">
        <v>399</v>
      </c>
      <c r="B91" s="185">
        <v>22107573</v>
      </c>
      <c r="C91" s="185" t="s">
        <v>400</v>
      </c>
      <c r="D91" s="201">
        <v>45158</v>
      </c>
      <c r="E91" s="189">
        <v>2</v>
      </c>
      <c r="F91" s="189">
        <v>87.6</v>
      </c>
      <c r="G91" s="189">
        <v>11.6</v>
      </c>
      <c r="H91" s="281">
        <f>G91/(F91/100)^2</f>
        <v>15.116448781301477</v>
      </c>
      <c r="I91" s="189">
        <v>49.4</v>
      </c>
      <c r="J91" s="95">
        <v>44313</v>
      </c>
      <c r="K91" s="95">
        <v>44378</v>
      </c>
      <c r="L91" s="270" t="s">
        <v>134</v>
      </c>
      <c r="M91" s="217" t="s">
        <v>2342</v>
      </c>
      <c r="N91" s="189">
        <v>1.2</v>
      </c>
      <c r="O91" s="189">
        <v>2</v>
      </c>
      <c r="P91" s="189" t="s">
        <v>2530</v>
      </c>
      <c r="Q91" s="189">
        <v>1.5</v>
      </c>
      <c r="R91" s="189">
        <v>200</v>
      </c>
      <c r="S91" s="189" t="s">
        <v>2531</v>
      </c>
      <c r="T91" s="189">
        <v>0</v>
      </c>
      <c r="U91" s="189">
        <v>0</v>
      </c>
      <c r="V91" s="189">
        <v>0</v>
      </c>
      <c r="W91" s="189">
        <v>0</v>
      </c>
      <c r="X91" s="189" t="s">
        <v>2532</v>
      </c>
      <c r="AA91" s="189">
        <v>0</v>
      </c>
      <c r="AF91" s="189">
        <v>1</v>
      </c>
      <c r="AG91" s="201">
        <v>44982</v>
      </c>
      <c r="AH91" s="189">
        <v>0</v>
      </c>
      <c r="AI91" s="189">
        <v>2</v>
      </c>
      <c r="AJ91" s="201">
        <v>44803</v>
      </c>
      <c r="AK91" s="189">
        <v>2</v>
      </c>
      <c r="AL91" s="201">
        <v>44845</v>
      </c>
      <c r="AM91" s="189">
        <v>0</v>
      </c>
      <c r="AN91" s="189">
        <v>1</v>
      </c>
      <c r="AO91" s="201">
        <v>44867</v>
      </c>
    </row>
    <row r="92" spans="1:42" s="189" customFormat="1">
      <c r="A92" s="185" t="s">
        <v>403</v>
      </c>
      <c r="B92" s="185">
        <v>22105890</v>
      </c>
      <c r="C92" s="185" t="s">
        <v>404</v>
      </c>
      <c r="D92" s="201">
        <v>44960</v>
      </c>
      <c r="E92" s="189">
        <v>2</v>
      </c>
      <c r="F92" s="185">
        <v>79.2</v>
      </c>
      <c r="G92" s="185">
        <v>9.6999999999999993</v>
      </c>
      <c r="H92" s="281">
        <f>G92/(F92/100)^2</f>
        <v>15.463983267013568</v>
      </c>
      <c r="I92" s="185">
        <v>46</v>
      </c>
      <c r="J92" s="95">
        <v>44152</v>
      </c>
      <c r="K92" s="95">
        <v>44256</v>
      </c>
      <c r="L92" s="99" t="s">
        <v>405</v>
      </c>
      <c r="M92" s="217" t="s">
        <v>2513</v>
      </c>
      <c r="N92" s="189">
        <v>1.2</v>
      </c>
      <c r="O92" s="189">
        <v>2</v>
      </c>
      <c r="P92" s="189" t="s">
        <v>2347</v>
      </c>
      <c r="Q92" s="189" t="s">
        <v>2348</v>
      </c>
      <c r="R92" s="189" t="s">
        <v>2411</v>
      </c>
      <c r="S92" s="189">
        <v>0</v>
      </c>
      <c r="T92" s="189" t="s">
        <v>2412</v>
      </c>
      <c r="U92" s="189" t="s">
        <v>2412</v>
      </c>
      <c r="W92" s="189" t="s">
        <v>2412</v>
      </c>
      <c r="X92" s="189" t="s">
        <v>2412</v>
      </c>
      <c r="Y92" s="189" t="s">
        <v>2413</v>
      </c>
      <c r="Z92" s="189">
        <v>0</v>
      </c>
      <c r="AA92" s="189" t="s">
        <v>2414</v>
      </c>
      <c r="AB92" s="189">
        <v>0</v>
      </c>
      <c r="AC92" s="189">
        <v>0</v>
      </c>
      <c r="AD92" s="189">
        <v>0</v>
      </c>
      <c r="AE92" s="189">
        <v>0</v>
      </c>
      <c r="AF92" s="189">
        <v>0</v>
      </c>
      <c r="AG92" s="189">
        <v>0</v>
      </c>
      <c r="AH92" s="189">
        <v>0</v>
      </c>
      <c r="AI92" s="189">
        <v>1</v>
      </c>
      <c r="AJ92" s="201">
        <v>44849</v>
      </c>
      <c r="AK92" s="189">
        <v>0</v>
      </c>
      <c r="AL92" s="189">
        <v>0</v>
      </c>
      <c r="AM92" s="189">
        <v>0</v>
      </c>
      <c r="AN92" s="189">
        <v>1</v>
      </c>
    </row>
    <row r="93" spans="1:42" s="110" customFormat="1">
      <c r="A93" s="107" t="s">
        <v>407</v>
      </c>
      <c r="B93" s="107">
        <v>22108642</v>
      </c>
      <c r="C93" s="107" t="s">
        <v>408</v>
      </c>
      <c r="D93" s="213">
        <v>45272</v>
      </c>
      <c r="E93" s="110">
        <v>2</v>
      </c>
      <c r="F93" s="107">
        <v>88</v>
      </c>
      <c r="G93" s="107">
        <v>12.9</v>
      </c>
      <c r="I93" s="110">
        <v>48</v>
      </c>
      <c r="J93" s="213">
        <v>44426</v>
      </c>
      <c r="K93" s="213">
        <v>44488</v>
      </c>
      <c r="L93" s="110" t="s">
        <v>323</v>
      </c>
      <c r="M93" s="215" t="s">
        <v>2342</v>
      </c>
      <c r="N93" s="110">
        <v>1</v>
      </c>
      <c r="O93" s="110">
        <v>2</v>
      </c>
      <c r="P93" s="110" t="s">
        <v>2470</v>
      </c>
      <c r="Q93" s="110" t="s">
        <v>2439</v>
      </c>
      <c r="R93" s="110">
        <v>120</v>
      </c>
      <c r="S93" s="110">
        <v>0</v>
      </c>
      <c r="T93" s="110">
        <v>0</v>
      </c>
      <c r="U93" s="110">
        <v>0</v>
      </c>
      <c r="V93" s="110">
        <v>0</v>
      </c>
      <c r="W93" s="110">
        <v>0</v>
      </c>
      <c r="X93" s="110">
        <v>0</v>
      </c>
      <c r="Y93" s="110">
        <v>0</v>
      </c>
      <c r="Z93" s="110">
        <v>0</v>
      </c>
      <c r="AA93" s="110">
        <v>0</v>
      </c>
      <c r="AB93" s="110">
        <v>0</v>
      </c>
      <c r="AC93" s="110">
        <v>0</v>
      </c>
      <c r="AD93" s="110">
        <v>0</v>
      </c>
      <c r="AE93" s="110">
        <v>0</v>
      </c>
      <c r="AF93" s="110">
        <v>1</v>
      </c>
      <c r="AG93" s="213" t="s">
        <v>2604</v>
      </c>
      <c r="AH93" s="110">
        <v>0</v>
      </c>
      <c r="AI93" s="110">
        <v>0</v>
      </c>
      <c r="AJ93" s="110">
        <v>0</v>
      </c>
      <c r="AK93" s="110">
        <v>0</v>
      </c>
      <c r="AL93" s="110">
        <v>0</v>
      </c>
      <c r="AM93" s="110">
        <v>0</v>
      </c>
      <c r="AN93" s="110">
        <v>1</v>
      </c>
    </row>
    <row r="94" spans="1:42" s="110" customFormat="1">
      <c r="A94" s="107" t="s">
        <v>411</v>
      </c>
      <c r="B94" s="153">
        <v>22102895</v>
      </c>
      <c r="C94" s="157" t="s">
        <v>1251</v>
      </c>
      <c r="M94" s="215"/>
      <c r="AG94" s="213"/>
    </row>
    <row r="95" spans="1:42" s="110" customFormat="1">
      <c r="A95" s="107" t="s">
        <v>415</v>
      </c>
      <c r="B95" s="153">
        <v>22102896</v>
      </c>
      <c r="C95" s="157" t="s">
        <v>1262</v>
      </c>
      <c r="M95" s="215"/>
      <c r="AG95" s="213"/>
    </row>
    <row r="96" spans="1:42" s="193" customFormat="1">
      <c r="A96" s="194" t="s">
        <v>418</v>
      </c>
      <c r="B96" s="194">
        <v>22104599</v>
      </c>
      <c r="C96" s="194" t="s">
        <v>419</v>
      </c>
      <c r="M96" s="218"/>
      <c r="AG96" s="219"/>
    </row>
    <row r="97" spans="1:42" s="110" customFormat="1">
      <c r="A97" s="107" t="s">
        <v>422</v>
      </c>
      <c r="B97" s="107">
        <v>5085718</v>
      </c>
      <c r="C97" s="107" t="s">
        <v>423</v>
      </c>
      <c r="D97" s="213">
        <v>44915</v>
      </c>
      <c r="E97" s="110">
        <v>2</v>
      </c>
      <c r="F97" s="107">
        <v>81</v>
      </c>
      <c r="G97" s="107">
        <v>10.9</v>
      </c>
      <c r="H97" s="214">
        <f>G97/(F97/100)^2</f>
        <v>16.613321140070109</v>
      </c>
      <c r="I97" s="107">
        <v>46.8</v>
      </c>
      <c r="J97" s="213">
        <v>44556</v>
      </c>
      <c r="K97" s="213">
        <v>44555</v>
      </c>
      <c r="L97" s="17" t="s">
        <v>39</v>
      </c>
      <c r="M97" s="215" t="s">
        <v>2342</v>
      </c>
      <c r="N97" s="110">
        <v>1</v>
      </c>
      <c r="O97" s="110">
        <v>2</v>
      </c>
      <c r="P97" s="110">
        <v>0</v>
      </c>
      <c r="Q97" s="110">
        <v>2.5</v>
      </c>
      <c r="R97" s="110" t="s">
        <v>2366</v>
      </c>
      <c r="S97" s="110">
        <v>0</v>
      </c>
      <c r="T97" s="110">
        <v>0</v>
      </c>
      <c r="U97" s="110">
        <v>0</v>
      </c>
      <c r="V97" s="110">
        <v>0</v>
      </c>
      <c r="W97" s="110">
        <v>1</v>
      </c>
      <c r="X97" s="110">
        <v>0</v>
      </c>
      <c r="Y97" s="110">
        <v>0</v>
      </c>
      <c r="Z97" s="110">
        <v>0</v>
      </c>
      <c r="AA97" s="110">
        <v>0</v>
      </c>
      <c r="AB97" s="110">
        <v>0</v>
      </c>
      <c r="AC97" s="110">
        <v>0</v>
      </c>
      <c r="AD97" s="110">
        <v>0</v>
      </c>
      <c r="AE97" s="110">
        <v>0</v>
      </c>
      <c r="AF97" s="110">
        <v>1</v>
      </c>
      <c r="AG97" s="213" t="s">
        <v>2367</v>
      </c>
      <c r="AH97" s="110">
        <v>0</v>
      </c>
      <c r="AI97" s="110">
        <v>0</v>
      </c>
      <c r="AJ97" s="110">
        <v>0</v>
      </c>
      <c r="AK97" s="110">
        <v>0</v>
      </c>
      <c r="AL97" s="110">
        <v>0</v>
      </c>
      <c r="AM97" s="110">
        <v>0</v>
      </c>
      <c r="AN97" s="110">
        <v>1</v>
      </c>
      <c r="AO97" s="213">
        <v>44852</v>
      </c>
      <c r="AP97" s="110">
        <v>0</v>
      </c>
    </row>
    <row r="98" spans="1:42" s="189" customFormat="1">
      <c r="A98" s="185" t="s">
        <v>426</v>
      </c>
      <c r="B98" s="185">
        <v>22107919</v>
      </c>
      <c r="C98" s="185" t="s">
        <v>427</v>
      </c>
      <c r="D98" s="201">
        <v>45138</v>
      </c>
      <c r="E98" s="189">
        <v>1</v>
      </c>
      <c r="F98" s="189">
        <v>87.3</v>
      </c>
      <c r="G98" s="189">
        <v>12.9</v>
      </c>
      <c r="H98" s="281">
        <f>G98/(F98/100)^2</f>
        <v>16.926268387635165</v>
      </c>
      <c r="J98" s="201">
        <v>44350</v>
      </c>
      <c r="K98" s="201">
        <v>44411</v>
      </c>
      <c r="L98" s="270" t="s">
        <v>105</v>
      </c>
      <c r="M98" s="217" t="s">
        <v>2513</v>
      </c>
      <c r="N98" s="189">
        <v>1.2</v>
      </c>
      <c r="O98" s="189">
        <v>2</v>
      </c>
      <c r="P98" s="189" t="s">
        <v>2514</v>
      </c>
      <c r="Q98" s="189">
        <v>1.4</v>
      </c>
      <c r="R98" s="189">
        <v>240</v>
      </c>
      <c r="S98" s="189">
        <v>0</v>
      </c>
      <c r="AA98" s="189">
        <v>0</v>
      </c>
      <c r="AF98" s="189">
        <v>0</v>
      </c>
      <c r="AG98" s="201"/>
      <c r="AI98" s="189">
        <v>2</v>
      </c>
      <c r="AK98" s="189">
        <v>2</v>
      </c>
      <c r="AN98" s="189">
        <v>1</v>
      </c>
      <c r="AO98" s="201">
        <v>44537</v>
      </c>
      <c r="AP98" s="189">
        <v>0</v>
      </c>
    </row>
    <row r="99" spans="1:42" s="110" customFormat="1">
      <c r="A99" s="107" t="s">
        <v>429</v>
      </c>
      <c r="B99" s="107">
        <v>22108733</v>
      </c>
      <c r="C99" s="107" t="s">
        <v>430</v>
      </c>
      <c r="D99" s="213">
        <v>45224</v>
      </c>
      <c r="E99" s="110">
        <v>1</v>
      </c>
      <c r="F99" s="110">
        <v>86</v>
      </c>
      <c r="G99" s="110">
        <v>12.8</v>
      </c>
      <c r="J99" s="213">
        <v>44438</v>
      </c>
      <c r="K99" s="40">
        <v>44494</v>
      </c>
      <c r="L99" s="17">
        <v>32</v>
      </c>
      <c r="M99" s="17">
        <v>0</v>
      </c>
      <c r="N99" s="17">
        <v>1.2</v>
      </c>
      <c r="O99" s="110">
        <v>2</v>
      </c>
      <c r="P99" s="110" t="s">
        <v>2567</v>
      </c>
      <c r="Q99" s="110">
        <v>1.5</v>
      </c>
      <c r="R99" s="110">
        <v>240</v>
      </c>
      <c r="S99" s="110" t="s">
        <v>2356</v>
      </c>
      <c r="T99" s="110">
        <v>0</v>
      </c>
      <c r="U99" s="110">
        <v>0</v>
      </c>
      <c r="V99" s="110">
        <v>0</v>
      </c>
      <c r="W99" s="110">
        <v>0</v>
      </c>
      <c r="X99" s="110">
        <v>0</v>
      </c>
      <c r="Y99" s="110" t="s">
        <v>2568</v>
      </c>
      <c r="Z99" s="110">
        <v>0</v>
      </c>
      <c r="AA99" s="110">
        <v>0</v>
      </c>
      <c r="AB99" s="110">
        <v>0</v>
      </c>
      <c r="AC99" s="110">
        <v>0</v>
      </c>
      <c r="AD99" s="110">
        <v>0</v>
      </c>
      <c r="AE99" s="110">
        <v>0</v>
      </c>
      <c r="AF99" s="110">
        <v>1</v>
      </c>
      <c r="AG99" s="213" t="s">
        <v>2569</v>
      </c>
      <c r="AH99" s="110">
        <v>0</v>
      </c>
      <c r="AI99" s="110">
        <v>0</v>
      </c>
      <c r="AJ99" s="110">
        <v>0</v>
      </c>
      <c r="AK99" s="110">
        <v>0</v>
      </c>
      <c r="AL99" s="110">
        <v>0</v>
      </c>
      <c r="AM99" s="110">
        <v>0</v>
      </c>
      <c r="AN99" s="110">
        <v>1</v>
      </c>
      <c r="AO99" s="213">
        <v>45224</v>
      </c>
    </row>
    <row r="100" spans="1:42" s="189" customFormat="1">
      <c r="A100" s="185" t="s">
        <v>433</v>
      </c>
      <c r="B100" s="186">
        <v>22139029</v>
      </c>
      <c r="C100" s="190" t="s">
        <v>1266</v>
      </c>
      <c r="M100" s="217"/>
      <c r="AG100" s="201"/>
    </row>
    <row r="101" spans="1:42" s="189" customFormat="1">
      <c r="A101" s="185" t="s">
        <v>437</v>
      </c>
      <c r="B101" s="185">
        <v>22107875</v>
      </c>
      <c r="C101" s="185" t="s">
        <v>438</v>
      </c>
      <c r="D101" s="201">
        <v>45051</v>
      </c>
      <c r="E101" s="189">
        <v>2</v>
      </c>
      <c r="F101" s="189">
        <v>82.4</v>
      </c>
      <c r="G101" s="189">
        <v>10.4</v>
      </c>
      <c r="H101" s="281">
        <f>G101/(F101/100)^2</f>
        <v>15.317183523423505</v>
      </c>
      <c r="J101" s="95">
        <v>44345</v>
      </c>
      <c r="K101" s="95">
        <v>44354</v>
      </c>
      <c r="L101" s="270" t="s">
        <v>155</v>
      </c>
      <c r="M101" s="217" t="s">
        <v>2342</v>
      </c>
      <c r="N101" s="189">
        <v>1</v>
      </c>
      <c r="O101" s="189">
        <v>2</v>
      </c>
      <c r="P101" s="189" t="s">
        <v>2470</v>
      </c>
      <c r="Q101" s="189">
        <v>5</v>
      </c>
      <c r="R101" s="189" t="s">
        <v>2471</v>
      </c>
      <c r="S101" s="189">
        <v>2</v>
      </c>
      <c r="X101" s="189" t="s">
        <v>2472</v>
      </c>
      <c r="AA101" s="189">
        <v>0</v>
      </c>
      <c r="AF101" s="189">
        <v>1</v>
      </c>
      <c r="AG101" s="201">
        <v>44710</v>
      </c>
      <c r="AH101" s="189">
        <v>0</v>
      </c>
      <c r="AI101" s="189">
        <v>0</v>
      </c>
      <c r="AN101" s="189">
        <v>1</v>
      </c>
    </row>
    <row r="102" spans="1:42" s="110" customFormat="1">
      <c r="A102" s="107" t="s">
        <v>441</v>
      </c>
      <c r="B102" s="107">
        <v>22105502</v>
      </c>
      <c r="C102" s="107" t="s">
        <v>442</v>
      </c>
      <c r="D102" s="213">
        <v>44957</v>
      </c>
      <c r="E102" s="110">
        <v>2</v>
      </c>
      <c r="F102" s="110">
        <v>86.3</v>
      </c>
      <c r="G102" s="110">
        <v>14.4</v>
      </c>
      <c r="H102" s="214">
        <f>G102/(F102/100)^2</f>
        <v>19.334854162834382</v>
      </c>
      <c r="I102" s="110">
        <v>46.6</v>
      </c>
      <c r="J102" s="40">
        <v>44113</v>
      </c>
      <c r="K102" s="40">
        <v>44199</v>
      </c>
      <c r="L102" s="17" t="s">
        <v>443</v>
      </c>
      <c r="M102" s="215" t="s">
        <v>2513</v>
      </c>
      <c r="N102" s="110">
        <v>1.2</v>
      </c>
      <c r="O102" s="110">
        <v>2</v>
      </c>
      <c r="P102" s="110">
        <v>0</v>
      </c>
      <c r="Q102" s="110">
        <v>1</v>
      </c>
      <c r="R102" s="110" t="s">
        <v>2405</v>
      </c>
      <c r="S102" s="110">
        <v>0</v>
      </c>
      <c r="T102" s="110">
        <v>0</v>
      </c>
      <c r="U102" s="110">
        <v>0</v>
      </c>
      <c r="V102" s="110">
        <v>0</v>
      </c>
      <c r="W102" s="110">
        <v>0</v>
      </c>
      <c r="X102" s="110">
        <v>0</v>
      </c>
      <c r="Y102" s="110" t="s">
        <v>2406</v>
      </c>
      <c r="Z102" s="110">
        <v>0</v>
      </c>
      <c r="AA102" s="110">
        <v>0</v>
      </c>
      <c r="AB102" s="110">
        <v>0</v>
      </c>
      <c r="AC102" s="110">
        <v>0</v>
      </c>
      <c r="AD102" s="110">
        <v>0</v>
      </c>
      <c r="AE102" s="110">
        <v>0</v>
      </c>
      <c r="AF102" s="110">
        <v>0</v>
      </c>
      <c r="AG102" s="110">
        <v>0</v>
      </c>
      <c r="AH102" s="110">
        <v>1</v>
      </c>
      <c r="AI102" s="110">
        <v>1</v>
      </c>
      <c r="AJ102" s="213">
        <v>44865</v>
      </c>
      <c r="AK102" s="110">
        <v>2</v>
      </c>
      <c r="AL102" s="110">
        <v>0</v>
      </c>
      <c r="AM102" s="110">
        <v>0</v>
      </c>
      <c r="AN102" s="110">
        <v>0</v>
      </c>
      <c r="AO102" s="110">
        <v>0</v>
      </c>
      <c r="AP102" s="110">
        <v>0</v>
      </c>
    </row>
    <row r="103" spans="1:42" s="189" customFormat="1">
      <c r="A103" s="185" t="s">
        <v>445</v>
      </c>
      <c r="B103" s="186">
        <v>22103078</v>
      </c>
      <c r="C103" s="190" t="s">
        <v>1280</v>
      </c>
      <c r="M103" s="217"/>
      <c r="AG103" s="201"/>
    </row>
    <row r="104" spans="1:42" s="193" customFormat="1">
      <c r="A104" s="194" t="s">
        <v>449</v>
      </c>
      <c r="B104" s="194">
        <v>22105498</v>
      </c>
      <c r="C104" s="194" t="s">
        <v>450</v>
      </c>
      <c r="M104" s="218"/>
      <c r="AG104" s="219"/>
    </row>
    <row r="105" spans="1:42" s="193" customFormat="1">
      <c r="A105" s="194" t="s">
        <v>454</v>
      </c>
      <c r="B105" s="194">
        <v>22107550</v>
      </c>
      <c r="C105" s="194" t="s">
        <v>455</v>
      </c>
      <c r="M105" s="218"/>
      <c r="AG105" s="219"/>
    </row>
    <row r="106" spans="1:42" s="110" customFormat="1">
      <c r="A106" s="107" t="s">
        <v>458</v>
      </c>
      <c r="B106" s="107">
        <v>22107191</v>
      </c>
      <c r="C106" s="107" t="s">
        <v>459</v>
      </c>
      <c r="D106" s="213">
        <v>45086</v>
      </c>
      <c r="E106" s="110">
        <v>2</v>
      </c>
      <c r="F106" s="107">
        <v>80</v>
      </c>
      <c r="G106" s="107">
        <v>10.6</v>
      </c>
      <c r="H106" s="214">
        <f>G106/(F106/100)^2</f>
        <v>16.562499999999996</v>
      </c>
      <c r="J106" s="213">
        <v>44273</v>
      </c>
      <c r="K106" s="213">
        <v>44361</v>
      </c>
      <c r="L106" s="261" t="s">
        <v>461</v>
      </c>
      <c r="M106" s="215" t="s">
        <v>2342</v>
      </c>
      <c r="N106" s="110" t="s">
        <v>2500</v>
      </c>
      <c r="O106" s="110">
        <v>2</v>
      </c>
      <c r="P106" s="110" t="s">
        <v>2501</v>
      </c>
      <c r="Q106" s="110">
        <v>1.5</v>
      </c>
      <c r="R106" s="110">
        <v>120</v>
      </c>
      <c r="U106" s="110" t="s">
        <v>2352</v>
      </c>
      <c r="W106" s="110" t="s">
        <v>2352</v>
      </c>
      <c r="AA106" s="110">
        <v>2</v>
      </c>
      <c r="AD106" s="110" t="s">
        <v>2502</v>
      </c>
      <c r="AF106" s="110">
        <v>1</v>
      </c>
      <c r="AG106" s="213">
        <v>44682</v>
      </c>
      <c r="AI106" s="110">
        <v>0</v>
      </c>
      <c r="AN106" s="110">
        <v>1</v>
      </c>
    </row>
    <row r="107" spans="1:42" s="110" customFormat="1">
      <c r="A107" s="107" t="s">
        <v>463</v>
      </c>
      <c r="B107" s="107">
        <v>22107192</v>
      </c>
      <c r="C107" s="107" t="s">
        <v>464</v>
      </c>
      <c r="D107" s="213">
        <v>45086</v>
      </c>
      <c r="E107" s="110">
        <v>2</v>
      </c>
      <c r="F107" s="107">
        <v>80</v>
      </c>
      <c r="G107" s="107">
        <v>10.6</v>
      </c>
      <c r="H107" s="214">
        <f>G107/(F107/100)^2</f>
        <v>16.562499999999996</v>
      </c>
      <c r="J107" s="213">
        <v>44273</v>
      </c>
      <c r="K107" s="213">
        <v>44361</v>
      </c>
      <c r="L107" s="261" t="s">
        <v>461</v>
      </c>
      <c r="M107" s="215" t="s">
        <v>2342</v>
      </c>
      <c r="N107" s="110" t="s">
        <v>2500</v>
      </c>
      <c r="O107" s="110">
        <v>2</v>
      </c>
      <c r="P107" s="110" t="s">
        <v>2501</v>
      </c>
      <c r="Q107" s="110">
        <v>1.5</v>
      </c>
      <c r="R107" s="110">
        <v>120</v>
      </c>
      <c r="U107" s="110" t="s">
        <v>2352</v>
      </c>
      <c r="W107" s="110" t="s">
        <v>2352</v>
      </c>
      <c r="AA107" s="110">
        <v>2</v>
      </c>
      <c r="AD107" s="110" t="s">
        <v>2502</v>
      </c>
      <c r="AF107" s="110">
        <v>1</v>
      </c>
      <c r="AG107" s="213">
        <v>44682</v>
      </c>
      <c r="AI107" s="110">
        <v>0</v>
      </c>
      <c r="AN107" s="110">
        <v>1</v>
      </c>
    </row>
    <row r="108" spans="1:42" s="193" customFormat="1">
      <c r="A108" s="194" t="s">
        <v>466</v>
      </c>
      <c r="B108" s="194">
        <v>22108569</v>
      </c>
      <c r="C108" s="194" t="s">
        <v>467</v>
      </c>
      <c r="M108" s="218"/>
      <c r="AG108" s="219"/>
    </row>
    <row r="109" spans="1:42" s="189" customFormat="1">
      <c r="A109" s="185" t="s">
        <v>470</v>
      </c>
      <c r="B109" s="186">
        <v>22103283</v>
      </c>
      <c r="C109" s="190" t="s">
        <v>1292</v>
      </c>
      <c r="M109" s="217"/>
      <c r="AG109" s="201"/>
    </row>
    <row r="110" spans="1:42" s="189" customFormat="1">
      <c r="A110" s="185" t="s">
        <v>474</v>
      </c>
      <c r="B110" s="185">
        <v>22107215</v>
      </c>
      <c r="C110" s="230" t="s">
        <v>2546</v>
      </c>
      <c r="D110" s="201">
        <v>45170</v>
      </c>
      <c r="E110" s="189">
        <v>1</v>
      </c>
      <c r="F110" s="189">
        <v>84.5</v>
      </c>
      <c r="G110" s="189">
        <v>10.4</v>
      </c>
      <c r="H110" s="281">
        <f>G110/(F110/100)^2</f>
        <v>14.565316340464271</v>
      </c>
      <c r="J110" s="95">
        <v>44275</v>
      </c>
      <c r="K110" s="95">
        <v>44387</v>
      </c>
      <c r="L110" s="270">
        <v>24</v>
      </c>
      <c r="M110" s="217" t="s">
        <v>2342</v>
      </c>
      <c r="N110" s="189">
        <v>1.2</v>
      </c>
      <c r="O110" s="189">
        <v>2</v>
      </c>
      <c r="P110" s="189" t="s">
        <v>2537</v>
      </c>
      <c r="Q110" s="189" t="s">
        <v>2538</v>
      </c>
      <c r="R110" s="189">
        <v>150</v>
      </c>
      <c r="S110" s="189">
        <v>0</v>
      </c>
      <c r="X110" s="189" t="s">
        <v>2539</v>
      </c>
      <c r="AA110" s="189">
        <v>0</v>
      </c>
      <c r="AF110" s="189">
        <v>0</v>
      </c>
      <c r="AG110" s="201"/>
      <c r="AI110" s="189">
        <v>2</v>
      </c>
      <c r="AJ110" s="201">
        <v>44821</v>
      </c>
      <c r="AK110" s="189">
        <v>2</v>
      </c>
      <c r="AL110" s="201">
        <v>44968</v>
      </c>
      <c r="AM110" s="189">
        <v>0</v>
      </c>
      <c r="AN110" s="189">
        <v>1</v>
      </c>
    </row>
    <row r="111" spans="1:42" s="203" customFormat="1">
      <c r="A111" s="202" t="s">
        <v>478</v>
      </c>
      <c r="B111" s="202">
        <v>22106269</v>
      </c>
      <c r="C111" s="202" t="s">
        <v>479</v>
      </c>
      <c r="M111" s="224"/>
      <c r="AG111" s="225"/>
    </row>
    <row r="112" spans="1:42" s="189" customFormat="1">
      <c r="A112" s="185" t="s">
        <v>482</v>
      </c>
      <c r="B112" s="186">
        <v>21928733</v>
      </c>
      <c r="C112" s="190" t="s">
        <v>1302</v>
      </c>
      <c r="M112" s="217"/>
      <c r="AG112" s="201"/>
    </row>
    <row r="113" spans="1:42" s="193" customFormat="1">
      <c r="A113" s="194" t="s">
        <v>486</v>
      </c>
      <c r="B113" s="194">
        <v>22104710</v>
      </c>
      <c r="C113" s="194" t="s">
        <v>487</v>
      </c>
      <c r="M113" s="218"/>
      <c r="AG113" s="219"/>
    </row>
    <row r="114" spans="1:42" s="110" customFormat="1">
      <c r="A114" s="107" t="s">
        <v>490</v>
      </c>
      <c r="B114" s="107">
        <v>22105636</v>
      </c>
      <c r="C114" s="107" t="s">
        <v>491</v>
      </c>
      <c r="D114" s="213">
        <v>44956</v>
      </c>
      <c r="E114" s="110">
        <v>1</v>
      </c>
      <c r="F114" s="110">
        <v>82.9</v>
      </c>
      <c r="G114" s="110">
        <v>10.3</v>
      </c>
      <c r="H114" s="214">
        <f>G114/(F114/100)^2</f>
        <v>14.987464368394782</v>
      </c>
      <c r="I114" s="110">
        <v>46</v>
      </c>
      <c r="J114" s="40">
        <v>44127</v>
      </c>
      <c r="K114" s="40">
        <v>44218</v>
      </c>
      <c r="L114" s="17">
        <v>27</v>
      </c>
      <c r="M114" s="215" t="s">
        <v>2513</v>
      </c>
      <c r="N114" s="110">
        <v>1.2</v>
      </c>
      <c r="O114" s="110">
        <v>2</v>
      </c>
      <c r="P114" s="110" t="s">
        <v>1888</v>
      </c>
      <c r="Q114" s="110">
        <v>1.5</v>
      </c>
      <c r="R114" s="110">
        <v>240</v>
      </c>
      <c r="S114" s="110" t="s">
        <v>2407</v>
      </c>
      <c r="T114" s="110">
        <v>0</v>
      </c>
      <c r="U114" s="110">
        <v>0</v>
      </c>
      <c r="V114" s="110">
        <v>0</v>
      </c>
      <c r="W114" s="110">
        <v>0</v>
      </c>
      <c r="X114" s="110" t="s">
        <v>2408</v>
      </c>
      <c r="Y114" s="110" t="s">
        <v>2409</v>
      </c>
      <c r="Z114" s="110">
        <v>0</v>
      </c>
      <c r="AA114" s="110">
        <v>0</v>
      </c>
      <c r="AB114" s="110">
        <v>0</v>
      </c>
      <c r="AC114" s="110">
        <v>0</v>
      </c>
      <c r="AD114" s="110">
        <v>0</v>
      </c>
      <c r="AE114" s="110">
        <v>0</v>
      </c>
      <c r="AF114" s="110">
        <v>0</v>
      </c>
      <c r="AG114" s="110">
        <v>0</v>
      </c>
      <c r="AH114" s="110">
        <v>0</v>
      </c>
      <c r="AI114" s="110">
        <v>1</v>
      </c>
      <c r="AJ114" s="213">
        <v>44849</v>
      </c>
      <c r="AK114" s="110">
        <v>2</v>
      </c>
      <c r="AL114" s="110">
        <v>0</v>
      </c>
      <c r="AM114" s="110">
        <v>0</v>
      </c>
      <c r="AN114" s="110">
        <v>1</v>
      </c>
      <c r="AO114" s="213">
        <v>44884</v>
      </c>
      <c r="AP114" s="110">
        <v>0</v>
      </c>
    </row>
    <row r="115" spans="1:42" s="189" customFormat="1">
      <c r="A115" s="185" t="s">
        <v>494</v>
      </c>
      <c r="B115" s="185">
        <v>22104579</v>
      </c>
      <c r="C115" s="185" t="s">
        <v>495</v>
      </c>
      <c r="D115" s="201">
        <v>44873</v>
      </c>
      <c r="E115" s="189">
        <v>1</v>
      </c>
      <c r="F115" s="185">
        <v>81.5</v>
      </c>
      <c r="G115" s="185">
        <v>10.1</v>
      </c>
      <c r="H115" s="281">
        <f>G115/(F115/100)^2</f>
        <v>15.205690842711432</v>
      </c>
      <c r="I115" s="185">
        <v>48.1</v>
      </c>
      <c r="J115" s="201">
        <v>44025</v>
      </c>
      <c r="K115" s="201">
        <v>44097</v>
      </c>
      <c r="L115" s="270" t="s">
        <v>497</v>
      </c>
      <c r="M115" s="217" t="s">
        <v>2342</v>
      </c>
      <c r="N115" s="189">
        <v>1</v>
      </c>
      <c r="O115" s="189">
        <v>2</v>
      </c>
      <c r="P115" s="189">
        <v>0</v>
      </c>
      <c r="Q115" s="189">
        <v>1.4</v>
      </c>
      <c r="R115" s="189">
        <v>180</v>
      </c>
      <c r="S115" s="189">
        <v>0</v>
      </c>
      <c r="T115" s="189">
        <v>0</v>
      </c>
      <c r="U115" s="189" t="s">
        <v>2352</v>
      </c>
      <c r="V115" s="189">
        <v>0</v>
      </c>
      <c r="W115" s="189">
        <v>0</v>
      </c>
      <c r="X115" s="189" t="s">
        <v>2409</v>
      </c>
      <c r="Y115" s="189">
        <v>0</v>
      </c>
      <c r="Z115" s="189">
        <v>0</v>
      </c>
      <c r="AA115" s="189">
        <v>0</v>
      </c>
      <c r="AB115" s="189">
        <v>0</v>
      </c>
      <c r="AC115" s="189">
        <v>0</v>
      </c>
      <c r="AD115" s="189">
        <v>0</v>
      </c>
      <c r="AE115" s="189">
        <v>0</v>
      </c>
      <c r="AF115" s="189">
        <v>0</v>
      </c>
      <c r="AG115" s="189">
        <v>0</v>
      </c>
      <c r="AH115" s="189">
        <v>0</v>
      </c>
      <c r="AI115" s="189">
        <v>0</v>
      </c>
      <c r="AJ115" s="189">
        <v>0</v>
      </c>
      <c r="AK115" s="189">
        <v>0</v>
      </c>
      <c r="AL115" s="189">
        <v>0</v>
      </c>
      <c r="AM115" s="189">
        <v>0</v>
      </c>
      <c r="AN115" s="189">
        <v>1</v>
      </c>
      <c r="AO115" s="201">
        <v>44873</v>
      </c>
      <c r="AP115" s="189">
        <v>0</v>
      </c>
    </row>
    <row r="116" spans="1:42" s="189" customFormat="1">
      <c r="A116" s="185" t="s">
        <v>499</v>
      </c>
      <c r="B116" s="185">
        <v>22108091</v>
      </c>
      <c r="C116" s="185" t="s">
        <v>500</v>
      </c>
      <c r="D116" s="201">
        <v>45201</v>
      </c>
      <c r="E116" s="189">
        <v>2</v>
      </c>
      <c r="F116" s="185">
        <v>87.9</v>
      </c>
      <c r="G116" s="189">
        <v>11.5</v>
      </c>
      <c r="I116" s="189">
        <v>47.7</v>
      </c>
      <c r="J116" s="101">
        <v>44367</v>
      </c>
      <c r="K116" s="101">
        <v>44374</v>
      </c>
      <c r="L116" s="270">
        <v>39</v>
      </c>
      <c r="M116" s="217" t="s">
        <v>2513</v>
      </c>
      <c r="N116" s="189" t="s">
        <v>2426</v>
      </c>
      <c r="O116" s="189">
        <v>2</v>
      </c>
      <c r="P116" s="189" t="s">
        <v>2553</v>
      </c>
      <c r="Q116" s="189" t="s">
        <v>2439</v>
      </c>
      <c r="R116" s="189">
        <v>150</v>
      </c>
      <c r="S116" s="189">
        <v>2</v>
      </c>
      <c r="T116" s="189">
        <v>0</v>
      </c>
      <c r="U116" s="189">
        <v>0</v>
      </c>
      <c r="V116" s="189">
        <v>0</v>
      </c>
      <c r="W116" s="189">
        <v>0</v>
      </c>
      <c r="X116" s="189" t="s">
        <v>2554</v>
      </c>
      <c r="Y116" s="189">
        <v>0</v>
      </c>
      <c r="Z116" s="189">
        <v>0</v>
      </c>
      <c r="AA116" s="189">
        <v>1</v>
      </c>
      <c r="AB116" s="189">
        <v>0</v>
      </c>
      <c r="AC116" s="189">
        <v>0</v>
      </c>
      <c r="AD116" s="189" t="s">
        <v>2555</v>
      </c>
      <c r="AF116" s="189">
        <v>1</v>
      </c>
      <c r="AG116" s="201">
        <v>44712</v>
      </c>
      <c r="AH116" s="189">
        <v>0</v>
      </c>
      <c r="AI116" s="189">
        <v>2</v>
      </c>
      <c r="AJ116" s="201">
        <v>44863</v>
      </c>
      <c r="AK116" s="189">
        <v>0</v>
      </c>
      <c r="AL116" s="189">
        <v>0</v>
      </c>
      <c r="AM116" s="189">
        <v>0</v>
      </c>
      <c r="AN116" s="189">
        <v>0</v>
      </c>
    </row>
    <row r="117" spans="1:42" s="193" customFormat="1">
      <c r="A117" s="194" t="s">
        <v>503</v>
      </c>
      <c r="B117" s="194">
        <v>22108353</v>
      </c>
      <c r="C117" s="194" t="s">
        <v>504</v>
      </c>
      <c r="M117" s="218"/>
      <c r="AG117" s="219"/>
    </row>
    <row r="118" spans="1:42" s="189" customFormat="1">
      <c r="A118" s="185" t="s">
        <v>507</v>
      </c>
      <c r="B118" s="186">
        <v>22102665</v>
      </c>
      <c r="C118" s="190" t="s">
        <v>1315</v>
      </c>
      <c r="M118" s="217"/>
      <c r="AG118" s="201"/>
    </row>
    <row r="119" spans="1:42" s="189" customFormat="1">
      <c r="A119" s="185" t="s">
        <v>510</v>
      </c>
      <c r="B119" s="185">
        <v>22108869</v>
      </c>
      <c r="C119" s="185" t="s">
        <v>511</v>
      </c>
      <c r="D119" s="201">
        <v>45289</v>
      </c>
      <c r="E119" s="189">
        <v>2</v>
      </c>
      <c r="F119" s="189">
        <v>83</v>
      </c>
      <c r="G119" s="189">
        <v>12.2</v>
      </c>
      <c r="I119" s="189">
        <v>48.5</v>
      </c>
      <c r="J119" s="201">
        <v>44454</v>
      </c>
      <c r="K119" s="201">
        <v>44511</v>
      </c>
      <c r="L119" s="189" t="s">
        <v>435</v>
      </c>
      <c r="M119" s="217" t="s">
        <v>2342</v>
      </c>
      <c r="N119" s="189">
        <v>1</v>
      </c>
      <c r="O119" s="189">
        <v>0</v>
      </c>
      <c r="P119" s="189">
        <v>0</v>
      </c>
      <c r="Q119" s="189">
        <v>0</v>
      </c>
      <c r="R119" s="189">
        <v>0</v>
      </c>
      <c r="S119" s="189">
        <v>0</v>
      </c>
      <c r="T119" s="189">
        <v>0</v>
      </c>
      <c r="U119" s="189">
        <v>0</v>
      </c>
      <c r="V119" s="189">
        <v>0</v>
      </c>
      <c r="W119" s="189">
        <v>0</v>
      </c>
      <c r="X119" s="189" t="s">
        <v>2539</v>
      </c>
      <c r="Y119" s="189">
        <v>0</v>
      </c>
      <c r="Z119" s="189">
        <v>0</v>
      </c>
      <c r="AA119" s="189">
        <v>0</v>
      </c>
      <c r="AB119" s="189">
        <v>0</v>
      </c>
      <c r="AC119" s="189">
        <v>0</v>
      </c>
      <c r="AD119" s="189">
        <v>0</v>
      </c>
      <c r="AE119" s="189">
        <v>0</v>
      </c>
      <c r="AF119" s="189">
        <v>0</v>
      </c>
      <c r="AG119" s="189">
        <v>0</v>
      </c>
      <c r="AH119" s="189">
        <v>0</v>
      </c>
      <c r="AI119" s="189">
        <v>1</v>
      </c>
      <c r="AJ119" s="201">
        <v>45216</v>
      </c>
    </row>
    <row r="120" spans="1:42" s="193" customFormat="1">
      <c r="A120" s="194" t="s">
        <v>514</v>
      </c>
      <c r="B120" s="194">
        <v>22107197</v>
      </c>
      <c r="C120" s="194" t="s">
        <v>515</v>
      </c>
      <c r="M120" s="218"/>
      <c r="AG120" s="219"/>
    </row>
    <row r="121" spans="1:42" s="189" customFormat="1">
      <c r="A121" s="185" t="s">
        <v>517</v>
      </c>
      <c r="B121" s="185">
        <v>5085978</v>
      </c>
      <c r="C121" s="185" t="s">
        <v>518</v>
      </c>
      <c r="D121" s="201">
        <v>45128</v>
      </c>
      <c r="E121" s="189">
        <v>2</v>
      </c>
      <c r="F121" s="185">
        <v>83</v>
      </c>
      <c r="G121" s="185">
        <v>10.7</v>
      </c>
      <c r="H121" s="281">
        <f>G121/(F121/100)^2</f>
        <v>15.53200754826535</v>
      </c>
      <c r="J121" s="201">
        <v>44250</v>
      </c>
      <c r="K121" s="201">
        <v>44366</v>
      </c>
      <c r="L121" s="270" t="s">
        <v>520</v>
      </c>
      <c r="M121" s="217" t="s">
        <v>2342</v>
      </c>
      <c r="N121" s="189">
        <v>1.2</v>
      </c>
      <c r="O121" s="189">
        <v>2</v>
      </c>
      <c r="P121" s="189" t="s">
        <v>2510</v>
      </c>
      <c r="Q121" s="189">
        <v>1.5</v>
      </c>
      <c r="R121" s="189">
        <v>200</v>
      </c>
      <c r="S121" s="189">
        <v>0</v>
      </c>
      <c r="T121" s="189">
        <v>0</v>
      </c>
      <c r="U121" s="189">
        <v>0</v>
      </c>
      <c r="V121" s="189">
        <v>0</v>
      </c>
      <c r="W121" s="189">
        <v>0</v>
      </c>
      <c r="X121" s="189">
        <v>0</v>
      </c>
      <c r="Y121" s="189">
        <v>0</v>
      </c>
      <c r="Z121" s="189">
        <v>0</v>
      </c>
      <c r="AA121" s="189">
        <v>0</v>
      </c>
      <c r="AB121" s="189">
        <v>0</v>
      </c>
      <c r="AC121" s="189">
        <v>0</v>
      </c>
      <c r="AD121" s="189">
        <v>0</v>
      </c>
      <c r="AE121" s="189">
        <v>0</v>
      </c>
      <c r="AF121" s="189">
        <v>0</v>
      </c>
      <c r="AG121" s="189">
        <v>0</v>
      </c>
      <c r="AH121" s="189">
        <v>0</v>
      </c>
      <c r="AI121" s="189">
        <v>1</v>
      </c>
      <c r="AK121" s="189">
        <v>1</v>
      </c>
      <c r="AM121" s="189">
        <v>0</v>
      </c>
      <c r="AN121" s="189">
        <v>1</v>
      </c>
      <c r="AP121" s="189">
        <v>0</v>
      </c>
    </row>
    <row r="122" spans="1:42" s="193" customFormat="1">
      <c r="A122" s="194" t="s">
        <v>522</v>
      </c>
      <c r="B122" s="194">
        <v>22107708</v>
      </c>
      <c r="C122" s="194" t="s">
        <v>523</v>
      </c>
      <c r="M122" s="218"/>
      <c r="AG122" s="219"/>
    </row>
    <row r="123" spans="1:42" s="189" customFormat="1">
      <c r="A123" s="185" t="s">
        <v>527</v>
      </c>
      <c r="B123" s="185">
        <v>22107105</v>
      </c>
      <c r="C123" s="185" t="s">
        <v>528</v>
      </c>
      <c r="D123" s="201">
        <v>45106</v>
      </c>
      <c r="E123" s="189">
        <v>1</v>
      </c>
      <c r="F123" s="189">
        <v>81.8</v>
      </c>
      <c r="G123" s="189">
        <v>10.4</v>
      </c>
      <c r="H123" s="281">
        <f>G123/(F123/100)^2</f>
        <v>15.54270957251571</v>
      </c>
      <c r="I123" s="189">
        <v>46.2</v>
      </c>
      <c r="J123" s="95">
        <v>44265</v>
      </c>
      <c r="K123" s="95">
        <v>44370</v>
      </c>
      <c r="L123" s="270">
        <v>25</v>
      </c>
      <c r="M123" s="217" t="s">
        <v>2513</v>
      </c>
      <c r="N123" s="189">
        <v>1.3</v>
      </c>
      <c r="O123" s="189">
        <v>2</v>
      </c>
      <c r="P123" s="189" t="s">
        <v>2504</v>
      </c>
      <c r="Q123" s="189">
        <v>1.5</v>
      </c>
      <c r="R123" s="189">
        <v>150</v>
      </c>
      <c r="S123" s="189">
        <v>2</v>
      </c>
      <c r="T123" s="189" t="s">
        <v>2352</v>
      </c>
      <c r="X123" s="189" t="s">
        <v>2352</v>
      </c>
      <c r="AF123" s="189">
        <v>1</v>
      </c>
      <c r="AG123" s="201">
        <v>44787</v>
      </c>
      <c r="AI123" s="189">
        <v>2</v>
      </c>
      <c r="AJ123" s="201">
        <v>44890</v>
      </c>
      <c r="AK123" s="189">
        <v>2</v>
      </c>
      <c r="AL123" s="201">
        <v>44940</v>
      </c>
      <c r="AM123" s="189">
        <v>0</v>
      </c>
      <c r="AN123" s="189">
        <v>1</v>
      </c>
      <c r="AP123" s="189">
        <v>0</v>
      </c>
    </row>
    <row r="124" spans="1:42" s="189" customFormat="1">
      <c r="A124" s="185" t="s">
        <v>531</v>
      </c>
      <c r="B124" s="185">
        <v>22107106</v>
      </c>
      <c r="C124" s="185" t="s">
        <v>532</v>
      </c>
      <c r="D124" s="201">
        <v>45106</v>
      </c>
      <c r="E124" s="189">
        <v>1</v>
      </c>
      <c r="F124" s="189">
        <v>81.7</v>
      </c>
      <c r="G124" s="189">
        <v>9.3000000000000007</v>
      </c>
      <c r="H124" s="281">
        <f>G124/(F124/100)^2</f>
        <v>13.932813874086314</v>
      </c>
      <c r="I124" s="189">
        <v>45.6</v>
      </c>
      <c r="J124" s="95">
        <v>44265</v>
      </c>
      <c r="K124" s="95">
        <v>44370</v>
      </c>
      <c r="L124" s="270">
        <v>25</v>
      </c>
      <c r="M124" s="217" t="s">
        <v>2513</v>
      </c>
      <c r="N124" s="189">
        <v>1.3</v>
      </c>
      <c r="O124" s="189">
        <v>2</v>
      </c>
      <c r="P124" s="189" t="s">
        <v>2504</v>
      </c>
      <c r="Q124" s="189">
        <v>1.5</v>
      </c>
      <c r="R124" s="189">
        <v>120</v>
      </c>
      <c r="S124" s="189">
        <v>2</v>
      </c>
      <c r="T124" s="189" t="s">
        <v>2352</v>
      </c>
      <c r="X124" s="189" t="s">
        <v>2352</v>
      </c>
      <c r="AF124" s="189">
        <v>0</v>
      </c>
      <c r="AG124" s="201">
        <v>44787</v>
      </c>
      <c r="AI124" s="189">
        <v>2</v>
      </c>
      <c r="AJ124" s="201">
        <v>44890</v>
      </c>
      <c r="AK124" s="189">
        <v>2</v>
      </c>
      <c r="AL124" s="201">
        <v>44936</v>
      </c>
      <c r="AM124" s="189">
        <v>0</v>
      </c>
      <c r="AN124" s="189">
        <v>1</v>
      </c>
      <c r="AP124" s="189">
        <v>0</v>
      </c>
    </row>
    <row r="125" spans="1:42" s="110" customFormat="1">
      <c r="A125" s="107" t="s">
        <v>533</v>
      </c>
      <c r="B125" s="153">
        <v>22100078</v>
      </c>
      <c r="C125" s="157" t="s">
        <v>1328</v>
      </c>
      <c r="M125" s="215"/>
      <c r="AG125" s="213"/>
    </row>
    <row r="126" spans="1:42" s="193" customFormat="1">
      <c r="A126" s="194" t="s">
        <v>537</v>
      </c>
      <c r="B126" s="194">
        <v>22108137</v>
      </c>
      <c r="C126" s="194" t="s">
        <v>538</v>
      </c>
      <c r="M126" s="218"/>
      <c r="AG126" s="219"/>
    </row>
    <row r="127" spans="1:42" s="110" customFormat="1">
      <c r="A127" s="107" t="s">
        <v>541</v>
      </c>
      <c r="B127" s="107">
        <v>22108221</v>
      </c>
      <c r="C127" s="107" t="s">
        <v>542</v>
      </c>
      <c r="D127" s="213">
        <v>45232</v>
      </c>
      <c r="E127" s="110">
        <v>2</v>
      </c>
      <c r="F127" s="110">
        <v>89.6</v>
      </c>
      <c r="G127" s="110">
        <v>11.6</v>
      </c>
      <c r="J127" s="213">
        <v>44383</v>
      </c>
      <c r="K127" s="213">
        <v>44387</v>
      </c>
      <c r="L127" s="110" t="s">
        <v>19</v>
      </c>
      <c r="M127" s="215" t="s">
        <v>2342</v>
      </c>
      <c r="N127" s="110">
        <v>1</v>
      </c>
      <c r="O127" s="110">
        <v>2</v>
      </c>
      <c r="P127" s="110" t="s">
        <v>2579</v>
      </c>
      <c r="Q127" s="110" t="s">
        <v>2439</v>
      </c>
      <c r="R127" s="110" t="s">
        <v>2580</v>
      </c>
      <c r="S127" s="110">
        <v>0</v>
      </c>
      <c r="T127" s="110">
        <v>0</v>
      </c>
      <c r="U127" s="110">
        <v>0</v>
      </c>
      <c r="V127" s="110">
        <v>0</v>
      </c>
      <c r="W127" s="110" t="s">
        <v>2352</v>
      </c>
      <c r="X127" s="110">
        <v>0</v>
      </c>
      <c r="Y127" s="110">
        <v>0</v>
      </c>
      <c r="Z127" s="110">
        <v>0</v>
      </c>
      <c r="AA127" s="110">
        <v>0</v>
      </c>
      <c r="AB127" s="110">
        <v>0</v>
      </c>
      <c r="AC127" s="110">
        <v>0</v>
      </c>
      <c r="AD127" s="110">
        <v>0</v>
      </c>
      <c r="AE127" s="110">
        <v>0</v>
      </c>
      <c r="AF127" s="110">
        <v>1</v>
      </c>
      <c r="AG127" s="213" t="s">
        <v>2581</v>
      </c>
      <c r="AH127" s="110">
        <v>0</v>
      </c>
      <c r="AI127" s="110">
        <v>0</v>
      </c>
      <c r="AJ127" s="110">
        <v>0</v>
      </c>
      <c r="AK127" s="110">
        <v>0</v>
      </c>
      <c r="AL127" s="110">
        <v>0</v>
      </c>
      <c r="AM127" s="110">
        <v>0</v>
      </c>
      <c r="AN127" s="110">
        <v>1</v>
      </c>
    </row>
    <row r="128" spans="1:42" s="189" customFormat="1">
      <c r="A128" s="185" t="s">
        <v>544</v>
      </c>
      <c r="B128" s="186">
        <v>22100560</v>
      </c>
      <c r="C128" s="190" t="s">
        <v>1331</v>
      </c>
      <c r="M128" s="217"/>
      <c r="AG128" s="201"/>
    </row>
    <row r="129" spans="1:42" s="189" customFormat="1">
      <c r="A129" s="185" t="s">
        <v>548</v>
      </c>
      <c r="B129" s="185">
        <v>22108557</v>
      </c>
      <c r="C129" s="185" t="s">
        <v>549</v>
      </c>
      <c r="D129" s="201">
        <v>45211</v>
      </c>
      <c r="E129" s="189">
        <v>2</v>
      </c>
      <c r="F129" s="189">
        <v>86.4</v>
      </c>
      <c r="G129" s="189">
        <v>10.6</v>
      </c>
      <c r="J129" s="201">
        <v>44416</v>
      </c>
      <c r="K129" s="201">
        <v>44488</v>
      </c>
      <c r="L129" s="189" t="s">
        <v>525</v>
      </c>
      <c r="M129" s="217" t="s">
        <v>2342</v>
      </c>
      <c r="N129" s="189">
        <v>0</v>
      </c>
      <c r="O129" s="189">
        <v>2</v>
      </c>
      <c r="P129" s="189" t="s">
        <v>2537</v>
      </c>
      <c r="Q129" s="189">
        <v>1.4</v>
      </c>
      <c r="S129" s="189">
        <v>2</v>
      </c>
      <c r="T129" s="189">
        <v>0</v>
      </c>
      <c r="U129" s="189">
        <v>0</v>
      </c>
      <c r="V129" s="189">
        <v>0</v>
      </c>
      <c r="W129" s="189">
        <v>0</v>
      </c>
      <c r="X129" s="189" t="s">
        <v>2559</v>
      </c>
      <c r="Y129" s="189">
        <v>0</v>
      </c>
      <c r="Z129" s="189">
        <v>0</v>
      </c>
      <c r="AA129" s="189">
        <v>0</v>
      </c>
      <c r="AB129" s="189">
        <v>0</v>
      </c>
      <c r="AC129" s="189">
        <v>0</v>
      </c>
      <c r="AD129" s="189">
        <v>0</v>
      </c>
      <c r="AE129" s="189">
        <v>0</v>
      </c>
      <c r="AF129" s="189">
        <v>1</v>
      </c>
      <c r="AG129" s="201">
        <v>45157</v>
      </c>
      <c r="AH129" s="189">
        <v>0</v>
      </c>
      <c r="AI129" s="189">
        <v>0</v>
      </c>
      <c r="AJ129" s="189">
        <v>0</v>
      </c>
      <c r="AK129" s="189">
        <v>0</v>
      </c>
      <c r="AL129" s="189">
        <v>0</v>
      </c>
      <c r="AM129" s="189">
        <v>0</v>
      </c>
      <c r="AN129" s="189">
        <v>0</v>
      </c>
      <c r="AO129" s="189">
        <v>0</v>
      </c>
      <c r="AP129" s="189">
        <v>0</v>
      </c>
    </row>
    <row r="130" spans="1:42" s="193" customFormat="1">
      <c r="A130" s="194" t="s">
        <v>551</v>
      </c>
      <c r="B130" s="194">
        <v>22103485</v>
      </c>
      <c r="C130" s="194" t="s">
        <v>552</v>
      </c>
      <c r="M130" s="218"/>
      <c r="AG130" s="219"/>
    </row>
    <row r="131" spans="1:42" s="193" customFormat="1">
      <c r="A131" s="194" t="s">
        <v>555</v>
      </c>
      <c r="B131" s="194">
        <v>22282241</v>
      </c>
      <c r="C131" s="194" t="s">
        <v>556</v>
      </c>
      <c r="M131" s="218"/>
      <c r="AG131" s="219"/>
    </row>
    <row r="132" spans="1:42" s="110" customFormat="1">
      <c r="A132" s="107" t="s">
        <v>558</v>
      </c>
      <c r="B132" s="107">
        <v>22108320</v>
      </c>
      <c r="C132" s="107" t="s">
        <v>559</v>
      </c>
      <c r="D132" s="213">
        <v>45236</v>
      </c>
      <c r="E132" s="110">
        <v>2</v>
      </c>
      <c r="F132" s="110">
        <v>83</v>
      </c>
      <c r="G132" s="110">
        <v>11.4</v>
      </c>
      <c r="I132" s="110">
        <v>47</v>
      </c>
      <c r="J132" s="40">
        <v>44392</v>
      </c>
      <c r="K132" s="40">
        <v>44395</v>
      </c>
      <c r="L132" s="110" t="s">
        <v>560</v>
      </c>
      <c r="M132" s="215" t="s">
        <v>2513</v>
      </c>
      <c r="N132" s="110">
        <v>1.2</v>
      </c>
      <c r="O132" s="110">
        <v>2</v>
      </c>
      <c r="P132" s="110" t="s">
        <v>2582</v>
      </c>
      <c r="Q132" s="110" t="s">
        <v>2439</v>
      </c>
      <c r="R132" s="110">
        <v>150</v>
      </c>
      <c r="S132" s="110">
        <v>0</v>
      </c>
      <c r="T132" s="110">
        <v>0</v>
      </c>
      <c r="U132" s="110">
        <v>0</v>
      </c>
      <c r="V132" s="110" t="s">
        <v>2583</v>
      </c>
      <c r="W132" s="110">
        <v>0</v>
      </c>
      <c r="X132" s="110" t="s">
        <v>2583</v>
      </c>
      <c r="Y132" s="110">
        <v>0</v>
      </c>
      <c r="Z132" s="110">
        <v>0</v>
      </c>
      <c r="AA132" s="110">
        <v>0</v>
      </c>
      <c r="AB132" s="110">
        <v>0</v>
      </c>
      <c r="AC132" s="110">
        <v>0</v>
      </c>
      <c r="AD132" s="110">
        <v>0</v>
      </c>
      <c r="AE132" s="110">
        <v>0</v>
      </c>
      <c r="AF132" s="110">
        <v>1</v>
      </c>
      <c r="AG132" s="213">
        <v>45117</v>
      </c>
      <c r="AH132" s="110">
        <v>0</v>
      </c>
      <c r="AI132" s="110">
        <v>2</v>
      </c>
      <c r="AK132" s="110">
        <v>2</v>
      </c>
      <c r="AM132" s="110">
        <v>0</v>
      </c>
      <c r="AN132" s="110">
        <v>1</v>
      </c>
    </row>
    <row r="133" spans="1:42" s="110" customFormat="1">
      <c r="A133" s="107" t="s">
        <v>562</v>
      </c>
      <c r="B133" s="107">
        <v>22108974</v>
      </c>
      <c r="C133" s="107" t="s">
        <v>563</v>
      </c>
      <c r="D133" s="213">
        <v>45257</v>
      </c>
      <c r="E133" s="110">
        <v>2</v>
      </c>
      <c r="F133" s="110">
        <v>80.5</v>
      </c>
      <c r="G133" s="110">
        <v>10.199999999999999</v>
      </c>
      <c r="I133" s="110">
        <v>47</v>
      </c>
      <c r="J133" s="213">
        <v>44467</v>
      </c>
      <c r="K133" s="213">
        <v>44526</v>
      </c>
      <c r="L133" s="110" t="s">
        <v>85</v>
      </c>
      <c r="M133" s="215" t="s">
        <v>2342</v>
      </c>
      <c r="N133" s="110">
        <v>1</v>
      </c>
      <c r="O133" s="110">
        <v>2</v>
      </c>
      <c r="P133" s="110" t="s">
        <v>2582</v>
      </c>
      <c r="Q133" s="110">
        <v>1.5</v>
      </c>
      <c r="S133" s="110" t="s">
        <v>2593</v>
      </c>
      <c r="T133" s="110">
        <v>0</v>
      </c>
      <c r="U133" s="110">
        <v>0</v>
      </c>
      <c r="V133" s="110">
        <v>0</v>
      </c>
      <c r="W133" s="110">
        <v>0</v>
      </c>
      <c r="X133" s="110" t="s">
        <v>2594</v>
      </c>
      <c r="Y133" s="110">
        <v>0</v>
      </c>
      <c r="Z133" s="110">
        <v>0</v>
      </c>
      <c r="AA133" s="110">
        <v>0</v>
      </c>
      <c r="AB133" s="110">
        <v>0</v>
      </c>
      <c r="AC133" s="110">
        <v>0</v>
      </c>
      <c r="AD133" s="110">
        <v>0</v>
      </c>
      <c r="AE133" s="110">
        <v>0</v>
      </c>
      <c r="AF133" s="110">
        <v>1</v>
      </c>
      <c r="AG133" s="213">
        <v>44958</v>
      </c>
      <c r="AH133" s="110">
        <v>0</v>
      </c>
      <c r="AI133" s="110">
        <v>1</v>
      </c>
      <c r="AJ133" s="213">
        <v>44829</v>
      </c>
      <c r="AK133" s="110">
        <v>1</v>
      </c>
      <c r="AL133" s="213">
        <v>44772</v>
      </c>
      <c r="AM133" s="110">
        <v>0</v>
      </c>
      <c r="AN133" s="110">
        <v>1</v>
      </c>
      <c r="AO133" s="213">
        <v>45201</v>
      </c>
      <c r="AP133" s="110">
        <v>0</v>
      </c>
    </row>
    <row r="134" spans="1:42" s="189" customFormat="1">
      <c r="A134" s="185" t="s">
        <v>566</v>
      </c>
      <c r="B134" s="185">
        <v>22107651</v>
      </c>
      <c r="C134" s="185" t="s">
        <v>567</v>
      </c>
      <c r="D134" s="201">
        <v>45153</v>
      </c>
      <c r="E134" s="189">
        <v>1</v>
      </c>
      <c r="F134" s="185">
        <v>87.1</v>
      </c>
      <c r="G134" s="185">
        <v>12.5</v>
      </c>
      <c r="H134" s="281">
        <f>G134/(F134/100)^2</f>
        <v>16.476831597554046</v>
      </c>
      <c r="J134" s="201">
        <v>44322</v>
      </c>
      <c r="K134" s="201">
        <v>44331</v>
      </c>
      <c r="L134" s="270" t="s">
        <v>155</v>
      </c>
      <c r="M134" s="217" t="s">
        <v>2342</v>
      </c>
      <c r="N134" s="189">
        <v>1</v>
      </c>
      <c r="O134" s="189">
        <v>2</v>
      </c>
      <c r="P134" s="189" t="s">
        <v>2522</v>
      </c>
      <c r="Q134" s="189">
        <v>5</v>
      </c>
      <c r="R134" s="189">
        <v>240</v>
      </c>
      <c r="V134" s="189" t="s">
        <v>2523</v>
      </c>
      <c r="AA134" s="189">
        <v>1</v>
      </c>
      <c r="AD134" s="189" t="s">
        <v>2524</v>
      </c>
      <c r="AF134" s="189">
        <v>0</v>
      </c>
      <c r="AG134" s="201"/>
      <c r="AI134" s="189">
        <v>1</v>
      </c>
      <c r="AJ134" s="201">
        <v>44765</v>
      </c>
      <c r="AM134" s="189">
        <v>0</v>
      </c>
      <c r="AN134" s="189">
        <v>1</v>
      </c>
      <c r="AO134" s="201">
        <v>44880</v>
      </c>
    </row>
    <row r="135" spans="1:42" s="110" customFormat="1">
      <c r="A135" s="107" t="s">
        <v>570</v>
      </c>
      <c r="B135" s="107">
        <v>22108335</v>
      </c>
      <c r="C135" s="107" t="s">
        <v>571</v>
      </c>
      <c r="D135" s="213">
        <v>45048</v>
      </c>
      <c r="E135" s="110">
        <v>2</v>
      </c>
      <c r="F135" s="110">
        <v>75.599999999999994</v>
      </c>
      <c r="G135" s="110">
        <v>7.5</v>
      </c>
      <c r="H135" s="214">
        <f>G135/(F135/100)^2</f>
        <v>13.12253296380281</v>
      </c>
      <c r="J135" s="40">
        <v>44393</v>
      </c>
      <c r="K135" s="40">
        <v>44398</v>
      </c>
      <c r="L135" s="40" t="s">
        <v>452</v>
      </c>
      <c r="M135" s="215" t="s">
        <v>2342</v>
      </c>
      <c r="N135" s="110">
        <v>0</v>
      </c>
      <c r="O135" s="266">
        <v>1</v>
      </c>
      <c r="Q135" s="110">
        <v>1.5</v>
      </c>
      <c r="V135" s="110" t="s">
        <v>2352</v>
      </c>
      <c r="W135" s="110" t="s">
        <v>2474</v>
      </c>
      <c r="AA135" s="110">
        <v>0</v>
      </c>
      <c r="AF135" s="110">
        <v>1</v>
      </c>
      <c r="AG135" s="213">
        <v>44910</v>
      </c>
      <c r="AH135" s="110">
        <v>0</v>
      </c>
      <c r="AI135" s="213"/>
      <c r="AJ135" s="110">
        <v>0</v>
      </c>
      <c r="AN135" s="110">
        <v>1</v>
      </c>
      <c r="AO135" s="213">
        <v>44857</v>
      </c>
    </row>
    <row r="136" spans="1:42" s="193" customFormat="1">
      <c r="A136" s="194" t="s">
        <v>573</v>
      </c>
      <c r="B136" s="194">
        <v>22107996</v>
      </c>
      <c r="C136" s="194" t="s">
        <v>574</v>
      </c>
      <c r="M136" s="218"/>
      <c r="AG136" s="219"/>
    </row>
    <row r="137" spans="1:42" s="189" customFormat="1">
      <c r="A137" s="185" t="s">
        <v>576</v>
      </c>
      <c r="B137" s="185">
        <v>22108333</v>
      </c>
      <c r="C137" s="185" t="s">
        <v>577</v>
      </c>
      <c r="D137" s="201">
        <v>45265</v>
      </c>
      <c r="E137" s="189">
        <v>2</v>
      </c>
      <c r="F137" s="189">
        <v>85.3</v>
      </c>
      <c r="G137" s="189">
        <v>11.4</v>
      </c>
      <c r="I137" s="189">
        <v>48</v>
      </c>
      <c r="J137" s="201">
        <v>44393</v>
      </c>
      <c r="K137" s="201">
        <v>44393</v>
      </c>
      <c r="L137" s="189">
        <v>40</v>
      </c>
      <c r="M137" s="217" t="s">
        <v>2513</v>
      </c>
      <c r="N137" s="189">
        <v>1</v>
      </c>
      <c r="O137" s="189">
        <v>2</v>
      </c>
      <c r="P137" s="189" t="s">
        <v>2540</v>
      </c>
      <c r="Q137" s="189">
        <v>1.5</v>
      </c>
      <c r="R137" s="189">
        <v>120</v>
      </c>
      <c r="S137" s="189">
        <v>0</v>
      </c>
      <c r="T137" s="189">
        <v>0</v>
      </c>
      <c r="U137" s="189">
        <v>0</v>
      </c>
      <c r="V137" s="189">
        <v>0</v>
      </c>
      <c r="W137" s="189">
        <v>0</v>
      </c>
      <c r="X137" s="189">
        <v>0</v>
      </c>
      <c r="Y137" s="189">
        <v>0</v>
      </c>
      <c r="Z137" s="189">
        <v>0</v>
      </c>
      <c r="AA137" s="189">
        <v>1</v>
      </c>
      <c r="AB137" s="189" t="s">
        <v>2353</v>
      </c>
      <c r="AC137" s="189" t="s">
        <v>2353</v>
      </c>
      <c r="AD137" s="189" t="s">
        <v>2353</v>
      </c>
      <c r="AE137" s="189" t="s">
        <v>2353</v>
      </c>
      <c r="AF137" s="189">
        <v>1</v>
      </c>
      <c r="AG137" s="201">
        <v>44743</v>
      </c>
      <c r="AH137" s="189">
        <v>0</v>
      </c>
      <c r="AI137" s="189">
        <v>0</v>
      </c>
      <c r="AJ137" s="189">
        <v>0</v>
      </c>
      <c r="AK137" s="189">
        <v>0</v>
      </c>
      <c r="AL137" s="189">
        <v>0</v>
      </c>
      <c r="AM137" s="189">
        <v>0</v>
      </c>
      <c r="AN137" s="189">
        <v>1</v>
      </c>
      <c r="AO137" s="201">
        <v>45265</v>
      </c>
    </row>
    <row r="138" spans="1:42" s="189" customFormat="1">
      <c r="A138" s="185" t="s">
        <v>580</v>
      </c>
      <c r="B138" s="185">
        <v>22107506</v>
      </c>
      <c r="C138" s="185" t="s">
        <v>581</v>
      </c>
      <c r="D138" s="201">
        <v>45139</v>
      </c>
      <c r="E138" s="189">
        <v>1</v>
      </c>
      <c r="F138" s="185">
        <v>91.7</v>
      </c>
      <c r="G138" s="185">
        <v>13.1</v>
      </c>
      <c r="H138" s="282">
        <f>G138/(F138/100)^2</f>
        <v>15.578750584203144</v>
      </c>
      <c r="J138" s="95">
        <v>44306</v>
      </c>
      <c r="K138" s="95">
        <v>44304</v>
      </c>
      <c r="L138" s="270" t="s">
        <v>29</v>
      </c>
      <c r="M138" s="217" t="s">
        <v>2342</v>
      </c>
      <c r="N138" s="189">
        <v>1</v>
      </c>
      <c r="T138" s="189">
        <v>0</v>
      </c>
      <c r="U138" s="189">
        <v>0</v>
      </c>
      <c r="V138" s="189">
        <v>0</v>
      </c>
      <c r="W138" s="189">
        <v>0</v>
      </c>
      <c r="X138" s="189">
        <v>0</v>
      </c>
      <c r="Y138" s="189">
        <v>0</v>
      </c>
      <c r="Z138" s="189">
        <v>0</v>
      </c>
      <c r="AA138" s="189">
        <v>0</v>
      </c>
      <c r="AB138" s="189">
        <v>0</v>
      </c>
      <c r="AC138" s="189">
        <v>0</v>
      </c>
      <c r="AD138" s="189">
        <v>0</v>
      </c>
      <c r="AE138" s="189">
        <v>0</v>
      </c>
      <c r="AF138" s="189">
        <v>1</v>
      </c>
      <c r="AG138" s="201">
        <v>44781</v>
      </c>
      <c r="AH138" s="189">
        <v>0</v>
      </c>
      <c r="AI138" s="189">
        <v>0</v>
      </c>
      <c r="AJ138" s="189">
        <v>0</v>
      </c>
      <c r="AK138" s="189">
        <v>0</v>
      </c>
      <c r="AL138" s="189">
        <v>0</v>
      </c>
      <c r="AM138" s="189">
        <v>0</v>
      </c>
      <c r="AN138" s="189">
        <v>1</v>
      </c>
      <c r="AO138" s="201">
        <v>44859</v>
      </c>
    </row>
    <row r="139" spans="1:42" s="193" customFormat="1">
      <c r="A139" s="194" t="s">
        <v>584</v>
      </c>
      <c r="B139" s="194">
        <v>22106433</v>
      </c>
      <c r="C139" s="194" t="s">
        <v>585</v>
      </c>
      <c r="M139" s="218"/>
      <c r="AG139" s="219"/>
    </row>
    <row r="140" spans="1:42" s="110" customFormat="1">
      <c r="A140" s="107" t="s">
        <v>589</v>
      </c>
      <c r="B140" s="107">
        <v>22108915</v>
      </c>
      <c r="C140" s="107" t="s">
        <v>590</v>
      </c>
      <c r="D140" s="213">
        <v>45345</v>
      </c>
      <c r="E140" s="110">
        <v>1</v>
      </c>
      <c r="F140" s="110">
        <v>97.9</v>
      </c>
      <c r="G140" s="110">
        <v>16</v>
      </c>
      <c r="I140" s="110">
        <v>50.3</v>
      </c>
      <c r="J140" s="213">
        <v>44458</v>
      </c>
      <c r="K140" s="213">
        <v>44466</v>
      </c>
      <c r="L140" s="110" t="s">
        <v>90</v>
      </c>
      <c r="M140" s="215" t="s">
        <v>2513</v>
      </c>
      <c r="N140" s="110">
        <v>1</v>
      </c>
      <c r="O140" s="110">
        <v>2</v>
      </c>
      <c r="P140" s="110" t="s">
        <v>2633</v>
      </c>
      <c r="Q140" s="110" t="s">
        <v>2634</v>
      </c>
      <c r="R140" s="110" t="s">
        <v>2635</v>
      </c>
      <c r="S140" s="110">
        <v>0</v>
      </c>
      <c r="T140" s="110">
        <v>0</v>
      </c>
      <c r="U140" s="110">
        <v>0</v>
      </c>
      <c r="V140" s="110">
        <v>0</v>
      </c>
      <c r="W140" s="110">
        <v>0</v>
      </c>
      <c r="X140" s="110">
        <v>0</v>
      </c>
      <c r="Y140" s="110">
        <v>0</v>
      </c>
      <c r="Z140" s="110">
        <v>0</v>
      </c>
      <c r="AA140" s="110">
        <v>0</v>
      </c>
      <c r="AB140" s="110">
        <v>0</v>
      </c>
      <c r="AC140" s="110">
        <v>0</v>
      </c>
      <c r="AD140" s="110">
        <v>0</v>
      </c>
      <c r="AE140" s="110">
        <v>0</v>
      </c>
      <c r="AF140" s="110">
        <v>1</v>
      </c>
      <c r="AG140" s="213">
        <v>44732</v>
      </c>
      <c r="AH140" s="110">
        <v>0</v>
      </c>
      <c r="AI140" s="110">
        <v>2</v>
      </c>
      <c r="AK140" s="110">
        <v>2</v>
      </c>
      <c r="AM140" s="110">
        <v>0</v>
      </c>
      <c r="AN140" s="110">
        <v>1</v>
      </c>
      <c r="AP140" s="110">
        <v>0</v>
      </c>
    </row>
    <row r="141" spans="1:42" s="110" customFormat="1">
      <c r="A141" s="107" t="s">
        <v>593</v>
      </c>
      <c r="B141" s="107">
        <v>16902223</v>
      </c>
      <c r="C141" s="107" t="s">
        <v>594</v>
      </c>
      <c r="D141" s="213">
        <v>45321</v>
      </c>
      <c r="E141" s="110">
        <v>2</v>
      </c>
      <c r="F141" s="110">
        <v>87</v>
      </c>
      <c r="G141" s="110">
        <v>11.2</v>
      </c>
      <c r="J141" s="213">
        <v>44314</v>
      </c>
      <c r="K141" s="213">
        <v>44412</v>
      </c>
      <c r="L141" s="110">
        <v>26</v>
      </c>
      <c r="M141" s="215" t="s">
        <v>2342</v>
      </c>
      <c r="N141" s="110">
        <v>1</v>
      </c>
      <c r="O141" s="110">
        <v>2</v>
      </c>
      <c r="P141" s="110" t="s">
        <v>2432</v>
      </c>
      <c r="Q141" s="110">
        <v>1.5</v>
      </c>
      <c r="R141" s="110">
        <v>230.16</v>
      </c>
      <c r="S141" s="110">
        <v>0</v>
      </c>
      <c r="T141" s="110">
        <v>0</v>
      </c>
      <c r="U141" s="110">
        <v>0</v>
      </c>
      <c r="V141" s="110" t="s">
        <v>2625</v>
      </c>
      <c r="W141" s="110" t="s">
        <v>2460</v>
      </c>
      <c r="X141" s="110" t="s">
        <v>2626</v>
      </c>
      <c r="Y141" s="110" t="s">
        <v>2627</v>
      </c>
      <c r="Z141" s="110">
        <v>0</v>
      </c>
      <c r="AA141" s="110">
        <v>0</v>
      </c>
      <c r="AB141" s="110">
        <v>0</v>
      </c>
      <c r="AC141" s="110">
        <v>0</v>
      </c>
      <c r="AD141" s="110">
        <v>0</v>
      </c>
      <c r="AE141" s="110">
        <v>0</v>
      </c>
      <c r="AF141" s="110">
        <v>1</v>
      </c>
      <c r="AG141" s="213">
        <v>44857</v>
      </c>
      <c r="AH141" s="110">
        <v>1</v>
      </c>
      <c r="AI141" s="110">
        <v>0</v>
      </c>
      <c r="AJ141" s="110">
        <v>0</v>
      </c>
      <c r="AK141" s="110">
        <v>0</v>
      </c>
      <c r="AL141" s="110">
        <v>0</v>
      </c>
      <c r="AM141" s="110">
        <v>0</v>
      </c>
      <c r="AN141" s="110">
        <v>1</v>
      </c>
      <c r="AO141" s="213">
        <v>45238</v>
      </c>
    </row>
    <row r="142" spans="1:42" s="189" customFormat="1">
      <c r="A142" s="185" t="s">
        <v>597</v>
      </c>
      <c r="B142" s="185">
        <v>22108084</v>
      </c>
      <c r="C142" s="185" t="s">
        <v>598</v>
      </c>
      <c r="D142" s="201">
        <v>45210</v>
      </c>
      <c r="E142" s="189">
        <v>1</v>
      </c>
      <c r="F142" s="189">
        <v>90</v>
      </c>
      <c r="G142" s="189">
        <v>13.2</v>
      </c>
      <c r="I142" s="189">
        <v>47.2</v>
      </c>
      <c r="J142" s="201">
        <v>44367</v>
      </c>
      <c r="K142" s="201">
        <v>44379</v>
      </c>
      <c r="L142" s="189" t="s">
        <v>75</v>
      </c>
      <c r="M142" s="217" t="s">
        <v>2342</v>
      </c>
      <c r="N142" s="189">
        <v>1</v>
      </c>
      <c r="O142" s="189">
        <v>2</v>
      </c>
      <c r="P142" s="189" t="s">
        <v>2560</v>
      </c>
      <c r="Q142" s="189">
        <v>1.5</v>
      </c>
      <c r="R142" s="189">
        <v>210</v>
      </c>
      <c r="S142" s="189">
        <v>0</v>
      </c>
      <c r="T142" s="189">
        <v>0</v>
      </c>
      <c r="U142" s="189">
        <v>0</v>
      </c>
      <c r="V142" s="189">
        <v>0</v>
      </c>
      <c r="W142" s="189">
        <v>0</v>
      </c>
      <c r="X142" s="189">
        <v>0</v>
      </c>
      <c r="Y142" s="189">
        <v>0</v>
      </c>
      <c r="Z142" s="189">
        <v>0</v>
      </c>
      <c r="AA142" s="189">
        <v>0</v>
      </c>
      <c r="AB142" s="189">
        <v>0</v>
      </c>
      <c r="AC142" s="189">
        <v>0</v>
      </c>
      <c r="AD142" s="189">
        <v>0</v>
      </c>
      <c r="AE142" s="189">
        <v>0</v>
      </c>
      <c r="AF142" s="189">
        <v>1</v>
      </c>
      <c r="AG142" s="201">
        <v>44810</v>
      </c>
      <c r="AH142" s="189">
        <v>0</v>
      </c>
      <c r="AI142" s="189">
        <v>0</v>
      </c>
      <c r="AJ142" s="189">
        <v>0</v>
      </c>
      <c r="AK142" s="189">
        <v>0</v>
      </c>
      <c r="AL142" s="189">
        <v>0</v>
      </c>
      <c r="AM142" s="189">
        <v>0</v>
      </c>
      <c r="AN142" s="189">
        <v>0</v>
      </c>
      <c r="AO142" s="189">
        <v>0</v>
      </c>
    </row>
    <row r="143" spans="1:42" s="189" customFormat="1">
      <c r="A143" s="185" t="s">
        <v>601</v>
      </c>
      <c r="B143" s="185">
        <v>22107115</v>
      </c>
      <c r="C143" s="185" t="s">
        <v>602</v>
      </c>
      <c r="D143" s="201">
        <v>45142</v>
      </c>
      <c r="E143" s="189">
        <v>1</v>
      </c>
      <c r="F143" s="189">
        <v>82.8</v>
      </c>
      <c r="G143" s="189">
        <v>10.7</v>
      </c>
      <c r="H143" s="281">
        <f>G143/(F143/100)^2</f>
        <v>15.607132021750799</v>
      </c>
      <c r="J143" s="95">
        <v>44266</v>
      </c>
      <c r="K143" s="95">
        <v>44377</v>
      </c>
      <c r="L143" s="270" t="s">
        <v>34</v>
      </c>
      <c r="M143" s="217" t="s">
        <v>2513</v>
      </c>
      <c r="N143" s="189">
        <v>1</v>
      </c>
      <c r="O143" s="189">
        <v>2</v>
      </c>
      <c r="P143" s="189" t="s">
        <v>2432</v>
      </c>
      <c r="Q143" s="189" t="s">
        <v>2348</v>
      </c>
      <c r="R143" s="189">
        <v>170</v>
      </c>
      <c r="S143" s="189" t="s">
        <v>2516</v>
      </c>
      <c r="T143" s="189" t="s">
        <v>2517</v>
      </c>
      <c r="U143" s="189" t="s">
        <v>2517</v>
      </c>
      <c r="V143" s="189" t="s">
        <v>2517</v>
      </c>
      <c r="W143" s="189" t="s">
        <v>2517</v>
      </c>
      <c r="X143" s="189" t="s">
        <v>2517</v>
      </c>
      <c r="AA143" s="189">
        <v>0</v>
      </c>
      <c r="AF143" s="189">
        <v>0</v>
      </c>
      <c r="AG143" s="201"/>
      <c r="AI143" s="189">
        <v>2</v>
      </c>
      <c r="AJ143" s="201">
        <v>44855</v>
      </c>
      <c r="AK143" s="189">
        <v>0</v>
      </c>
      <c r="AL143" s="189">
        <v>0</v>
      </c>
      <c r="AM143" s="189">
        <v>0</v>
      </c>
      <c r="AN143" s="189">
        <v>1</v>
      </c>
    </row>
    <row r="144" spans="1:42" s="189" customFormat="1">
      <c r="A144" s="185" t="s">
        <v>604</v>
      </c>
      <c r="B144" s="185">
        <v>22106626</v>
      </c>
      <c r="C144" s="185" t="s">
        <v>605</v>
      </c>
      <c r="D144" s="201">
        <v>45030</v>
      </c>
      <c r="E144" s="189">
        <v>2</v>
      </c>
      <c r="F144" s="189">
        <v>77.900000000000006</v>
      </c>
      <c r="G144" s="189">
        <v>7.5</v>
      </c>
      <c r="H144" s="281">
        <f>G144/(F144/100)^2</f>
        <v>12.359085823139832</v>
      </c>
      <c r="J144" s="95">
        <v>44221</v>
      </c>
      <c r="K144" s="95">
        <v>44324</v>
      </c>
      <c r="L144" s="99" t="s">
        <v>587</v>
      </c>
      <c r="M144" s="217" t="s">
        <v>2513</v>
      </c>
      <c r="N144" s="189">
        <v>1</v>
      </c>
      <c r="O144" s="189">
        <v>2</v>
      </c>
      <c r="P144" s="189" t="s">
        <v>1921</v>
      </c>
      <c r="Q144" s="189">
        <v>1</v>
      </c>
      <c r="R144" s="189">
        <v>210</v>
      </c>
      <c r="W144" s="189" t="s">
        <v>2460</v>
      </c>
      <c r="X144" s="189" t="s">
        <v>2461</v>
      </c>
      <c r="AA144" s="189">
        <v>1</v>
      </c>
      <c r="AD144" s="189" t="s">
        <v>2462</v>
      </c>
      <c r="AE144" s="189" t="s">
        <v>2463</v>
      </c>
      <c r="AF144" s="189">
        <v>0</v>
      </c>
      <c r="AG144" s="201"/>
      <c r="AH144" s="189">
        <v>1</v>
      </c>
      <c r="AI144" s="189">
        <v>1</v>
      </c>
      <c r="AJ144" s="257">
        <v>45027</v>
      </c>
      <c r="AK144" s="189">
        <v>0</v>
      </c>
      <c r="AN144" s="189">
        <v>0</v>
      </c>
    </row>
    <row r="145" spans="1:42" s="189" customFormat="1">
      <c r="A145" s="185" t="s">
        <v>608</v>
      </c>
      <c r="B145" s="185">
        <v>22109189</v>
      </c>
      <c r="C145" s="185" t="s">
        <v>609</v>
      </c>
      <c r="D145" s="201">
        <v>45265</v>
      </c>
      <c r="E145" s="189">
        <v>2</v>
      </c>
      <c r="F145" s="189">
        <v>83</v>
      </c>
      <c r="G145" s="189">
        <v>13</v>
      </c>
      <c r="J145" s="201">
        <v>44490</v>
      </c>
      <c r="K145" s="201">
        <v>44497</v>
      </c>
      <c r="L145" s="189" t="s">
        <v>110</v>
      </c>
      <c r="M145" s="217" t="s">
        <v>2342</v>
      </c>
      <c r="N145" s="189">
        <v>1.2</v>
      </c>
      <c r="O145" s="189">
        <v>2</v>
      </c>
      <c r="P145" s="189" t="s">
        <v>2540</v>
      </c>
      <c r="Q145" s="189">
        <v>1.5</v>
      </c>
      <c r="R145" s="189">
        <v>150</v>
      </c>
      <c r="S145" s="189">
        <v>0</v>
      </c>
      <c r="T145" s="189">
        <v>0</v>
      </c>
      <c r="U145" s="189">
        <v>0</v>
      </c>
      <c r="V145" s="189">
        <v>0</v>
      </c>
      <c r="W145" s="189" t="s">
        <v>2602</v>
      </c>
      <c r="X145" s="189" t="s">
        <v>2603</v>
      </c>
      <c r="Y145" s="189">
        <v>0</v>
      </c>
      <c r="Z145" s="189">
        <v>0</v>
      </c>
      <c r="AA145" s="189">
        <v>1</v>
      </c>
      <c r="AB145" s="189" t="s">
        <v>2353</v>
      </c>
      <c r="AC145" s="189" t="s">
        <v>2353</v>
      </c>
      <c r="AD145" s="189" t="s">
        <v>2353</v>
      </c>
      <c r="AE145" s="189" t="s">
        <v>2353</v>
      </c>
      <c r="AF145" s="189">
        <v>1</v>
      </c>
      <c r="AG145" s="189">
        <v>2022</v>
      </c>
      <c r="AH145" s="189">
        <v>0</v>
      </c>
      <c r="AI145" s="189">
        <v>0</v>
      </c>
      <c r="AJ145" s="189">
        <v>0</v>
      </c>
      <c r="AK145" s="189">
        <v>0</v>
      </c>
      <c r="AL145" s="189">
        <v>0</v>
      </c>
      <c r="AM145" s="189">
        <v>0</v>
      </c>
      <c r="AN145" s="189">
        <v>1</v>
      </c>
      <c r="AO145" s="201">
        <v>44840</v>
      </c>
      <c r="AP145" s="189">
        <v>0</v>
      </c>
    </row>
    <row r="146" spans="1:42" s="193" customFormat="1">
      <c r="A146" s="194" t="s">
        <v>611</v>
      </c>
      <c r="B146" s="194">
        <v>22109134</v>
      </c>
      <c r="C146" s="194" t="s">
        <v>612</v>
      </c>
      <c r="L146" s="32"/>
      <c r="M146" s="25"/>
      <c r="AG146" s="219"/>
    </row>
    <row r="147" spans="1:42" s="189" customFormat="1">
      <c r="A147" s="185" t="s">
        <v>615</v>
      </c>
      <c r="B147" s="186">
        <v>22101864</v>
      </c>
      <c r="C147" s="190" t="s">
        <v>1401</v>
      </c>
      <c r="M147" s="217"/>
      <c r="AG147" s="201"/>
    </row>
    <row r="148" spans="1:42" s="189" customFormat="1">
      <c r="A148" s="185" t="s">
        <v>619</v>
      </c>
      <c r="B148" s="186">
        <v>22101865</v>
      </c>
      <c r="C148" s="190" t="s">
        <v>1404</v>
      </c>
      <c r="M148" s="217"/>
      <c r="AG148" s="201"/>
    </row>
    <row r="149" spans="1:42" s="193" customFormat="1">
      <c r="A149" s="194" t="s">
        <v>622</v>
      </c>
      <c r="B149" s="194">
        <v>22107821</v>
      </c>
      <c r="C149" s="194" t="s">
        <v>623</v>
      </c>
      <c r="M149" s="218"/>
      <c r="AG149" s="219"/>
    </row>
    <row r="150" spans="1:42" s="189" customFormat="1">
      <c r="A150" s="185" t="s">
        <v>626</v>
      </c>
      <c r="B150" s="185">
        <v>22109239</v>
      </c>
      <c r="C150" s="185" t="s">
        <v>627</v>
      </c>
      <c r="D150" s="201">
        <v>45251</v>
      </c>
      <c r="E150" s="189">
        <v>1</v>
      </c>
      <c r="F150" s="189">
        <v>85.8</v>
      </c>
      <c r="G150" s="189">
        <v>11.3</v>
      </c>
      <c r="I150" s="189">
        <v>48.3</v>
      </c>
      <c r="J150" s="95">
        <v>44496</v>
      </c>
      <c r="K150" s="95">
        <v>44508</v>
      </c>
      <c r="L150" s="283" t="s">
        <v>75</v>
      </c>
      <c r="M150" s="217" t="s">
        <v>2342</v>
      </c>
      <c r="N150" s="189">
        <v>1</v>
      </c>
      <c r="O150" s="189">
        <v>2</v>
      </c>
      <c r="P150" s="189" t="s">
        <v>2585</v>
      </c>
      <c r="Q150" s="189">
        <v>5</v>
      </c>
      <c r="R150" s="189">
        <v>180</v>
      </c>
      <c r="S150" s="189">
        <v>2.2999999999999998</v>
      </c>
      <c r="T150" s="189">
        <v>0</v>
      </c>
      <c r="U150" s="189">
        <v>0</v>
      </c>
      <c r="V150" s="189">
        <v>0</v>
      </c>
      <c r="W150" s="189" t="s">
        <v>2586</v>
      </c>
      <c r="X150" s="189" t="s">
        <v>2587</v>
      </c>
      <c r="Y150" s="189">
        <v>0</v>
      </c>
      <c r="Z150" s="189">
        <v>0</v>
      </c>
      <c r="AA150" s="189">
        <v>1</v>
      </c>
      <c r="AB150" s="189" t="s">
        <v>2353</v>
      </c>
      <c r="AC150" s="189" t="s">
        <v>2353</v>
      </c>
      <c r="AD150" s="189" t="s">
        <v>2353</v>
      </c>
      <c r="AE150" s="189" t="s">
        <v>2353</v>
      </c>
      <c r="AF150" s="189">
        <v>1</v>
      </c>
      <c r="AG150" s="201">
        <v>44866</v>
      </c>
      <c r="AH150" s="189">
        <v>0</v>
      </c>
      <c r="AI150" s="189">
        <v>1</v>
      </c>
      <c r="AM150" s="189">
        <v>0</v>
      </c>
      <c r="AN150" s="189">
        <v>1</v>
      </c>
    </row>
    <row r="151" spans="1:42" s="193" customFormat="1">
      <c r="A151" s="194" t="s">
        <v>630</v>
      </c>
      <c r="B151" s="194">
        <v>22107774</v>
      </c>
      <c r="C151" s="194" t="s">
        <v>631</v>
      </c>
      <c r="M151" s="218"/>
      <c r="AG151" s="219"/>
    </row>
    <row r="152" spans="1:42" s="189" customFormat="1">
      <c r="A152" s="185" t="s">
        <v>633</v>
      </c>
      <c r="B152" s="185">
        <v>22109051</v>
      </c>
      <c r="C152" s="185" t="s">
        <v>634</v>
      </c>
      <c r="D152" s="201">
        <v>45257</v>
      </c>
      <c r="E152" s="189">
        <v>2</v>
      </c>
      <c r="F152" s="189">
        <v>83.5</v>
      </c>
      <c r="G152" s="189">
        <v>11</v>
      </c>
      <c r="I152" s="189">
        <v>44.8</v>
      </c>
      <c r="J152" s="201">
        <v>44476</v>
      </c>
      <c r="K152" s="201">
        <v>44532</v>
      </c>
      <c r="L152" s="189" t="s">
        <v>2595</v>
      </c>
      <c r="M152" s="217" t="s">
        <v>2342</v>
      </c>
      <c r="N152" s="189">
        <v>1</v>
      </c>
      <c r="O152" s="189">
        <v>2</v>
      </c>
      <c r="P152" s="189" t="s">
        <v>2596</v>
      </c>
      <c r="Q152" s="189">
        <v>5</v>
      </c>
      <c r="R152" s="189">
        <v>200</v>
      </c>
      <c r="S152" s="189">
        <v>0</v>
      </c>
      <c r="T152" s="189">
        <v>0</v>
      </c>
      <c r="U152" s="189">
        <v>0</v>
      </c>
      <c r="V152" s="189">
        <v>0</v>
      </c>
      <c r="W152" s="189">
        <v>0</v>
      </c>
      <c r="X152" s="189" t="s">
        <v>2597</v>
      </c>
      <c r="Y152" s="189">
        <v>0</v>
      </c>
      <c r="Z152" s="189">
        <v>0</v>
      </c>
      <c r="AA152" s="189">
        <v>1</v>
      </c>
      <c r="AB152" s="189" t="s">
        <v>2353</v>
      </c>
      <c r="AC152" s="189" t="s">
        <v>2353</v>
      </c>
      <c r="AD152" s="189" t="s">
        <v>2353</v>
      </c>
      <c r="AE152" s="189" t="s">
        <v>2353</v>
      </c>
      <c r="AF152" s="189">
        <v>1</v>
      </c>
      <c r="AG152" s="201">
        <v>45253</v>
      </c>
      <c r="AH152" s="189">
        <v>0</v>
      </c>
      <c r="AI152" s="189">
        <v>0</v>
      </c>
      <c r="AJ152" s="189">
        <v>0</v>
      </c>
      <c r="AK152" s="189">
        <v>0</v>
      </c>
      <c r="AL152" s="189">
        <v>0</v>
      </c>
      <c r="AM152" s="189">
        <v>0</v>
      </c>
      <c r="AN152" s="189">
        <v>1</v>
      </c>
      <c r="AO152" s="201">
        <v>45218</v>
      </c>
    </row>
    <row r="153" spans="1:42" s="189" customFormat="1">
      <c r="A153" s="185" t="s">
        <v>636</v>
      </c>
      <c r="B153" s="185">
        <v>22109052</v>
      </c>
      <c r="C153" s="185" t="s">
        <v>637</v>
      </c>
      <c r="D153" s="201">
        <v>45260</v>
      </c>
      <c r="E153" s="189">
        <v>1</v>
      </c>
      <c r="F153" s="189">
        <v>83.3</v>
      </c>
      <c r="G153" s="189">
        <v>10</v>
      </c>
      <c r="I153" s="189">
        <v>45.5</v>
      </c>
      <c r="J153" s="201">
        <v>44476</v>
      </c>
      <c r="K153" s="201">
        <v>44532</v>
      </c>
      <c r="L153" s="189" t="s">
        <v>2595</v>
      </c>
      <c r="M153" s="217" t="s">
        <v>2342</v>
      </c>
      <c r="N153" s="189">
        <v>1</v>
      </c>
      <c r="O153" s="189">
        <v>2</v>
      </c>
      <c r="P153" s="189" t="s">
        <v>2596</v>
      </c>
      <c r="Q153" s="189">
        <v>5</v>
      </c>
      <c r="R153" s="189">
        <v>200</v>
      </c>
      <c r="S153" s="189">
        <v>0</v>
      </c>
      <c r="T153" s="189">
        <v>0</v>
      </c>
      <c r="U153" s="189">
        <v>0</v>
      </c>
      <c r="V153" s="189">
        <v>0</v>
      </c>
      <c r="W153" s="189">
        <v>0</v>
      </c>
      <c r="X153" s="189" t="s">
        <v>2597</v>
      </c>
      <c r="Y153" s="189">
        <v>0</v>
      </c>
      <c r="Z153" s="189">
        <v>0</v>
      </c>
      <c r="AA153" s="189">
        <v>0</v>
      </c>
      <c r="AB153" s="189">
        <v>0</v>
      </c>
      <c r="AC153" s="189">
        <v>0</v>
      </c>
      <c r="AD153" s="189">
        <v>0</v>
      </c>
      <c r="AE153" s="189">
        <v>0</v>
      </c>
      <c r="AF153" s="189">
        <v>0</v>
      </c>
      <c r="AG153" s="189">
        <v>0</v>
      </c>
      <c r="AH153" s="189">
        <v>0</v>
      </c>
      <c r="AI153" s="189">
        <v>0</v>
      </c>
      <c r="AJ153" s="189">
        <v>0</v>
      </c>
      <c r="AK153" s="189">
        <v>0</v>
      </c>
      <c r="AL153" s="189">
        <v>0</v>
      </c>
      <c r="AM153" s="189">
        <v>0</v>
      </c>
      <c r="AN153" s="189">
        <v>1</v>
      </c>
      <c r="AO153" s="201">
        <v>45218</v>
      </c>
    </row>
    <row r="154" spans="1:42" s="189" customFormat="1">
      <c r="A154" s="185" t="s">
        <v>638</v>
      </c>
      <c r="B154" s="186">
        <v>22100387</v>
      </c>
      <c r="C154" s="190" t="s">
        <v>1426</v>
      </c>
      <c r="M154" s="217"/>
      <c r="AG154" s="201"/>
    </row>
    <row r="155" spans="1:42" s="189" customFormat="1">
      <c r="A155" s="185" t="s">
        <v>642</v>
      </c>
      <c r="B155" s="185">
        <v>22108829</v>
      </c>
      <c r="C155" s="185" t="s">
        <v>643</v>
      </c>
      <c r="D155" s="201">
        <v>45285</v>
      </c>
      <c r="E155" s="189">
        <v>2</v>
      </c>
      <c r="F155" s="189">
        <v>89</v>
      </c>
      <c r="G155" s="189">
        <v>13.4</v>
      </c>
      <c r="J155" s="95">
        <v>44449</v>
      </c>
      <c r="K155" s="95">
        <v>44523</v>
      </c>
      <c r="L155" s="189" t="s">
        <v>180</v>
      </c>
      <c r="M155" s="217" t="s">
        <v>2342</v>
      </c>
      <c r="N155" s="189">
        <v>1.2</v>
      </c>
      <c r="O155" s="189">
        <v>2</v>
      </c>
      <c r="P155" s="189" t="s">
        <v>2178</v>
      </c>
      <c r="Q155" s="189" t="s">
        <v>2348</v>
      </c>
      <c r="R155" s="189">
        <v>270</v>
      </c>
      <c r="S155" s="189">
        <v>0</v>
      </c>
      <c r="T155" s="189">
        <v>0</v>
      </c>
      <c r="U155" s="189">
        <v>0</v>
      </c>
      <c r="V155" s="189">
        <v>0</v>
      </c>
      <c r="W155" s="189" t="s">
        <v>2602</v>
      </c>
      <c r="X155" s="189">
        <v>0</v>
      </c>
      <c r="Y155" s="189">
        <v>0</v>
      </c>
      <c r="Z155" s="189">
        <v>0</v>
      </c>
      <c r="AA155" s="189">
        <v>1</v>
      </c>
      <c r="AB155" s="189" t="s">
        <v>2353</v>
      </c>
      <c r="AC155" s="189" t="s">
        <v>2353</v>
      </c>
      <c r="AD155" s="189" t="s">
        <v>2353</v>
      </c>
      <c r="AE155" s="189" t="s">
        <v>2353</v>
      </c>
      <c r="AF155" s="189">
        <v>1</v>
      </c>
      <c r="AG155" s="189">
        <v>2022</v>
      </c>
      <c r="AH155" s="189">
        <v>0</v>
      </c>
      <c r="AI155" s="189">
        <v>0</v>
      </c>
      <c r="AJ155" s="189">
        <v>0</v>
      </c>
      <c r="AK155" s="189">
        <v>0</v>
      </c>
      <c r="AL155" s="189">
        <v>0</v>
      </c>
      <c r="AM155" s="189">
        <v>0</v>
      </c>
      <c r="AN155" s="189">
        <v>1</v>
      </c>
    </row>
    <row r="156" spans="1:42" s="193" customFormat="1">
      <c r="A156" s="192" t="s">
        <v>645</v>
      </c>
      <c r="B156" s="192">
        <v>4998631</v>
      </c>
      <c r="C156" s="192" t="s">
        <v>646</v>
      </c>
      <c r="M156" s="218"/>
      <c r="AG156" s="219"/>
    </row>
    <row r="157" spans="1:42" s="189" customFormat="1">
      <c r="A157" s="185" t="s">
        <v>649</v>
      </c>
      <c r="B157" s="185">
        <v>22106106</v>
      </c>
      <c r="C157" s="185" t="s">
        <v>650</v>
      </c>
      <c r="D157" s="201">
        <v>45050</v>
      </c>
      <c r="E157" s="189">
        <v>2</v>
      </c>
      <c r="F157" s="189">
        <v>86.2</v>
      </c>
      <c r="G157" s="189">
        <v>11.4</v>
      </c>
      <c r="H157" s="281">
        <f>G157/(F157/100)^2</f>
        <v>15.342294668956349</v>
      </c>
      <c r="J157" s="95">
        <v>44174</v>
      </c>
      <c r="K157" s="95">
        <v>44245</v>
      </c>
      <c r="L157" s="99" t="s">
        <v>289</v>
      </c>
      <c r="M157" s="217" t="s">
        <v>2342</v>
      </c>
      <c r="N157" s="189">
        <v>1</v>
      </c>
      <c r="O157" s="189">
        <v>2</v>
      </c>
      <c r="P157" s="189" t="s">
        <v>2473</v>
      </c>
      <c r="Q157" s="189" t="s">
        <v>2465</v>
      </c>
      <c r="R157" s="189">
        <v>160</v>
      </c>
      <c r="S157" s="189">
        <v>0</v>
      </c>
      <c r="AA157" s="189">
        <v>1</v>
      </c>
      <c r="AB157" s="189" t="s">
        <v>2466</v>
      </c>
      <c r="AD157" s="189" t="s">
        <v>2467</v>
      </c>
      <c r="AE157" s="189" t="s">
        <v>2468</v>
      </c>
      <c r="AF157" s="189">
        <v>1</v>
      </c>
      <c r="AG157" s="201">
        <v>44743</v>
      </c>
      <c r="AH157" s="189">
        <v>0</v>
      </c>
      <c r="AI157" s="189">
        <v>0</v>
      </c>
      <c r="AN157" s="189">
        <v>1</v>
      </c>
      <c r="AO157" s="201">
        <v>44872</v>
      </c>
    </row>
    <row r="158" spans="1:42" s="189" customFormat="1">
      <c r="A158" s="185" t="s">
        <v>652</v>
      </c>
      <c r="B158" s="185">
        <v>22106107</v>
      </c>
      <c r="C158" s="185" t="s">
        <v>653</v>
      </c>
      <c r="D158" s="201">
        <v>45057</v>
      </c>
      <c r="E158" s="189">
        <v>1</v>
      </c>
      <c r="F158" s="189">
        <v>86.2</v>
      </c>
      <c r="G158" s="189">
        <v>11.4</v>
      </c>
      <c r="H158" s="281">
        <f>G158/(F158/100)^2</f>
        <v>15.342294668956349</v>
      </c>
      <c r="J158" s="95">
        <v>44174</v>
      </c>
      <c r="K158" s="95">
        <v>44245</v>
      </c>
      <c r="L158" s="99" t="s">
        <v>289</v>
      </c>
      <c r="M158" s="217" t="s">
        <v>2342</v>
      </c>
      <c r="N158" s="189">
        <v>1</v>
      </c>
      <c r="O158" s="189">
        <v>2</v>
      </c>
      <c r="P158" s="189" t="s">
        <v>2473</v>
      </c>
      <c r="Q158" s="189" t="s">
        <v>2465</v>
      </c>
      <c r="R158" s="189">
        <v>160</v>
      </c>
      <c r="S158" s="189">
        <v>0</v>
      </c>
      <c r="AG158" s="201">
        <v>44743</v>
      </c>
      <c r="AH158" s="189">
        <v>0</v>
      </c>
      <c r="AI158" s="189">
        <v>0</v>
      </c>
      <c r="AO158" s="201">
        <v>44579</v>
      </c>
    </row>
    <row r="159" spans="1:42" s="110" customFormat="1">
      <c r="A159" s="107" t="s">
        <v>655</v>
      </c>
      <c r="B159" s="107">
        <v>22107905</v>
      </c>
      <c r="C159" s="107" t="s">
        <v>656</v>
      </c>
      <c r="D159" s="213">
        <v>45181</v>
      </c>
      <c r="E159" s="110">
        <v>1</v>
      </c>
      <c r="F159" s="110">
        <v>94.5</v>
      </c>
      <c r="G159" s="110">
        <v>13.1</v>
      </c>
      <c r="H159" s="214">
        <f>G159/(F159/100)^2</f>
        <v>14.669242182469697</v>
      </c>
      <c r="I159" s="110">
        <v>48.1</v>
      </c>
      <c r="J159" s="40">
        <v>44349</v>
      </c>
      <c r="K159" s="40">
        <v>44360</v>
      </c>
      <c r="L159" s="40" t="s">
        <v>658</v>
      </c>
      <c r="M159" s="17">
        <v>0</v>
      </c>
      <c r="N159" s="110">
        <v>1</v>
      </c>
      <c r="O159" s="110">
        <v>2</v>
      </c>
      <c r="P159" s="110" t="s">
        <v>2544</v>
      </c>
      <c r="Q159" s="110">
        <v>5</v>
      </c>
      <c r="S159" s="110">
        <v>2</v>
      </c>
      <c r="T159" s="110">
        <v>0</v>
      </c>
      <c r="U159" s="110">
        <v>0</v>
      </c>
      <c r="V159" s="110">
        <v>0</v>
      </c>
      <c r="W159" s="110">
        <v>0</v>
      </c>
      <c r="X159" s="110">
        <v>0</v>
      </c>
      <c r="Y159" s="110">
        <v>0</v>
      </c>
      <c r="Z159" s="110">
        <v>0</v>
      </c>
      <c r="AA159" s="110">
        <v>0</v>
      </c>
      <c r="AB159" s="110">
        <v>0</v>
      </c>
      <c r="AC159" s="110">
        <v>0</v>
      </c>
      <c r="AD159" s="110">
        <v>0</v>
      </c>
      <c r="AE159" s="110">
        <v>0</v>
      </c>
      <c r="AF159" s="110">
        <v>0</v>
      </c>
      <c r="AG159" s="213">
        <v>0</v>
      </c>
      <c r="AH159" s="110">
        <v>0</v>
      </c>
      <c r="AI159" s="110">
        <v>2</v>
      </c>
      <c r="AJ159" s="213">
        <v>44841</v>
      </c>
      <c r="AK159" s="110">
        <v>2</v>
      </c>
      <c r="AL159" s="213">
        <v>44876</v>
      </c>
      <c r="AM159" s="110">
        <v>0</v>
      </c>
    </row>
    <row r="160" spans="1:42" s="189" customFormat="1">
      <c r="A160" s="185" t="s">
        <v>660</v>
      </c>
      <c r="B160" s="185">
        <v>22105736</v>
      </c>
      <c r="C160" s="185" t="s">
        <v>846</v>
      </c>
      <c r="D160" s="228">
        <v>44992</v>
      </c>
      <c r="E160" s="189">
        <v>1</v>
      </c>
      <c r="F160" s="185">
        <v>81.900000000000006</v>
      </c>
      <c r="G160" s="185">
        <v>11.2</v>
      </c>
      <c r="H160" s="281">
        <f>G160/(F160/100)^2</f>
        <v>16.697452594888489</v>
      </c>
      <c r="I160" s="185">
        <v>48</v>
      </c>
      <c r="J160" s="95">
        <v>44138</v>
      </c>
      <c r="K160" s="95">
        <v>44229</v>
      </c>
      <c r="L160" s="99">
        <v>27</v>
      </c>
      <c r="M160" s="217" t="s">
        <v>2342</v>
      </c>
      <c r="N160" s="189">
        <v>1.2</v>
      </c>
      <c r="O160" s="189">
        <v>2</v>
      </c>
      <c r="P160" s="189" t="s">
        <v>2432</v>
      </c>
      <c r="Q160" s="189">
        <v>1.5</v>
      </c>
      <c r="R160" s="189">
        <v>300</v>
      </c>
      <c r="S160" s="189" t="s">
        <v>2433</v>
      </c>
      <c r="Y160" s="189" t="s">
        <v>2434</v>
      </c>
      <c r="Z160" s="189" t="s">
        <v>2435</v>
      </c>
      <c r="AA160" s="189">
        <v>0</v>
      </c>
      <c r="AF160" s="189">
        <v>1</v>
      </c>
      <c r="AG160" s="201">
        <v>44840</v>
      </c>
      <c r="AH160" s="189">
        <v>0</v>
      </c>
      <c r="AI160" s="189">
        <v>1</v>
      </c>
      <c r="AJ160" s="201">
        <v>44936</v>
      </c>
      <c r="AK160" s="189">
        <v>0</v>
      </c>
      <c r="AN160" s="189">
        <v>1</v>
      </c>
      <c r="AO160" s="201">
        <v>44853</v>
      </c>
    </row>
    <row r="161" spans="1:42" s="189" customFormat="1">
      <c r="A161" s="185" t="s">
        <v>664</v>
      </c>
      <c r="B161" s="185">
        <v>22105737</v>
      </c>
      <c r="C161" s="185" t="s">
        <v>665</v>
      </c>
      <c r="D161" s="228">
        <v>44992</v>
      </c>
      <c r="E161" s="189">
        <v>2</v>
      </c>
      <c r="F161" s="185">
        <v>77.8</v>
      </c>
      <c r="G161" s="185">
        <v>9.4</v>
      </c>
      <c r="H161" s="281">
        <f>G161/(F161/100)^2</f>
        <v>15.529900013877782</v>
      </c>
      <c r="I161" s="185">
        <v>45</v>
      </c>
      <c r="J161" s="95">
        <v>44138</v>
      </c>
      <c r="K161" s="95">
        <v>44229</v>
      </c>
      <c r="L161" s="99">
        <v>27</v>
      </c>
      <c r="M161" s="217" t="s">
        <v>2342</v>
      </c>
      <c r="N161" s="189">
        <v>1.2</v>
      </c>
      <c r="O161" s="189">
        <v>2</v>
      </c>
      <c r="P161" s="189" t="s">
        <v>2432</v>
      </c>
      <c r="Q161" s="189">
        <v>1.5</v>
      </c>
      <c r="R161" s="189">
        <v>210</v>
      </c>
      <c r="S161" s="189" t="s">
        <v>2433</v>
      </c>
      <c r="Y161" s="189" t="s">
        <v>2434</v>
      </c>
      <c r="Z161" s="189" t="s">
        <v>2435</v>
      </c>
      <c r="AA161" s="189">
        <v>0</v>
      </c>
      <c r="AF161" s="189">
        <v>1</v>
      </c>
      <c r="AG161" s="201">
        <v>44838</v>
      </c>
      <c r="AH161" s="189">
        <v>0</v>
      </c>
      <c r="AI161" s="189">
        <v>1</v>
      </c>
      <c r="AJ161" s="201">
        <v>44936</v>
      </c>
      <c r="AK161" s="189">
        <v>0</v>
      </c>
      <c r="AN161" s="189">
        <v>1</v>
      </c>
      <c r="AO161" s="201">
        <v>44853</v>
      </c>
    </row>
    <row r="162" spans="1:42" s="193" customFormat="1">
      <c r="A162" s="194" t="s">
        <v>667</v>
      </c>
      <c r="B162" s="194">
        <v>22107737</v>
      </c>
      <c r="C162" s="194" t="s">
        <v>668</v>
      </c>
      <c r="M162" s="218"/>
      <c r="AG162" s="219"/>
    </row>
    <row r="163" spans="1:42" s="110" customFormat="1">
      <c r="A163" s="107" t="s">
        <v>670</v>
      </c>
      <c r="B163" s="107">
        <v>22107854</v>
      </c>
      <c r="C163" s="107" t="s">
        <v>671</v>
      </c>
      <c r="D163" s="213">
        <v>45166</v>
      </c>
      <c r="E163" s="110">
        <v>2</v>
      </c>
      <c r="F163" s="110">
        <v>86.2</v>
      </c>
      <c r="G163" s="110">
        <v>13</v>
      </c>
      <c r="H163" s="214">
        <f>G163/(F163/100)^2</f>
        <v>17.495599183897589</v>
      </c>
      <c r="I163" s="110">
        <v>48.3</v>
      </c>
      <c r="J163" s="40">
        <v>44343</v>
      </c>
      <c r="K163" s="40">
        <v>44352</v>
      </c>
      <c r="L163" s="261" t="s">
        <v>155</v>
      </c>
      <c r="M163" s="215" t="s">
        <v>2342</v>
      </c>
      <c r="N163" s="110">
        <v>1</v>
      </c>
      <c r="O163" s="110">
        <v>2</v>
      </c>
      <c r="P163" s="110" t="s">
        <v>2533</v>
      </c>
      <c r="Q163" s="110">
        <v>1.5</v>
      </c>
      <c r="R163" s="110">
        <v>240</v>
      </c>
      <c r="S163" s="110" t="s">
        <v>2534</v>
      </c>
      <c r="T163" s="110">
        <v>0</v>
      </c>
      <c r="U163" s="110">
        <v>0</v>
      </c>
      <c r="V163" s="110">
        <v>0</v>
      </c>
      <c r="W163" s="110" t="s">
        <v>2535</v>
      </c>
      <c r="X163" s="110" t="s">
        <v>2536</v>
      </c>
      <c r="AA163" s="110">
        <v>0</v>
      </c>
      <c r="AF163" s="110">
        <v>1</v>
      </c>
      <c r="AG163" s="213">
        <v>44739</v>
      </c>
      <c r="AH163" s="110">
        <v>0</v>
      </c>
      <c r="AI163" s="110">
        <v>1</v>
      </c>
      <c r="AJ163" s="213">
        <v>44935</v>
      </c>
      <c r="AM163" s="110">
        <v>0</v>
      </c>
      <c r="AN163" s="110">
        <v>1</v>
      </c>
    </row>
    <row r="164" spans="1:42" s="189" customFormat="1">
      <c r="A164" s="185" t="s">
        <v>673</v>
      </c>
      <c r="B164" s="186">
        <v>22101304</v>
      </c>
      <c r="C164" s="190" t="s">
        <v>1462</v>
      </c>
      <c r="M164" s="217"/>
      <c r="AG164" s="201"/>
    </row>
    <row r="165" spans="1:42" s="193" customFormat="1">
      <c r="A165" s="194" t="s">
        <v>677</v>
      </c>
      <c r="B165" s="194">
        <v>22109289</v>
      </c>
      <c r="C165" s="194" t="s">
        <v>678</v>
      </c>
      <c r="M165" s="218"/>
      <c r="AG165" s="219"/>
    </row>
    <row r="166" spans="1:42" s="193" customFormat="1">
      <c r="A166" s="194" t="s">
        <v>681</v>
      </c>
      <c r="B166" s="194">
        <v>22109290</v>
      </c>
      <c r="C166" s="194" t="s">
        <v>682</v>
      </c>
      <c r="M166" s="218"/>
      <c r="AG166" s="219"/>
    </row>
    <row r="167" spans="1:42" s="110" customFormat="1">
      <c r="A167" s="107" t="s">
        <v>683</v>
      </c>
      <c r="B167" s="107">
        <v>22108656</v>
      </c>
      <c r="C167" s="107" t="s">
        <v>684</v>
      </c>
      <c r="D167" s="213">
        <v>45261</v>
      </c>
      <c r="E167" s="110">
        <v>1</v>
      </c>
      <c r="F167" s="110">
        <v>86.8</v>
      </c>
      <c r="G167" s="110">
        <v>11.6</v>
      </c>
      <c r="I167" s="110">
        <v>46.5</v>
      </c>
      <c r="J167" s="213">
        <v>44428</v>
      </c>
      <c r="K167" s="213">
        <v>44434</v>
      </c>
      <c r="L167" s="110" t="s">
        <v>110</v>
      </c>
      <c r="M167" s="215" t="s">
        <v>2342</v>
      </c>
      <c r="N167" s="110">
        <v>1.2</v>
      </c>
      <c r="O167" s="110">
        <v>2</v>
      </c>
      <c r="P167" s="110" t="s">
        <v>2599</v>
      </c>
      <c r="Q167" s="110">
        <v>1.5</v>
      </c>
      <c r="R167" s="110">
        <v>210</v>
      </c>
      <c r="S167" s="110" t="s">
        <v>2407</v>
      </c>
      <c r="T167" s="110">
        <v>0</v>
      </c>
      <c r="U167" s="110">
        <v>0</v>
      </c>
      <c r="V167" s="110" t="s">
        <v>2600</v>
      </c>
      <c r="W167" s="110" t="s">
        <v>2352</v>
      </c>
      <c r="X167" s="110" t="s">
        <v>2601</v>
      </c>
      <c r="Y167" s="110">
        <v>0</v>
      </c>
      <c r="Z167" s="110">
        <v>0</v>
      </c>
      <c r="AA167" s="110">
        <v>0</v>
      </c>
      <c r="AB167" s="110">
        <v>0</v>
      </c>
      <c r="AC167" s="110">
        <v>0</v>
      </c>
      <c r="AD167" s="110">
        <v>0</v>
      </c>
      <c r="AE167" s="110">
        <v>0</v>
      </c>
      <c r="AF167" s="110">
        <v>1</v>
      </c>
      <c r="AG167" s="213">
        <v>44714</v>
      </c>
      <c r="AH167" s="110">
        <v>0</v>
      </c>
      <c r="AI167" s="110">
        <v>2</v>
      </c>
      <c r="AJ167" s="213">
        <v>44824</v>
      </c>
      <c r="AK167" s="110">
        <v>2</v>
      </c>
      <c r="AL167" s="213">
        <v>44963</v>
      </c>
      <c r="AM167" s="110">
        <v>0</v>
      </c>
      <c r="AN167" s="110">
        <v>1</v>
      </c>
      <c r="AO167" s="213">
        <v>44882</v>
      </c>
      <c r="AP167" s="110">
        <v>0</v>
      </c>
    </row>
    <row r="168" spans="1:42" s="110" customFormat="1">
      <c r="A168" s="107" t="s">
        <v>686</v>
      </c>
      <c r="B168" s="107">
        <v>22105237</v>
      </c>
      <c r="C168" s="107" t="s">
        <v>687</v>
      </c>
      <c r="D168" s="213">
        <v>44957</v>
      </c>
      <c r="E168" s="110">
        <v>1</v>
      </c>
      <c r="F168" s="110">
        <v>85.2</v>
      </c>
      <c r="G168" s="110">
        <v>10.9</v>
      </c>
      <c r="H168" s="214">
        <f>G168/(F168/100)^2</f>
        <v>15.015759659679517</v>
      </c>
      <c r="I168" s="110">
        <v>47</v>
      </c>
      <c r="J168" s="75">
        <v>44086</v>
      </c>
      <c r="K168" s="75">
        <v>44184</v>
      </c>
      <c r="L168" s="93">
        <v>26</v>
      </c>
      <c r="M168" s="215" t="s">
        <v>2342</v>
      </c>
      <c r="N168" s="110">
        <v>1</v>
      </c>
      <c r="O168" s="110">
        <v>0</v>
      </c>
      <c r="P168" s="110">
        <v>0</v>
      </c>
      <c r="Q168" s="110">
        <v>0</v>
      </c>
      <c r="R168" s="110">
        <v>0</v>
      </c>
      <c r="S168" s="110">
        <v>0</v>
      </c>
      <c r="T168" s="110">
        <v>0</v>
      </c>
      <c r="U168" s="110">
        <v>0</v>
      </c>
      <c r="V168" s="110">
        <v>0</v>
      </c>
      <c r="W168" s="110">
        <v>0</v>
      </c>
      <c r="X168" s="110" t="s">
        <v>2352</v>
      </c>
      <c r="Y168" s="110" t="s">
        <v>2410</v>
      </c>
      <c r="AA168" s="110">
        <v>1</v>
      </c>
      <c r="AB168" s="110">
        <v>0</v>
      </c>
      <c r="AC168" s="110">
        <v>0</v>
      </c>
      <c r="AD168" s="110">
        <v>0</v>
      </c>
      <c r="AE168" s="110">
        <v>0</v>
      </c>
      <c r="AF168" s="110">
        <v>0</v>
      </c>
      <c r="AG168" s="110">
        <v>0</v>
      </c>
      <c r="AH168" s="110">
        <v>0</v>
      </c>
      <c r="AI168" s="110">
        <v>1</v>
      </c>
      <c r="AK168" s="110">
        <v>1</v>
      </c>
      <c r="AM168" s="110">
        <v>0</v>
      </c>
      <c r="AN168" s="110">
        <v>1</v>
      </c>
      <c r="AP168" s="110">
        <v>0</v>
      </c>
    </row>
    <row r="169" spans="1:42" s="193" customFormat="1">
      <c r="A169" s="194" t="s">
        <v>690</v>
      </c>
      <c r="B169" s="194">
        <v>22108457</v>
      </c>
      <c r="C169" s="194" t="s">
        <v>691</v>
      </c>
      <c r="M169" s="218"/>
      <c r="AG169" s="219"/>
    </row>
    <row r="170" spans="1:42" s="110" customFormat="1">
      <c r="A170" s="107" t="s">
        <v>694</v>
      </c>
      <c r="B170" s="107">
        <v>22109237</v>
      </c>
      <c r="C170" s="107" t="s">
        <v>695</v>
      </c>
      <c r="D170" s="213">
        <v>45380</v>
      </c>
      <c r="E170" s="110">
        <v>1</v>
      </c>
      <c r="F170" s="110">
        <v>89</v>
      </c>
      <c r="G170" s="110">
        <v>13</v>
      </c>
      <c r="I170" s="110">
        <v>51.6</v>
      </c>
      <c r="J170" s="110" t="s">
        <v>2641</v>
      </c>
      <c r="K170" s="213">
        <v>44509</v>
      </c>
      <c r="L170" s="110" t="s">
        <v>697</v>
      </c>
      <c r="M170" s="215" t="s">
        <v>2342</v>
      </c>
      <c r="N170" s="110">
        <v>1</v>
      </c>
      <c r="O170" s="110">
        <v>2</v>
      </c>
      <c r="P170" s="110" t="s">
        <v>2642</v>
      </c>
      <c r="Q170" s="110">
        <v>1.5</v>
      </c>
      <c r="R170" s="110">
        <v>200</v>
      </c>
      <c r="S170" s="110">
        <v>0</v>
      </c>
      <c r="T170" s="110">
        <v>0</v>
      </c>
      <c r="U170" s="110">
        <v>0</v>
      </c>
      <c r="V170" s="110">
        <v>0</v>
      </c>
      <c r="W170" s="110">
        <v>0</v>
      </c>
      <c r="X170" s="110">
        <v>0</v>
      </c>
      <c r="Y170" s="110" t="s">
        <v>2643</v>
      </c>
      <c r="Z170" s="110" t="s">
        <v>2644</v>
      </c>
      <c r="AA170" s="110">
        <v>0</v>
      </c>
      <c r="AB170" s="110">
        <v>0</v>
      </c>
      <c r="AC170" s="110">
        <v>0</v>
      </c>
      <c r="AE170" s="110">
        <v>0</v>
      </c>
      <c r="AF170" s="110">
        <v>1</v>
      </c>
      <c r="AG170" s="213">
        <v>44752</v>
      </c>
      <c r="AH170" s="110">
        <v>0</v>
      </c>
      <c r="AI170" s="110">
        <v>0</v>
      </c>
      <c r="AJ170" s="110">
        <v>0</v>
      </c>
      <c r="AK170" s="110">
        <v>0</v>
      </c>
      <c r="AL170" s="110">
        <v>0</v>
      </c>
      <c r="AM170" s="110">
        <v>0</v>
      </c>
      <c r="AN170" s="110">
        <v>1</v>
      </c>
      <c r="AO170" s="213">
        <v>45270</v>
      </c>
      <c r="AP170" s="110">
        <v>0</v>
      </c>
    </row>
    <row r="171" spans="1:42" s="110" customFormat="1">
      <c r="A171" s="107" t="s">
        <v>699</v>
      </c>
      <c r="B171" s="107">
        <v>22108488</v>
      </c>
      <c r="C171" s="107" t="s">
        <v>700</v>
      </c>
      <c r="D171" s="213">
        <v>45237</v>
      </c>
      <c r="E171" s="110">
        <v>2</v>
      </c>
      <c r="F171" s="110">
        <v>79.599999999999994</v>
      </c>
      <c r="G171" s="110">
        <v>8.5</v>
      </c>
      <c r="I171" s="110">
        <v>44</v>
      </c>
      <c r="J171" s="40">
        <v>44408</v>
      </c>
      <c r="K171" s="40">
        <v>44493</v>
      </c>
      <c r="L171" s="110" t="s">
        <v>701</v>
      </c>
      <c r="M171" s="215" t="s">
        <v>2513</v>
      </c>
      <c r="N171" s="110">
        <v>2</v>
      </c>
      <c r="O171" s="110">
        <v>2</v>
      </c>
      <c r="P171" s="110" t="s">
        <v>2420</v>
      </c>
      <c r="Q171" s="110" t="s">
        <v>2348</v>
      </c>
      <c r="R171" s="110">
        <v>160</v>
      </c>
      <c r="S171" s="110">
        <v>0</v>
      </c>
      <c r="T171" s="110">
        <v>0</v>
      </c>
      <c r="U171" s="110">
        <v>0</v>
      </c>
      <c r="V171" s="110">
        <v>0</v>
      </c>
      <c r="W171" s="110">
        <v>0</v>
      </c>
      <c r="X171" s="110" t="s">
        <v>2584</v>
      </c>
      <c r="Y171" s="110">
        <v>0</v>
      </c>
      <c r="Z171" s="110">
        <v>0</v>
      </c>
      <c r="AA171" s="110">
        <v>1</v>
      </c>
      <c r="AB171" s="110">
        <v>0</v>
      </c>
      <c r="AC171" s="110">
        <v>0</v>
      </c>
      <c r="AD171" s="110" t="s">
        <v>2353</v>
      </c>
      <c r="AE171" s="110">
        <v>0</v>
      </c>
      <c r="AF171" s="110">
        <v>1</v>
      </c>
      <c r="AG171" s="213">
        <v>44818</v>
      </c>
      <c r="AH171" s="110">
        <v>0</v>
      </c>
      <c r="AI171" s="110">
        <v>0</v>
      </c>
      <c r="AJ171" s="110">
        <v>0</v>
      </c>
      <c r="AK171" s="110">
        <v>0</v>
      </c>
      <c r="AL171" s="110">
        <v>0</v>
      </c>
      <c r="AM171" s="110">
        <v>0</v>
      </c>
      <c r="AN171" s="110">
        <v>1</v>
      </c>
    </row>
    <row r="172" spans="1:42" s="189" customFormat="1">
      <c r="A172" s="185" t="s">
        <v>703</v>
      </c>
      <c r="B172" s="185">
        <v>22107816</v>
      </c>
      <c r="C172" s="185" t="s">
        <v>704</v>
      </c>
      <c r="D172" s="201">
        <v>45069</v>
      </c>
      <c r="E172" s="189">
        <v>2</v>
      </c>
      <c r="F172" s="189">
        <v>85</v>
      </c>
      <c r="G172" s="189">
        <v>11</v>
      </c>
      <c r="H172" s="281">
        <f>G172/(F172/100)^2</f>
        <v>15.224913494809691</v>
      </c>
      <c r="J172" s="95">
        <v>44338</v>
      </c>
      <c r="K172" s="95">
        <v>44338</v>
      </c>
      <c r="L172" s="270">
        <v>40</v>
      </c>
      <c r="M172" s="217" t="s">
        <v>2342</v>
      </c>
      <c r="N172" s="189">
        <v>1.2</v>
      </c>
      <c r="O172" s="189">
        <v>2</v>
      </c>
      <c r="Q172" s="189">
        <v>1.4</v>
      </c>
      <c r="R172" s="189">
        <v>180</v>
      </c>
      <c r="U172" s="189" t="s">
        <v>2478</v>
      </c>
      <c r="W172" s="189" t="s">
        <v>2479</v>
      </c>
      <c r="X172" s="189" t="s">
        <v>2480</v>
      </c>
      <c r="AA172" s="189">
        <v>1</v>
      </c>
      <c r="AD172" s="189" t="s">
        <v>2481</v>
      </c>
      <c r="AF172" s="189">
        <v>1</v>
      </c>
      <c r="AG172" s="201">
        <v>45003</v>
      </c>
      <c r="AH172" s="189">
        <v>0</v>
      </c>
      <c r="AI172" s="189">
        <v>0</v>
      </c>
      <c r="AN172" s="189">
        <v>1</v>
      </c>
      <c r="AO172" s="201">
        <v>44891</v>
      </c>
      <c r="AP172" s="189">
        <v>0</v>
      </c>
    </row>
    <row r="173" spans="1:42" s="193" customFormat="1">
      <c r="A173" s="194" t="s">
        <v>707</v>
      </c>
      <c r="B173" s="194">
        <v>22109442</v>
      </c>
      <c r="C173" s="194" t="s">
        <v>708</v>
      </c>
      <c r="M173" s="218"/>
      <c r="AG173" s="219"/>
    </row>
    <row r="174" spans="1:42" s="189" customFormat="1">
      <c r="A174" s="185" t="s">
        <v>711</v>
      </c>
      <c r="B174" s="185">
        <v>22109297</v>
      </c>
      <c r="C174" s="185" t="s">
        <v>712</v>
      </c>
      <c r="D174" s="201">
        <v>45224</v>
      </c>
      <c r="E174" s="189">
        <v>1</v>
      </c>
      <c r="F174" s="189">
        <v>86.8</v>
      </c>
      <c r="G174" s="189">
        <v>11.3</v>
      </c>
      <c r="I174" s="189">
        <v>47.5</v>
      </c>
      <c r="J174" s="201">
        <v>44501</v>
      </c>
      <c r="K174" s="201">
        <v>44512</v>
      </c>
      <c r="L174" s="189" t="s">
        <v>658</v>
      </c>
      <c r="M174" s="217" t="s">
        <v>2342</v>
      </c>
      <c r="N174" s="189" t="s">
        <v>2407</v>
      </c>
      <c r="O174" s="189">
        <v>2</v>
      </c>
      <c r="P174" s="189" t="s">
        <v>2570</v>
      </c>
      <c r="Q174" s="189">
        <v>1.5</v>
      </c>
      <c r="R174" s="189">
        <v>240</v>
      </c>
      <c r="S174" s="189" t="s">
        <v>2571</v>
      </c>
      <c r="T174" s="189">
        <v>0</v>
      </c>
      <c r="U174" s="189">
        <v>0</v>
      </c>
      <c r="V174" s="189">
        <v>0</v>
      </c>
      <c r="W174" s="189">
        <v>0</v>
      </c>
      <c r="X174" s="189">
        <v>0</v>
      </c>
      <c r="Y174" s="189">
        <v>0</v>
      </c>
      <c r="Z174" s="189">
        <v>0</v>
      </c>
      <c r="AA174" s="189">
        <v>0</v>
      </c>
      <c r="AB174" s="189">
        <v>0</v>
      </c>
      <c r="AC174" s="189">
        <v>0</v>
      </c>
      <c r="AD174" s="189">
        <v>0</v>
      </c>
      <c r="AE174" s="189">
        <v>0</v>
      </c>
      <c r="AF174" s="189">
        <v>1</v>
      </c>
      <c r="AG174" s="201">
        <v>45060</v>
      </c>
      <c r="AH174" s="189">
        <v>0</v>
      </c>
      <c r="AI174" s="189">
        <v>0</v>
      </c>
      <c r="AJ174" s="189">
        <v>0</v>
      </c>
      <c r="AK174" s="189">
        <v>0</v>
      </c>
      <c r="AL174" s="189">
        <v>0</v>
      </c>
      <c r="AM174" s="189">
        <v>0</v>
      </c>
      <c r="AN174" s="189">
        <v>1</v>
      </c>
      <c r="AO174" s="201">
        <v>45224</v>
      </c>
    </row>
    <row r="175" spans="1:42" s="189" customFormat="1">
      <c r="A175" s="185" t="s">
        <v>714</v>
      </c>
      <c r="B175" s="186">
        <v>22103382</v>
      </c>
      <c r="C175" s="190" t="s">
        <v>1510</v>
      </c>
      <c r="M175" s="217"/>
      <c r="AG175" s="201"/>
    </row>
    <row r="176" spans="1:42" s="189" customFormat="1">
      <c r="A176" s="185" t="s">
        <v>718</v>
      </c>
      <c r="B176" s="186">
        <v>22103953</v>
      </c>
      <c r="C176" s="190" t="s">
        <v>1512</v>
      </c>
      <c r="M176" s="217"/>
      <c r="AG176" s="201"/>
    </row>
    <row r="177" spans="1:42" s="189" customFormat="1">
      <c r="A177" s="185" t="s">
        <v>722</v>
      </c>
      <c r="B177" s="185">
        <v>22109329</v>
      </c>
      <c r="C177" s="185" t="s">
        <v>723</v>
      </c>
      <c r="D177" s="201">
        <v>45342</v>
      </c>
      <c r="E177" s="189">
        <v>2</v>
      </c>
      <c r="F177" s="189">
        <v>87.5</v>
      </c>
      <c r="G177" s="189">
        <v>13.1</v>
      </c>
      <c r="I177" s="189">
        <v>48.5</v>
      </c>
      <c r="J177" s="201">
        <v>44505</v>
      </c>
      <c r="K177" s="201">
        <v>44516</v>
      </c>
      <c r="L177" s="189" t="s">
        <v>155</v>
      </c>
      <c r="M177" s="217" t="s">
        <v>2342</v>
      </c>
      <c r="N177" s="189">
        <v>1.2</v>
      </c>
      <c r="O177" s="189">
        <v>2</v>
      </c>
      <c r="P177" s="189" t="s">
        <v>2628</v>
      </c>
      <c r="Q177" s="189">
        <v>1.5</v>
      </c>
      <c r="R177" s="189">
        <v>210</v>
      </c>
      <c r="S177" s="189" t="s">
        <v>2631</v>
      </c>
      <c r="T177" s="189">
        <v>0</v>
      </c>
      <c r="U177" s="189" t="s">
        <v>2629</v>
      </c>
      <c r="W177" s="189">
        <v>0</v>
      </c>
      <c r="X177" s="189" t="s">
        <v>2601</v>
      </c>
      <c r="Y177" s="189" t="s">
        <v>2630</v>
      </c>
      <c r="Z177" s="189">
        <v>0</v>
      </c>
      <c r="AA177" s="189">
        <v>0</v>
      </c>
      <c r="AB177" s="189">
        <v>0</v>
      </c>
      <c r="AC177" s="189">
        <v>0</v>
      </c>
      <c r="AD177" s="189">
        <v>0</v>
      </c>
      <c r="AE177" s="189">
        <v>0</v>
      </c>
      <c r="AF177" s="189">
        <v>1</v>
      </c>
      <c r="AG177" s="201">
        <v>44936</v>
      </c>
      <c r="AH177" s="189">
        <v>0</v>
      </c>
      <c r="AI177" s="189">
        <v>2</v>
      </c>
      <c r="AJ177" s="201">
        <v>44811</v>
      </c>
      <c r="AK177" s="189">
        <v>2</v>
      </c>
      <c r="AL177" s="201">
        <v>44867</v>
      </c>
      <c r="AM177" s="189">
        <v>0</v>
      </c>
      <c r="AN177" s="189">
        <v>1</v>
      </c>
      <c r="AO177" s="189" t="s">
        <v>2632</v>
      </c>
      <c r="AP177" s="189">
        <v>0</v>
      </c>
    </row>
    <row r="178" spans="1:42" s="189" customFormat="1">
      <c r="A178" s="185" t="s">
        <v>726</v>
      </c>
      <c r="B178" s="185">
        <v>22108528</v>
      </c>
      <c r="C178" s="185" t="s">
        <v>727</v>
      </c>
      <c r="D178" s="201">
        <v>45252</v>
      </c>
      <c r="E178" s="189">
        <v>2</v>
      </c>
      <c r="F178" s="189">
        <v>87</v>
      </c>
      <c r="G178" s="189">
        <v>12</v>
      </c>
      <c r="I178" s="189">
        <v>47.8</v>
      </c>
      <c r="J178" s="201">
        <v>44413</v>
      </c>
      <c r="K178" s="201">
        <v>44419</v>
      </c>
      <c r="L178" s="189" t="s">
        <v>110</v>
      </c>
      <c r="M178" s="217" t="s">
        <v>2342</v>
      </c>
      <c r="N178" s="189">
        <v>1.2</v>
      </c>
      <c r="O178" s="189">
        <v>2</v>
      </c>
      <c r="P178" s="189" t="s">
        <v>1921</v>
      </c>
      <c r="Q178" s="189">
        <v>1.5</v>
      </c>
      <c r="R178" s="189">
        <v>240</v>
      </c>
      <c r="S178" s="189">
        <v>0</v>
      </c>
      <c r="T178" s="189">
        <v>0</v>
      </c>
      <c r="U178" s="189">
        <v>0</v>
      </c>
      <c r="V178" s="189">
        <v>0</v>
      </c>
      <c r="W178" s="189">
        <v>0</v>
      </c>
      <c r="X178" s="189">
        <v>0</v>
      </c>
      <c r="Y178" s="189">
        <v>0</v>
      </c>
      <c r="Z178" s="189">
        <v>0</v>
      </c>
      <c r="AA178" s="189">
        <v>1</v>
      </c>
      <c r="AE178" s="189" t="s">
        <v>2270</v>
      </c>
      <c r="AF178" s="189">
        <v>1</v>
      </c>
      <c r="AG178" s="201">
        <v>45239</v>
      </c>
      <c r="AH178" s="189">
        <v>0</v>
      </c>
      <c r="AI178" s="189">
        <v>0</v>
      </c>
      <c r="AJ178" s="189">
        <v>0</v>
      </c>
      <c r="AK178" s="189">
        <v>0</v>
      </c>
      <c r="AL178" s="189">
        <v>0</v>
      </c>
      <c r="AM178" s="189">
        <v>0</v>
      </c>
      <c r="AN178" s="189">
        <v>1</v>
      </c>
      <c r="AP178" s="189">
        <v>0</v>
      </c>
    </row>
    <row r="179" spans="1:42" s="193" customFormat="1">
      <c r="A179" s="194" t="s">
        <v>729</v>
      </c>
      <c r="B179" s="194">
        <v>22108317</v>
      </c>
      <c r="C179" s="194" t="s">
        <v>730</v>
      </c>
      <c r="M179" s="218"/>
      <c r="AG179" s="219"/>
    </row>
    <row r="180" spans="1:42" s="193" customFormat="1">
      <c r="A180" s="194" t="s">
        <v>734</v>
      </c>
      <c r="B180" s="194">
        <v>22104263</v>
      </c>
      <c r="C180" s="222" t="s">
        <v>735</v>
      </c>
      <c r="M180" s="218"/>
      <c r="AG180" s="219"/>
    </row>
    <row r="181" spans="1:42" s="189" customFormat="1">
      <c r="A181" s="185" t="s">
        <v>737</v>
      </c>
      <c r="B181" s="185">
        <v>22109759</v>
      </c>
      <c r="C181" s="230" t="s">
        <v>738</v>
      </c>
      <c r="D181" s="201">
        <v>45416</v>
      </c>
      <c r="E181" s="189">
        <v>1</v>
      </c>
      <c r="F181" s="189">
        <v>89.5</v>
      </c>
      <c r="G181" s="189">
        <v>12.6</v>
      </c>
      <c r="I181" s="189">
        <v>51.5</v>
      </c>
      <c r="J181" s="201">
        <v>44552</v>
      </c>
      <c r="K181" s="201">
        <v>44572</v>
      </c>
      <c r="L181" s="189" t="s">
        <v>740</v>
      </c>
      <c r="M181" s="217" t="s">
        <v>2342</v>
      </c>
      <c r="N181" s="189">
        <v>1.4</v>
      </c>
      <c r="O181" s="189">
        <v>2</v>
      </c>
      <c r="P181" s="189" t="s">
        <v>2646</v>
      </c>
      <c r="Q181" s="189">
        <v>1.5</v>
      </c>
      <c r="R181" s="189">
        <v>200</v>
      </c>
      <c r="S181" s="189">
        <v>0</v>
      </c>
      <c r="T181" s="189">
        <v>0</v>
      </c>
      <c r="U181" s="189">
        <v>0</v>
      </c>
      <c r="V181" s="189">
        <v>0</v>
      </c>
      <c r="W181" s="189">
        <v>0</v>
      </c>
      <c r="X181" s="189">
        <v>0</v>
      </c>
      <c r="Y181" s="189">
        <v>0</v>
      </c>
      <c r="Z181" s="189">
        <v>0</v>
      </c>
      <c r="AA181" s="189">
        <v>0</v>
      </c>
      <c r="AB181" s="189">
        <v>0</v>
      </c>
      <c r="AC181" s="189">
        <v>0</v>
      </c>
      <c r="AD181" s="189">
        <v>0</v>
      </c>
      <c r="AE181" s="189">
        <v>0</v>
      </c>
      <c r="AF181" s="189">
        <v>0</v>
      </c>
      <c r="AG181" s="189">
        <v>0</v>
      </c>
      <c r="AH181" s="189">
        <v>0</v>
      </c>
      <c r="AI181" s="189">
        <v>0</v>
      </c>
      <c r="AJ181" s="189">
        <v>0</v>
      </c>
      <c r="AK181" s="189">
        <v>0</v>
      </c>
      <c r="AL181" s="189">
        <v>0</v>
      </c>
      <c r="AM181" s="189">
        <v>0</v>
      </c>
      <c r="AN181" s="189">
        <v>1</v>
      </c>
      <c r="AO181" s="201">
        <v>45225</v>
      </c>
    </row>
    <row r="182" spans="1:42" s="193" customFormat="1">
      <c r="A182" s="194" t="s">
        <v>742</v>
      </c>
      <c r="B182" s="194">
        <v>16903095</v>
      </c>
      <c r="C182" s="222" t="s">
        <v>743</v>
      </c>
      <c r="M182" s="218"/>
      <c r="AG182" s="219"/>
    </row>
    <row r="183" spans="1:42" s="193" customFormat="1">
      <c r="A183" s="194" t="s">
        <v>747</v>
      </c>
      <c r="B183" s="194">
        <v>22109538</v>
      </c>
      <c r="C183" s="222" t="s">
        <v>748</v>
      </c>
      <c r="M183" s="218"/>
      <c r="AG183" s="219"/>
    </row>
    <row r="184" spans="1:42" s="110" customFormat="1">
      <c r="A184" s="107" t="s">
        <v>752</v>
      </c>
      <c r="B184" s="107">
        <v>22109793</v>
      </c>
      <c r="C184" s="121" t="s">
        <v>753</v>
      </c>
      <c r="D184" s="213">
        <v>45275</v>
      </c>
      <c r="E184" s="110">
        <v>1</v>
      </c>
      <c r="F184" s="110">
        <v>90</v>
      </c>
      <c r="G184" s="110">
        <v>16</v>
      </c>
      <c r="J184" s="213">
        <v>44555</v>
      </c>
      <c r="K184" s="213">
        <v>44561</v>
      </c>
      <c r="L184" s="110" t="s">
        <v>110</v>
      </c>
      <c r="M184" s="215" t="s">
        <v>2342</v>
      </c>
      <c r="N184" s="110">
        <v>1</v>
      </c>
      <c r="O184" s="110">
        <v>1.2</v>
      </c>
      <c r="P184" s="110" t="s">
        <v>2572</v>
      </c>
      <c r="Q184" s="110">
        <v>1.5</v>
      </c>
      <c r="R184" s="110">
        <v>200</v>
      </c>
      <c r="S184" s="110">
        <v>0</v>
      </c>
      <c r="T184" s="110">
        <v>0</v>
      </c>
      <c r="U184" s="110">
        <v>0</v>
      </c>
      <c r="V184" s="110">
        <v>0</v>
      </c>
      <c r="W184" s="110">
        <v>0</v>
      </c>
      <c r="X184" s="110">
        <v>0</v>
      </c>
      <c r="Y184" s="110">
        <v>0</v>
      </c>
      <c r="Z184" s="110">
        <v>0</v>
      </c>
      <c r="AA184" s="110">
        <v>0</v>
      </c>
      <c r="AB184" s="110">
        <v>0</v>
      </c>
      <c r="AC184" s="110">
        <v>0</v>
      </c>
      <c r="AD184" s="110">
        <v>0</v>
      </c>
      <c r="AE184" s="110">
        <v>0</v>
      </c>
      <c r="AF184" s="110">
        <v>0</v>
      </c>
      <c r="AG184" s="213">
        <v>0</v>
      </c>
      <c r="AH184" s="110">
        <v>0</v>
      </c>
      <c r="AI184" s="110">
        <v>2</v>
      </c>
      <c r="AJ184" s="110">
        <v>0</v>
      </c>
      <c r="AK184" s="110">
        <v>0</v>
      </c>
      <c r="AL184" s="110">
        <v>0</v>
      </c>
      <c r="AM184" s="110">
        <v>0</v>
      </c>
      <c r="AN184" s="110">
        <v>1</v>
      </c>
      <c r="AO184" s="110">
        <v>0</v>
      </c>
      <c r="AP184" s="110">
        <v>0</v>
      </c>
    </row>
    <row r="185" spans="1:42" s="193" customFormat="1">
      <c r="A185" s="194" t="s">
        <v>756</v>
      </c>
      <c r="B185" s="194">
        <v>22109501</v>
      </c>
      <c r="C185" s="222" t="s">
        <v>757</v>
      </c>
      <c r="M185" s="218"/>
      <c r="AG185" s="219"/>
    </row>
    <row r="186" spans="1:42" s="193" customFormat="1">
      <c r="A186" s="194" t="s">
        <v>759</v>
      </c>
      <c r="B186" s="194">
        <v>22109705</v>
      </c>
      <c r="C186" s="222" t="s">
        <v>760</v>
      </c>
      <c r="M186" s="218"/>
      <c r="AG186" s="219"/>
    </row>
    <row r="187" spans="1:42" s="203" customFormat="1">
      <c r="A187" s="202" t="s">
        <v>762</v>
      </c>
      <c r="B187" s="202">
        <v>22109441</v>
      </c>
      <c r="C187" s="223" t="s">
        <v>763</v>
      </c>
      <c r="M187" s="224"/>
      <c r="AG187" s="225"/>
    </row>
    <row r="188" spans="1:42" s="189" customFormat="1">
      <c r="A188" s="185" t="s">
        <v>766</v>
      </c>
      <c r="B188" s="185">
        <v>22108398</v>
      </c>
      <c r="C188" s="230" t="s">
        <v>767</v>
      </c>
      <c r="D188" s="201">
        <v>45222</v>
      </c>
      <c r="E188" s="189">
        <v>2</v>
      </c>
      <c r="F188" s="189">
        <v>88</v>
      </c>
      <c r="G188" s="189">
        <v>12.8</v>
      </c>
      <c r="I188" s="189">
        <v>48</v>
      </c>
      <c r="J188" s="101">
        <v>44398</v>
      </c>
      <c r="K188" s="101">
        <v>44486</v>
      </c>
      <c r="L188" s="189" t="s">
        <v>461</v>
      </c>
      <c r="M188" s="217" t="s">
        <v>2342</v>
      </c>
      <c r="N188" s="189">
        <v>1</v>
      </c>
      <c r="O188" s="189">
        <v>2</v>
      </c>
      <c r="P188" s="189" t="s">
        <v>2563</v>
      </c>
      <c r="Q188" s="189">
        <v>1.5</v>
      </c>
      <c r="R188" s="189">
        <v>90</v>
      </c>
      <c r="S188" s="189">
        <v>3</v>
      </c>
      <c r="T188" s="189">
        <v>0</v>
      </c>
      <c r="U188" s="189">
        <v>0</v>
      </c>
      <c r="V188" s="189">
        <v>0</v>
      </c>
      <c r="W188" s="189" t="s">
        <v>2564</v>
      </c>
      <c r="X188" s="189">
        <v>0</v>
      </c>
      <c r="Y188" s="189">
        <v>0</v>
      </c>
      <c r="Z188" s="189">
        <v>0</v>
      </c>
      <c r="AA188" s="189">
        <v>0</v>
      </c>
      <c r="AB188" s="189">
        <v>0</v>
      </c>
      <c r="AC188" s="189">
        <v>0</v>
      </c>
      <c r="AD188" s="189">
        <v>0</v>
      </c>
      <c r="AE188" s="189">
        <v>0</v>
      </c>
      <c r="AF188" s="189">
        <v>1</v>
      </c>
      <c r="AG188" s="201">
        <v>45273</v>
      </c>
      <c r="AH188" s="189">
        <v>0</v>
      </c>
      <c r="AI188" s="189">
        <v>0</v>
      </c>
      <c r="AJ188" s="189">
        <v>0</v>
      </c>
      <c r="AK188" s="189">
        <v>0</v>
      </c>
      <c r="AL188" s="189">
        <v>0</v>
      </c>
      <c r="AM188" s="189">
        <v>0</v>
      </c>
      <c r="AN188" s="189">
        <v>1</v>
      </c>
      <c r="AO188" s="201">
        <v>44859</v>
      </c>
      <c r="AP188" s="189">
        <v>0</v>
      </c>
    </row>
    <row r="189" spans="1:42" s="110" customFormat="1">
      <c r="A189" s="107" t="s">
        <v>770</v>
      </c>
      <c r="B189" s="107">
        <v>22109053</v>
      </c>
      <c r="C189" s="121" t="s">
        <v>771</v>
      </c>
      <c r="D189" s="213">
        <v>45309</v>
      </c>
      <c r="E189" s="110">
        <v>2</v>
      </c>
      <c r="F189" s="110">
        <v>79.8</v>
      </c>
      <c r="G189" s="110">
        <v>9.9</v>
      </c>
      <c r="J189" s="213">
        <v>44476</v>
      </c>
      <c r="K189" s="213">
        <v>44568</v>
      </c>
      <c r="L189" s="110" t="s">
        <v>165</v>
      </c>
      <c r="M189" s="215" t="s">
        <v>2342</v>
      </c>
      <c r="N189" s="110">
        <v>1</v>
      </c>
      <c r="O189" s="110">
        <v>2</v>
      </c>
      <c r="P189" s="110" t="s">
        <v>2623</v>
      </c>
      <c r="Q189" s="110">
        <v>1</v>
      </c>
      <c r="R189" s="110" t="s">
        <v>2405</v>
      </c>
      <c r="S189" s="110">
        <v>0</v>
      </c>
      <c r="T189" s="110" t="s">
        <v>2624</v>
      </c>
      <c r="U189" s="110">
        <v>0</v>
      </c>
      <c r="V189" s="110">
        <v>0</v>
      </c>
      <c r="W189" s="110" t="s">
        <v>2352</v>
      </c>
      <c r="X189" s="110" t="s">
        <v>2352</v>
      </c>
      <c r="Y189" s="110">
        <v>0</v>
      </c>
      <c r="Z189" s="110">
        <v>0</v>
      </c>
      <c r="AA189" s="110">
        <v>1</v>
      </c>
      <c r="AB189" s="110" t="s">
        <v>2353</v>
      </c>
      <c r="AC189" s="110" t="s">
        <v>2353</v>
      </c>
      <c r="AD189" s="110" t="s">
        <v>2353</v>
      </c>
      <c r="AE189" s="110" t="s">
        <v>2353</v>
      </c>
      <c r="AF189" s="110">
        <v>1</v>
      </c>
      <c r="AG189" s="213" t="s">
        <v>2543</v>
      </c>
      <c r="AH189" s="110">
        <v>0</v>
      </c>
      <c r="AI189" s="110">
        <v>0</v>
      </c>
      <c r="AJ189" s="110">
        <v>0</v>
      </c>
      <c r="AK189" s="110">
        <v>0</v>
      </c>
      <c r="AL189" s="110">
        <v>0</v>
      </c>
      <c r="AM189" s="110">
        <v>0</v>
      </c>
      <c r="AN189" s="110">
        <v>1</v>
      </c>
      <c r="AP189" s="110">
        <v>0</v>
      </c>
    </row>
    <row r="190" spans="1:42" s="189" customFormat="1">
      <c r="A190" s="185" t="s">
        <v>773</v>
      </c>
      <c r="B190" s="185">
        <v>22108554</v>
      </c>
      <c r="C190" s="230" t="s">
        <v>774</v>
      </c>
      <c r="D190" s="201">
        <v>45262</v>
      </c>
      <c r="E190" s="189">
        <v>1</v>
      </c>
      <c r="F190" s="189">
        <v>89.5</v>
      </c>
      <c r="G190" s="189">
        <v>12.6</v>
      </c>
      <c r="I190" s="189">
        <v>48.7</v>
      </c>
      <c r="J190" s="201">
        <v>44416</v>
      </c>
      <c r="K190" s="201">
        <v>44426</v>
      </c>
      <c r="L190" s="189" t="s">
        <v>391</v>
      </c>
      <c r="M190" s="217" t="s">
        <v>2342</v>
      </c>
      <c r="N190" s="189">
        <v>1</v>
      </c>
      <c r="O190" s="189">
        <v>2</v>
      </c>
      <c r="P190" s="189" t="s">
        <v>2556</v>
      </c>
      <c r="Q190" s="189">
        <v>1</v>
      </c>
      <c r="R190" s="189">
        <v>150</v>
      </c>
      <c r="S190" s="189">
        <v>0</v>
      </c>
      <c r="T190" s="189">
        <v>0</v>
      </c>
      <c r="U190" s="189">
        <v>0</v>
      </c>
      <c r="V190" s="189">
        <v>0</v>
      </c>
      <c r="W190" s="189">
        <v>0</v>
      </c>
      <c r="X190" s="189">
        <v>0</v>
      </c>
      <c r="Y190" s="189">
        <v>0</v>
      </c>
      <c r="Z190" s="189">
        <v>0</v>
      </c>
      <c r="AA190" s="189">
        <v>1</v>
      </c>
      <c r="AB190" s="189" t="s">
        <v>2353</v>
      </c>
      <c r="AC190" s="189" t="s">
        <v>2353</v>
      </c>
      <c r="AD190" s="189" t="s">
        <v>2353</v>
      </c>
      <c r="AE190" s="189" t="s">
        <v>2353</v>
      </c>
      <c r="AF190" s="189">
        <v>0</v>
      </c>
      <c r="AG190" s="189">
        <v>0</v>
      </c>
      <c r="AH190" s="189">
        <v>0</v>
      </c>
      <c r="AI190" s="189">
        <v>1</v>
      </c>
      <c r="AJ190" s="201">
        <v>44861</v>
      </c>
      <c r="AK190" s="189">
        <v>1</v>
      </c>
      <c r="AL190" s="201">
        <v>44932</v>
      </c>
      <c r="AM190" s="189">
        <v>0</v>
      </c>
      <c r="AN190" s="189">
        <v>1</v>
      </c>
      <c r="AO190" s="201">
        <v>45229</v>
      </c>
      <c r="AP190" s="189">
        <v>0</v>
      </c>
    </row>
    <row r="191" spans="1:42" s="189" customFormat="1">
      <c r="A191" s="185" t="s">
        <v>776</v>
      </c>
      <c r="B191" s="185">
        <v>22108696</v>
      </c>
      <c r="C191" s="230" t="s">
        <v>777</v>
      </c>
      <c r="D191" s="201">
        <v>45196</v>
      </c>
      <c r="E191" s="189">
        <v>2</v>
      </c>
      <c r="F191" s="189">
        <v>91</v>
      </c>
      <c r="G191" s="189">
        <v>13</v>
      </c>
      <c r="H191" s="281">
        <f>G191/(F191/100)^2</f>
        <v>15.698587127158554</v>
      </c>
      <c r="I191" s="189">
        <v>49</v>
      </c>
      <c r="J191" s="95">
        <v>44433</v>
      </c>
      <c r="K191" s="95">
        <v>44448</v>
      </c>
      <c r="L191" s="270" t="s">
        <v>750</v>
      </c>
      <c r="M191" s="217" t="s">
        <v>2342</v>
      </c>
      <c r="N191" s="189">
        <v>1.2</v>
      </c>
      <c r="O191" s="189">
        <v>2</v>
      </c>
      <c r="P191" s="189" t="s">
        <v>2548</v>
      </c>
      <c r="Q191" s="189">
        <v>1.5</v>
      </c>
      <c r="R191" s="189">
        <v>210</v>
      </c>
      <c r="S191" s="189">
        <v>0</v>
      </c>
      <c r="T191" s="189">
        <v>0</v>
      </c>
      <c r="U191" s="189">
        <v>0</v>
      </c>
      <c r="V191" s="189">
        <v>0</v>
      </c>
      <c r="W191" s="189">
        <v>0</v>
      </c>
      <c r="X191" s="189">
        <v>0</v>
      </c>
      <c r="Y191" s="189">
        <v>0</v>
      </c>
      <c r="Z191" s="189">
        <v>0</v>
      </c>
      <c r="AA191" s="189">
        <v>1</v>
      </c>
      <c r="AB191" s="189" t="s">
        <v>2549</v>
      </c>
      <c r="AC191" s="189">
        <v>0</v>
      </c>
      <c r="AD191" s="189">
        <v>0</v>
      </c>
      <c r="AE191" s="189" t="s">
        <v>2550</v>
      </c>
      <c r="AF191" s="189">
        <v>1</v>
      </c>
      <c r="AG191" s="201">
        <v>45103</v>
      </c>
      <c r="AH191" s="189" t="s">
        <v>2551</v>
      </c>
      <c r="AI191" s="189">
        <v>1</v>
      </c>
      <c r="AJ191" s="201">
        <v>44765</v>
      </c>
      <c r="AK191" s="189">
        <v>1</v>
      </c>
      <c r="AL191" s="201">
        <v>44824</v>
      </c>
      <c r="AM191" s="189">
        <v>0</v>
      </c>
      <c r="AN191" s="189">
        <v>1</v>
      </c>
      <c r="AO191" s="201">
        <v>44845</v>
      </c>
    </row>
    <row r="192" spans="1:42" s="193" customFormat="1">
      <c r="A192" s="194" t="s">
        <v>780</v>
      </c>
      <c r="B192" s="194">
        <v>22109754</v>
      </c>
      <c r="C192" s="222" t="s">
        <v>781</v>
      </c>
      <c r="M192" s="218"/>
      <c r="AG192" s="219"/>
    </row>
    <row r="193" spans="1:42" s="110" customFormat="1">
      <c r="A193" s="107" t="s">
        <v>784</v>
      </c>
      <c r="B193" s="107">
        <v>22109131</v>
      </c>
      <c r="C193" s="121" t="s">
        <v>785</v>
      </c>
      <c r="D193" s="213">
        <v>45232</v>
      </c>
      <c r="E193" s="110">
        <v>1</v>
      </c>
      <c r="F193" s="110">
        <v>84</v>
      </c>
      <c r="G193" s="110">
        <v>10</v>
      </c>
      <c r="J193" s="213">
        <v>44483</v>
      </c>
      <c r="K193" s="213">
        <v>44490</v>
      </c>
      <c r="L193" s="110">
        <v>39</v>
      </c>
      <c r="M193" s="215" t="s">
        <v>2342</v>
      </c>
      <c r="N193" s="110">
        <v>1</v>
      </c>
      <c r="O193" s="110">
        <v>1</v>
      </c>
      <c r="T193" s="110">
        <v>0</v>
      </c>
      <c r="U193" s="110">
        <v>0</v>
      </c>
      <c r="V193" s="110" t="s">
        <v>2576</v>
      </c>
      <c r="W193" s="110" t="s">
        <v>2577</v>
      </c>
      <c r="X193" s="110" t="s">
        <v>2578</v>
      </c>
      <c r="Y193" s="110">
        <v>0</v>
      </c>
      <c r="Z193" s="110">
        <v>0</v>
      </c>
      <c r="AA193" s="110">
        <v>0</v>
      </c>
      <c r="AB193" s="110">
        <v>0</v>
      </c>
      <c r="AC193" s="110">
        <v>0</v>
      </c>
      <c r="AD193" s="110">
        <v>0</v>
      </c>
      <c r="AE193" s="110">
        <v>0</v>
      </c>
      <c r="AF193" s="110">
        <v>0</v>
      </c>
      <c r="AG193" s="110">
        <v>0</v>
      </c>
      <c r="AH193" s="110">
        <v>0</v>
      </c>
      <c r="AI193" s="110">
        <v>1</v>
      </c>
      <c r="AJ193" s="213">
        <v>44823</v>
      </c>
      <c r="AK193" s="110">
        <v>2</v>
      </c>
      <c r="AL193" s="213">
        <v>44873</v>
      </c>
      <c r="AM193" s="110">
        <v>0</v>
      </c>
      <c r="AN193" s="110">
        <v>1</v>
      </c>
    </row>
    <row r="194" spans="1:42" s="189" customFormat="1">
      <c r="A194" s="185" t="s">
        <v>788</v>
      </c>
      <c r="B194" s="185">
        <v>22108366</v>
      </c>
      <c r="C194" s="230" t="s">
        <v>789</v>
      </c>
      <c r="D194" s="201">
        <v>45202</v>
      </c>
      <c r="E194" s="189">
        <v>2</v>
      </c>
      <c r="F194" s="189">
        <v>84.5</v>
      </c>
      <c r="G194" s="189">
        <v>10.8</v>
      </c>
      <c r="H194" s="281">
        <f>G194/(F194/100)^2</f>
        <v>15.125520815097513</v>
      </c>
      <c r="I194" s="189">
        <v>48</v>
      </c>
      <c r="J194" s="201">
        <v>44397</v>
      </c>
      <c r="K194" s="201">
        <v>44463</v>
      </c>
      <c r="L194" s="270" t="s">
        <v>304</v>
      </c>
      <c r="M194" s="217" t="s">
        <v>2342</v>
      </c>
      <c r="N194" s="189">
        <v>1</v>
      </c>
      <c r="O194" s="189">
        <v>2</v>
      </c>
      <c r="P194" s="189" t="s">
        <v>2556</v>
      </c>
      <c r="Q194" s="189" t="s">
        <v>2439</v>
      </c>
      <c r="R194" s="189">
        <v>250</v>
      </c>
      <c r="S194" s="189">
        <v>0</v>
      </c>
      <c r="T194" s="189">
        <v>0</v>
      </c>
      <c r="U194" s="189">
        <v>0</v>
      </c>
      <c r="V194" s="189" t="s">
        <v>2557</v>
      </c>
      <c r="W194" s="189">
        <v>0</v>
      </c>
      <c r="X194" s="189" t="s">
        <v>2558</v>
      </c>
      <c r="Y194" s="189">
        <v>0</v>
      </c>
      <c r="Z194" s="189">
        <v>0</v>
      </c>
      <c r="AA194" s="189">
        <v>0</v>
      </c>
      <c r="AF194" s="189">
        <v>0</v>
      </c>
      <c r="AG194" s="201"/>
      <c r="AI194" s="189">
        <v>2</v>
      </c>
      <c r="AJ194" s="201">
        <v>44821</v>
      </c>
      <c r="AK194" s="189">
        <v>2</v>
      </c>
      <c r="AL194" s="201">
        <v>44849</v>
      </c>
      <c r="AM194" s="189">
        <v>0</v>
      </c>
      <c r="AN194" s="189">
        <v>1</v>
      </c>
    </row>
    <row r="195" spans="1:42" s="189" customFormat="1">
      <c r="A195" s="185" t="s">
        <v>792</v>
      </c>
      <c r="B195" s="185">
        <v>22109864</v>
      </c>
      <c r="C195" s="230" t="s">
        <v>793</v>
      </c>
      <c r="D195" s="201">
        <v>45583</v>
      </c>
      <c r="E195" s="189">
        <v>2</v>
      </c>
      <c r="F195" s="189">
        <v>88.6</v>
      </c>
      <c r="G195" s="189">
        <v>11.3</v>
      </c>
      <c r="I195" s="189">
        <v>45</v>
      </c>
      <c r="J195" s="95">
        <v>44562</v>
      </c>
      <c r="K195" s="95">
        <v>44566</v>
      </c>
      <c r="L195" s="189" t="s">
        <v>19</v>
      </c>
      <c r="M195" s="217" t="s">
        <v>2342</v>
      </c>
      <c r="N195" s="189">
        <v>1.5</v>
      </c>
      <c r="O195" s="189">
        <v>2</v>
      </c>
      <c r="P195" s="189" t="s">
        <v>1921</v>
      </c>
      <c r="Q195" s="189">
        <v>1.4</v>
      </c>
      <c r="R195" s="189">
        <v>150</v>
      </c>
      <c r="S195" s="189">
        <v>0</v>
      </c>
      <c r="T195" s="189">
        <v>0</v>
      </c>
      <c r="U195" s="189">
        <v>0</v>
      </c>
      <c r="V195" s="189">
        <v>0</v>
      </c>
      <c r="W195" s="189">
        <v>0</v>
      </c>
      <c r="X195" s="189">
        <v>0</v>
      </c>
      <c r="Y195" s="189">
        <v>0</v>
      </c>
      <c r="Z195" s="189">
        <v>0</v>
      </c>
      <c r="AA195" s="189">
        <v>0</v>
      </c>
      <c r="AB195" s="189">
        <v>0</v>
      </c>
      <c r="AC195" s="189">
        <v>0</v>
      </c>
      <c r="AD195" s="189">
        <v>0</v>
      </c>
      <c r="AE195" s="189">
        <v>0</v>
      </c>
      <c r="AF195" s="189">
        <v>1</v>
      </c>
      <c r="AG195" s="201"/>
      <c r="AH195" s="189">
        <v>0</v>
      </c>
      <c r="AI195" s="189">
        <v>1</v>
      </c>
      <c r="AJ195" s="201">
        <v>44899</v>
      </c>
      <c r="AK195" s="189">
        <v>1</v>
      </c>
      <c r="AL195" s="201">
        <v>44931</v>
      </c>
      <c r="AM195" s="189">
        <v>0</v>
      </c>
      <c r="AN195" s="189">
        <v>1</v>
      </c>
    </row>
    <row r="196" spans="1:42" s="193" customFormat="1">
      <c r="A196" s="194" t="s">
        <v>796</v>
      </c>
      <c r="B196" s="194">
        <v>22109794</v>
      </c>
      <c r="C196" s="222" t="s">
        <v>797</v>
      </c>
      <c r="M196" s="218"/>
      <c r="AG196" s="219"/>
    </row>
    <row r="197" spans="1:42" s="193" customFormat="1">
      <c r="A197" s="192" t="s">
        <v>800</v>
      </c>
      <c r="B197" s="192">
        <v>37900814</v>
      </c>
      <c r="C197" s="226" t="s">
        <v>801</v>
      </c>
      <c r="M197" s="218"/>
      <c r="AG197" s="219"/>
    </row>
    <row r="198" spans="1:42" s="189" customFormat="1">
      <c r="A198" s="185" t="s">
        <v>804</v>
      </c>
      <c r="B198" s="185">
        <v>22108914</v>
      </c>
      <c r="C198" s="230" t="s">
        <v>805</v>
      </c>
      <c r="D198" s="201">
        <v>45289</v>
      </c>
      <c r="E198" s="189">
        <v>2</v>
      </c>
      <c r="F198" s="189">
        <v>91</v>
      </c>
      <c r="G198" s="189">
        <v>14.5</v>
      </c>
      <c r="I198" s="189">
        <v>48.5</v>
      </c>
      <c r="J198" s="201">
        <v>44458</v>
      </c>
      <c r="K198" s="201">
        <v>44463</v>
      </c>
      <c r="L198" s="189" t="s">
        <v>452</v>
      </c>
      <c r="M198" s="217" t="s">
        <v>2342</v>
      </c>
      <c r="N198" s="189">
        <v>1.2</v>
      </c>
      <c r="O198" s="189">
        <v>2</v>
      </c>
      <c r="P198" s="189" t="s">
        <v>2617</v>
      </c>
      <c r="Q198" s="189">
        <v>1.5</v>
      </c>
      <c r="R198" s="189">
        <v>150</v>
      </c>
      <c r="S198" s="189" t="s">
        <v>2618</v>
      </c>
      <c r="T198" s="189">
        <v>0</v>
      </c>
      <c r="U198" s="189">
        <v>0</v>
      </c>
      <c r="V198" s="189" t="s">
        <v>2619</v>
      </c>
      <c r="W198" s="189" t="s">
        <v>2619</v>
      </c>
      <c r="X198" s="189">
        <v>0</v>
      </c>
      <c r="Y198" s="189">
        <v>0</v>
      </c>
      <c r="Z198" s="189">
        <v>0</v>
      </c>
      <c r="AA198" s="189">
        <v>1</v>
      </c>
      <c r="AB198" s="189" t="s">
        <v>2353</v>
      </c>
      <c r="AC198" s="189" t="s">
        <v>2353</v>
      </c>
      <c r="AD198" s="189" t="s">
        <v>2353</v>
      </c>
      <c r="AE198" s="189" t="s">
        <v>2353</v>
      </c>
      <c r="AF198" s="189">
        <v>1</v>
      </c>
      <c r="AG198" s="201">
        <v>45046</v>
      </c>
      <c r="AH198" s="189">
        <v>0</v>
      </c>
      <c r="AI198" s="189">
        <v>2</v>
      </c>
      <c r="AJ198" s="201">
        <v>44931</v>
      </c>
      <c r="AK198" s="189">
        <v>0</v>
      </c>
      <c r="AL198" s="189">
        <v>0</v>
      </c>
      <c r="AM198" s="189">
        <v>0</v>
      </c>
      <c r="AN198" s="189">
        <v>1</v>
      </c>
      <c r="AP198" s="189">
        <v>0</v>
      </c>
    </row>
    <row r="199" spans="1:42" s="189" customFormat="1">
      <c r="A199" s="185" t="s">
        <v>807</v>
      </c>
      <c r="B199" s="185">
        <v>22108784</v>
      </c>
      <c r="C199" s="230" t="s">
        <v>847</v>
      </c>
      <c r="D199" s="201">
        <v>45272</v>
      </c>
      <c r="E199" s="189">
        <v>1</v>
      </c>
      <c r="F199" s="189">
        <v>87.6</v>
      </c>
      <c r="G199" s="189">
        <v>11.2</v>
      </c>
      <c r="I199" s="189">
        <v>46.8</v>
      </c>
      <c r="J199" s="201">
        <v>44444</v>
      </c>
      <c r="K199" s="201">
        <v>44511</v>
      </c>
      <c r="L199" s="189" t="s">
        <v>139</v>
      </c>
      <c r="M199" s="217" t="s">
        <v>2342</v>
      </c>
      <c r="N199" s="189">
        <v>1.5</v>
      </c>
      <c r="O199" s="189">
        <v>2</v>
      </c>
      <c r="P199" s="189" t="s">
        <v>1921</v>
      </c>
      <c r="Q199" s="189" t="s">
        <v>2538</v>
      </c>
      <c r="R199" s="189">
        <v>180</v>
      </c>
      <c r="S199" s="189" t="s">
        <v>2605</v>
      </c>
      <c r="T199" s="189">
        <v>0</v>
      </c>
      <c r="U199" s="189">
        <v>0</v>
      </c>
      <c r="V199" s="189">
        <v>0</v>
      </c>
      <c r="W199" s="189" t="s">
        <v>2602</v>
      </c>
      <c r="X199" s="189">
        <v>0</v>
      </c>
      <c r="Y199" s="189" t="s">
        <v>2606</v>
      </c>
      <c r="Z199" s="189" t="s">
        <v>2607</v>
      </c>
      <c r="AA199" s="189">
        <v>0</v>
      </c>
      <c r="AB199" s="189">
        <v>0</v>
      </c>
      <c r="AC199" s="189">
        <v>0</v>
      </c>
      <c r="AD199" s="189">
        <v>0</v>
      </c>
      <c r="AE199" s="189">
        <v>0</v>
      </c>
      <c r="AF199" s="189">
        <v>0</v>
      </c>
      <c r="AG199" s="189">
        <v>0</v>
      </c>
      <c r="AH199" s="189">
        <v>0</v>
      </c>
      <c r="AI199" s="189">
        <v>0</v>
      </c>
      <c r="AJ199" s="189">
        <v>0</v>
      </c>
      <c r="AK199" s="189">
        <v>0</v>
      </c>
      <c r="AL199" s="189">
        <v>0</v>
      </c>
      <c r="AM199" s="189">
        <v>0</v>
      </c>
      <c r="AN199" s="189">
        <v>0</v>
      </c>
      <c r="AO199" s="189">
        <v>0</v>
      </c>
      <c r="AP199" s="189">
        <v>0</v>
      </c>
    </row>
    <row r="200" spans="1:42" s="110" customFormat="1">
      <c r="A200" s="107" t="s">
        <v>811</v>
      </c>
      <c r="B200" s="107">
        <v>22109526</v>
      </c>
      <c r="C200" s="121" t="s">
        <v>812</v>
      </c>
      <c r="D200" s="213">
        <v>45425</v>
      </c>
      <c r="E200" s="110">
        <v>1</v>
      </c>
      <c r="F200" s="110">
        <v>87.5</v>
      </c>
      <c r="G200" s="110">
        <v>14.1</v>
      </c>
      <c r="I200" s="110">
        <v>50</v>
      </c>
      <c r="J200" s="40">
        <v>44525</v>
      </c>
      <c r="K200" s="40">
        <v>44527</v>
      </c>
      <c r="L200" s="110" t="s">
        <v>745</v>
      </c>
      <c r="M200" s="215" t="s">
        <v>2342</v>
      </c>
      <c r="N200" s="110">
        <v>1.4</v>
      </c>
      <c r="O200" s="110">
        <v>2</v>
      </c>
      <c r="P200" s="110" t="s">
        <v>2473</v>
      </c>
      <c r="Q200" s="110" t="s">
        <v>2538</v>
      </c>
      <c r="R200" s="110" t="s">
        <v>2649</v>
      </c>
      <c r="S200" s="110">
        <v>0</v>
      </c>
      <c r="T200" s="110">
        <v>0</v>
      </c>
      <c r="U200" s="110">
        <v>0</v>
      </c>
      <c r="V200" s="110">
        <v>0</v>
      </c>
      <c r="W200" s="110">
        <v>0</v>
      </c>
      <c r="X200" s="110">
        <v>0</v>
      </c>
      <c r="Y200" s="110">
        <v>0</v>
      </c>
      <c r="Z200" s="110">
        <v>0</v>
      </c>
      <c r="AA200" s="110">
        <v>0</v>
      </c>
      <c r="AB200" s="110">
        <v>0</v>
      </c>
      <c r="AC200" s="110">
        <v>0</v>
      </c>
      <c r="AD200" s="110">
        <v>0</v>
      </c>
      <c r="AE200" s="110">
        <v>0</v>
      </c>
      <c r="AF200" s="110">
        <v>1</v>
      </c>
      <c r="AG200" s="213">
        <v>45066</v>
      </c>
      <c r="AH200" s="110">
        <v>0</v>
      </c>
      <c r="AI200" s="110">
        <v>0</v>
      </c>
      <c r="AJ200" s="110">
        <v>0</v>
      </c>
      <c r="AK200" s="110">
        <v>0</v>
      </c>
      <c r="AL200" s="110">
        <v>0</v>
      </c>
      <c r="AM200" s="110">
        <v>0</v>
      </c>
      <c r="AN200" s="110">
        <v>1</v>
      </c>
      <c r="AO200" s="213">
        <v>45203</v>
      </c>
      <c r="AP200" s="110">
        <v>0</v>
      </c>
    </row>
    <row r="201" spans="1:42" s="193" customFormat="1">
      <c r="A201" s="194" t="s">
        <v>815</v>
      </c>
      <c r="B201" s="194">
        <v>22109482</v>
      </c>
      <c r="C201" s="222" t="s">
        <v>816</v>
      </c>
      <c r="M201" s="218"/>
      <c r="AG201" s="219"/>
    </row>
    <row r="202" spans="1:42" s="189" customFormat="1">
      <c r="A202" s="185" t="s">
        <v>818</v>
      </c>
      <c r="B202" s="185">
        <v>22109057</v>
      </c>
      <c r="C202" s="230" t="s">
        <v>819</v>
      </c>
      <c r="D202" s="201">
        <v>45286</v>
      </c>
      <c r="E202" s="189">
        <v>2</v>
      </c>
      <c r="F202" s="189">
        <v>82</v>
      </c>
      <c r="G202" s="189">
        <v>10.4</v>
      </c>
      <c r="J202" s="201">
        <v>44478</v>
      </c>
      <c r="K202" s="201">
        <v>44575</v>
      </c>
      <c r="L202" s="189" t="s">
        <v>820</v>
      </c>
      <c r="M202" s="217" t="s">
        <v>2513</v>
      </c>
      <c r="N202" s="189">
        <v>1.2</v>
      </c>
      <c r="O202" s="189">
        <v>2</v>
      </c>
      <c r="P202" s="189" t="s">
        <v>2501</v>
      </c>
      <c r="Q202" s="189" t="s">
        <v>2348</v>
      </c>
      <c r="R202" s="189">
        <v>150</v>
      </c>
      <c r="S202" s="189">
        <v>2</v>
      </c>
      <c r="T202" s="189">
        <v>0</v>
      </c>
      <c r="U202" s="189">
        <v>0</v>
      </c>
      <c r="V202" s="189">
        <v>0</v>
      </c>
      <c r="W202" s="189">
        <v>0</v>
      </c>
      <c r="X202" s="189">
        <v>1</v>
      </c>
      <c r="Y202" s="189" t="s">
        <v>2614</v>
      </c>
      <c r="Z202" s="189">
        <v>0</v>
      </c>
      <c r="AA202" s="189">
        <v>1</v>
      </c>
      <c r="AB202" s="189">
        <v>0</v>
      </c>
      <c r="AC202" s="189">
        <v>0</v>
      </c>
      <c r="AD202" s="189" t="s">
        <v>2615</v>
      </c>
      <c r="AE202" s="189" t="s">
        <v>2616</v>
      </c>
      <c r="AF202" s="189">
        <v>1</v>
      </c>
      <c r="AG202" s="201">
        <v>45017</v>
      </c>
      <c r="AH202" s="189">
        <v>1</v>
      </c>
      <c r="AI202" s="189">
        <v>0</v>
      </c>
      <c r="AJ202" s="189">
        <v>0</v>
      </c>
      <c r="AK202" s="189">
        <v>0</v>
      </c>
      <c r="AL202" s="189">
        <v>0</v>
      </c>
      <c r="AM202" s="189">
        <v>0</v>
      </c>
      <c r="AN202" s="189">
        <v>1</v>
      </c>
    </row>
    <row r="203" spans="1:42" s="193" customFormat="1">
      <c r="A203" s="194" t="s">
        <v>822</v>
      </c>
      <c r="B203" s="194">
        <v>22109404</v>
      </c>
      <c r="C203" s="222" t="s">
        <v>823</v>
      </c>
      <c r="M203" s="218"/>
      <c r="AG203" s="219"/>
    </row>
    <row r="204" spans="1:42" s="193" customFormat="1">
      <c r="A204" s="194" t="s">
        <v>825</v>
      </c>
      <c r="B204" s="194">
        <v>22107380</v>
      </c>
      <c r="C204" s="222" t="s">
        <v>826</v>
      </c>
      <c r="M204" s="218"/>
      <c r="AG204" s="219"/>
    </row>
    <row r="205" spans="1:42" s="189" customFormat="1">
      <c r="A205" s="185" t="s">
        <v>829</v>
      </c>
      <c r="B205" s="185">
        <v>22108775</v>
      </c>
      <c r="C205" s="230" t="s">
        <v>830</v>
      </c>
      <c r="D205" s="201">
        <v>45349</v>
      </c>
      <c r="E205" s="189">
        <v>2</v>
      </c>
      <c r="F205" s="189">
        <v>93</v>
      </c>
      <c r="G205" s="189">
        <v>18.5</v>
      </c>
      <c r="J205" s="201">
        <v>44443</v>
      </c>
      <c r="K205" s="201">
        <v>44506</v>
      </c>
      <c r="L205" s="189">
        <v>31</v>
      </c>
      <c r="M205" s="217" t="s">
        <v>2342</v>
      </c>
      <c r="N205" s="189">
        <v>1</v>
      </c>
      <c r="O205" s="189">
        <v>2</v>
      </c>
      <c r="P205" s="189" t="s">
        <v>2636</v>
      </c>
      <c r="Q205" s="189" t="s">
        <v>2439</v>
      </c>
      <c r="R205" s="189">
        <v>270</v>
      </c>
      <c r="S205" s="189">
        <v>2</v>
      </c>
      <c r="T205" s="189">
        <v>0</v>
      </c>
      <c r="U205" s="189">
        <v>0</v>
      </c>
      <c r="V205" s="189">
        <v>0</v>
      </c>
      <c r="W205" s="189">
        <v>0</v>
      </c>
      <c r="X205" s="189">
        <v>0</v>
      </c>
      <c r="Y205" s="189">
        <v>0</v>
      </c>
      <c r="Z205" s="189">
        <v>0</v>
      </c>
      <c r="AA205" s="189">
        <v>0</v>
      </c>
      <c r="AB205" s="189">
        <v>0</v>
      </c>
      <c r="AC205" s="189">
        <v>0</v>
      </c>
      <c r="AD205" s="189">
        <v>0</v>
      </c>
      <c r="AE205" s="189">
        <v>0</v>
      </c>
      <c r="AF205" s="189">
        <v>1</v>
      </c>
      <c r="AG205" s="201">
        <v>44854</v>
      </c>
      <c r="AH205" s="189">
        <v>0</v>
      </c>
      <c r="AI205" s="189">
        <v>0</v>
      </c>
      <c r="AJ205" s="189">
        <v>0</v>
      </c>
      <c r="AK205" s="189">
        <v>0</v>
      </c>
      <c r="AL205" s="189">
        <v>0</v>
      </c>
      <c r="AM205" s="189">
        <v>0</v>
      </c>
      <c r="AN205" s="189">
        <v>1</v>
      </c>
    </row>
    <row r="206" spans="1:42" s="189" customFormat="1">
      <c r="A206" s="185" t="s">
        <v>833</v>
      </c>
      <c r="B206" s="186">
        <v>22103595</v>
      </c>
      <c r="C206" s="190" t="s">
        <v>1618</v>
      </c>
      <c r="M206" s="217"/>
      <c r="AG206" s="201"/>
    </row>
    <row r="207" spans="1:42" s="189" customFormat="1">
      <c r="A207" s="185" t="s">
        <v>838</v>
      </c>
      <c r="B207" s="185">
        <v>22109382</v>
      </c>
      <c r="C207" s="230" t="s">
        <v>839</v>
      </c>
      <c r="D207" s="201">
        <v>45256</v>
      </c>
      <c r="E207" s="189">
        <v>2</v>
      </c>
      <c r="F207" s="189">
        <v>79.8</v>
      </c>
      <c r="G207" s="189">
        <v>10.6</v>
      </c>
      <c r="I207" s="189">
        <v>47.9</v>
      </c>
      <c r="J207" s="201">
        <v>44511</v>
      </c>
      <c r="K207" s="201">
        <v>44516</v>
      </c>
      <c r="L207" s="189" t="s">
        <v>452</v>
      </c>
      <c r="M207" s="217" t="s">
        <v>2342</v>
      </c>
      <c r="N207" s="189">
        <v>1</v>
      </c>
      <c r="O207" s="189">
        <v>2</v>
      </c>
      <c r="P207" s="189" t="s">
        <v>2420</v>
      </c>
      <c r="Q207" s="189">
        <v>1.5</v>
      </c>
      <c r="R207" s="189">
        <v>100</v>
      </c>
      <c r="S207" s="189" t="s">
        <v>2589</v>
      </c>
      <c r="T207" s="189">
        <v>0</v>
      </c>
      <c r="U207" s="189">
        <v>0</v>
      </c>
      <c r="V207" s="189" t="s">
        <v>2590</v>
      </c>
      <c r="W207" s="189" t="s">
        <v>2591</v>
      </c>
      <c r="X207" s="189">
        <v>0</v>
      </c>
      <c r="Y207" s="189">
        <v>0</v>
      </c>
      <c r="Z207" s="189" t="s">
        <v>2592</v>
      </c>
      <c r="AA207" s="189">
        <v>0</v>
      </c>
      <c r="AB207" s="189">
        <v>0</v>
      </c>
      <c r="AC207" s="189">
        <v>0</v>
      </c>
      <c r="AD207" s="189">
        <v>0</v>
      </c>
      <c r="AE207" s="189">
        <v>0</v>
      </c>
      <c r="AF207" s="189">
        <v>1</v>
      </c>
      <c r="AG207" s="201">
        <v>44844</v>
      </c>
      <c r="AH207" s="189">
        <v>0</v>
      </c>
      <c r="AI207" s="189">
        <v>0</v>
      </c>
      <c r="AJ207" s="189">
        <v>0</v>
      </c>
      <c r="AK207" s="189">
        <v>0</v>
      </c>
      <c r="AL207" s="189">
        <v>0</v>
      </c>
      <c r="AM207" s="189">
        <v>0</v>
      </c>
      <c r="AN207" s="189">
        <v>1</v>
      </c>
      <c r="AO207" s="201">
        <v>44861</v>
      </c>
      <c r="AP207" s="189">
        <v>0</v>
      </c>
    </row>
  </sheetData>
  <autoFilter ref="A1:AQ207" xr:uid="{00000000-0009-0000-0000-000003000000}"/>
  <phoneticPr fontId="3" type="noConversion"/>
  <hyperlinks>
    <hyperlink ref="L68" r:id="rId1" display="24+@" xr:uid="{00000000-0004-0000-0300-000000000000}"/>
    <hyperlink ref="L150" r:id="rId2" display="38+@" xr:uid="{00000000-0004-0000-0300-000001000000}"/>
  </hyperlinks>
  <pageMargins left="0.7" right="0.7" top="0.75" bottom="0.75" header="0.3" footer="0.3"/>
  <pageSetup paperSize="9" orientation="portrait" horizontalDpi="0" verticalDpi="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H555"/>
  <sheetViews>
    <sheetView zoomScale="125" zoomScaleNormal="66" workbookViewId="0">
      <pane xSplit="1" ySplit="1" topLeftCell="J2" activePane="bottomRight" state="frozen"/>
      <selection pane="topRight" activeCell="B1" sqref="B1"/>
      <selection pane="bottomLeft" activeCell="A2" sqref="A2"/>
      <selection pane="bottomRight" activeCell="K12" sqref="K12"/>
    </sheetView>
  </sheetViews>
  <sheetFormatPr baseColWidth="10" defaultColWidth="11.5" defaultRowHeight="15"/>
  <cols>
    <col min="1" max="1" width="13" style="15" customWidth="1"/>
    <col min="2" max="2" width="13.5" style="15" hidden="1" customWidth="1"/>
    <col min="3" max="3" width="15.6640625" style="15" hidden="1" customWidth="1"/>
    <col min="4" max="4" width="14" style="15" hidden="1" customWidth="1"/>
    <col min="5" max="5" width="11" style="15" hidden="1" customWidth="1"/>
    <col min="6" max="6" width="12" style="15" hidden="1" customWidth="1"/>
    <col min="7" max="7" width="9.6640625" style="15" hidden="1" customWidth="1"/>
    <col min="8" max="8" width="16.6640625" style="15" hidden="1" customWidth="1"/>
    <col min="9" max="9" width="15.6640625" style="15" hidden="1" customWidth="1"/>
    <col min="10" max="10" width="15.1640625" style="15" customWidth="1"/>
    <col min="11" max="14" width="21.33203125" style="15" customWidth="1"/>
    <col min="15" max="15" width="15" style="15" customWidth="1"/>
    <col min="16" max="16" width="20.6640625" style="15" customWidth="1"/>
    <col min="17" max="17" width="17" style="15" customWidth="1"/>
    <col min="18" max="18" width="15.5" style="15" customWidth="1"/>
    <col min="19" max="20" width="21.5" style="15" customWidth="1"/>
    <col min="21" max="21" width="17.5" style="15" customWidth="1"/>
    <col min="22" max="22" width="25.6640625" style="15" customWidth="1"/>
    <col min="23" max="23" width="20.5" style="15" customWidth="1"/>
    <col min="24" max="24" width="22.5" style="15" customWidth="1"/>
    <col min="25" max="25" width="21.5" style="15" customWidth="1"/>
    <col min="26" max="26" width="22.5" style="15" customWidth="1"/>
    <col min="27" max="27" width="16.5" style="15" customWidth="1"/>
    <col min="28" max="28" width="22.5" style="15" customWidth="1"/>
    <col min="29" max="29" width="18.6640625" style="15" customWidth="1"/>
    <col min="30" max="30" width="15" style="15" customWidth="1"/>
    <col min="31" max="31" width="30.33203125" style="15" customWidth="1"/>
    <col min="32" max="32" width="14.6640625" style="15" customWidth="1"/>
    <col min="33" max="33" width="30.1640625" style="15" customWidth="1"/>
    <col min="34" max="34" width="17.6640625" style="15" bestFit="1" customWidth="1"/>
    <col min="35" max="37" width="17.6640625" style="15" customWidth="1"/>
    <col min="38" max="38" width="19.5" style="15" customWidth="1"/>
    <col min="39" max="39" width="18.33203125" style="15" customWidth="1"/>
    <col min="40" max="40" width="14.1640625" style="15" customWidth="1"/>
    <col min="41" max="41" width="20" style="15" customWidth="1"/>
    <col min="42" max="42" width="19.33203125" style="15" bestFit="1" customWidth="1"/>
    <col min="43" max="43" width="18.33203125" style="15" bestFit="1" customWidth="1"/>
    <col min="44" max="44" width="18.6640625" style="15" bestFit="1" customWidth="1"/>
    <col min="45" max="46" width="19.33203125" style="15" customWidth="1"/>
    <col min="47" max="48" width="18.6640625" style="15" customWidth="1"/>
    <col min="49" max="49" width="15.5" style="15" customWidth="1"/>
    <col min="50" max="51" width="19.33203125" style="15" customWidth="1"/>
    <col min="52" max="53" width="18.6640625" style="15" customWidth="1"/>
    <col min="54" max="54" width="15.5" style="15" customWidth="1"/>
    <col min="55" max="58" width="18" style="15" customWidth="1"/>
    <col min="59" max="59" width="15.6640625" style="15" customWidth="1"/>
    <col min="60" max="60" width="23.5" style="15" customWidth="1"/>
  </cols>
  <sheetData>
    <row r="1" spans="1:60" ht="16">
      <c r="A1" s="2" t="s">
        <v>0</v>
      </c>
      <c r="B1" s="2" t="s">
        <v>1</v>
      </c>
      <c r="C1" s="2" t="s">
        <v>2</v>
      </c>
      <c r="D1" s="39" t="s">
        <v>5</v>
      </c>
      <c r="E1" s="39" t="s">
        <v>6</v>
      </c>
      <c r="F1" s="23" t="s">
        <v>2458</v>
      </c>
      <c r="G1" s="2" t="s">
        <v>12</v>
      </c>
      <c r="H1" s="38" t="s">
        <v>9</v>
      </c>
      <c r="I1" s="38" t="s">
        <v>10</v>
      </c>
      <c r="J1" s="2" t="s">
        <v>1924</v>
      </c>
      <c r="K1" s="24" t="s">
        <v>1925</v>
      </c>
      <c r="L1" s="24" t="s">
        <v>2447</v>
      </c>
      <c r="M1" s="24" t="s">
        <v>2448</v>
      </c>
      <c r="N1" s="24" t="s">
        <v>2459</v>
      </c>
      <c r="O1" s="2" t="s">
        <v>2483</v>
      </c>
      <c r="P1" s="2" t="s">
        <v>1926</v>
      </c>
      <c r="Q1" s="2" t="s">
        <v>1927</v>
      </c>
      <c r="R1" s="2" t="s">
        <v>1928</v>
      </c>
      <c r="S1" s="2" t="s">
        <v>1929</v>
      </c>
      <c r="T1" s="2" t="s">
        <v>1930</v>
      </c>
      <c r="U1" s="2" t="s">
        <v>1931</v>
      </c>
      <c r="V1" s="2" t="s">
        <v>1932</v>
      </c>
      <c r="W1" s="17" t="s">
        <v>2213</v>
      </c>
      <c r="X1" s="2" t="s">
        <v>1935</v>
      </c>
      <c r="Y1" s="25" t="s">
        <v>1934</v>
      </c>
      <c r="Z1" s="25" t="s">
        <v>1936</v>
      </c>
      <c r="AA1" s="17" t="s">
        <v>1933</v>
      </c>
      <c r="AB1" s="2" t="s">
        <v>1937</v>
      </c>
      <c r="AC1" s="2" t="s">
        <v>1938</v>
      </c>
      <c r="AD1" s="2" t="s">
        <v>2211</v>
      </c>
      <c r="AE1" s="2" t="s">
        <v>1939</v>
      </c>
      <c r="AF1" s="2" t="s">
        <v>2418</v>
      </c>
      <c r="AG1" s="2" t="s">
        <v>1940</v>
      </c>
      <c r="AH1" s="24" t="s">
        <v>1941</v>
      </c>
      <c r="AI1" s="24" t="s">
        <v>2449</v>
      </c>
      <c r="AJ1" s="24" t="s">
        <v>2450</v>
      </c>
      <c r="AK1" s="24" t="s">
        <v>2459</v>
      </c>
      <c r="AL1" s="25" t="s">
        <v>2610</v>
      </c>
      <c r="AM1" s="25" t="s">
        <v>1944</v>
      </c>
      <c r="AN1" s="2" t="s">
        <v>1942</v>
      </c>
      <c r="AO1" s="2" t="s">
        <v>1945</v>
      </c>
      <c r="AP1" s="2" t="s">
        <v>1943</v>
      </c>
      <c r="AQ1" s="2" t="s">
        <v>1946</v>
      </c>
      <c r="AR1" s="2" t="s">
        <v>1947</v>
      </c>
      <c r="AS1" s="24" t="s">
        <v>1948</v>
      </c>
      <c r="AT1" s="24" t="s">
        <v>2451</v>
      </c>
      <c r="AU1" s="24" t="s">
        <v>2452</v>
      </c>
      <c r="AV1" s="24" t="s">
        <v>2459</v>
      </c>
      <c r="AW1" s="2" t="s">
        <v>1949</v>
      </c>
      <c r="AX1" s="24" t="s">
        <v>1950</v>
      </c>
      <c r="AY1" s="24" t="s">
        <v>2453</v>
      </c>
      <c r="AZ1" s="24" t="s">
        <v>2454</v>
      </c>
      <c r="BA1" s="24" t="s">
        <v>2459</v>
      </c>
      <c r="BB1" s="2" t="s">
        <v>1951</v>
      </c>
      <c r="BC1" s="24" t="s">
        <v>1952</v>
      </c>
      <c r="BD1" s="24" t="s">
        <v>2455</v>
      </c>
      <c r="BE1" s="24" t="s">
        <v>2456</v>
      </c>
      <c r="BF1" s="24" t="s">
        <v>2459</v>
      </c>
      <c r="BG1" s="2" t="s">
        <v>1953</v>
      </c>
      <c r="BH1" s="13" t="s">
        <v>1656</v>
      </c>
    </row>
    <row r="2" spans="1:60" s="110" customFormat="1" ht="16">
      <c r="A2" s="17" t="s">
        <v>15</v>
      </c>
      <c r="B2" s="17">
        <v>22104031</v>
      </c>
      <c r="C2" s="17" t="s">
        <v>16</v>
      </c>
      <c r="D2" s="40">
        <v>43970</v>
      </c>
      <c r="E2" s="40">
        <v>43974</v>
      </c>
      <c r="F2" s="40">
        <v>43970</v>
      </c>
      <c r="G2" s="17" t="s">
        <v>19</v>
      </c>
      <c r="H2" s="75">
        <v>44674</v>
      </c>
      <c r="I2" s="75">
        <v>44857</v>
      </c>
      <c r="J2" s="40">
        <v>44977</v>
      </c>
      <c r="K2" s="40">
        <v>44902</v>
      </c>
      <c r="L2" s="40" t="str">
        <f t="shared" ref="L2:L61" si="0">DATEDIF(D2,K2,"y")&amp;"Y"&amp;DATEDIF(D2,K2,"ym")&amp;"M"&amp;DATEDIF(D2,K2,"md")&amp;"D"</f>
        <v>2Y6M18D</v>
      </c>
      <c r="M2" s="40" t="str">
        <f t="shared" ref="M2:M61" si="1">DATEDIF(E2,K2,"y")&amp;"Y"&amp;DATEDIF(E2,K2,"ym")&amp;"M"&amp;DATEDIF(E2,K2,"md")&amp;"D"</f>
        <v>2Y6M14D</v>
      </c>
      <c r="N2" s="21">
        <f t="shared" ref="N2:N61" si="2">(K2-F2)/365</f>
        <v>2.5534246575342467</v>
      </c>
      <c r="O2" s="17">
        <v>1</v>
      </c>
      <c r="P2" s="17">
        <v>3</v>
      </c>
      <c r="Q2" s="17"/>
      <c r="R2" s="17">
        <v>1</v>
      </c>
      <c r="S2" s="17">
        <v>1</v>
      </c>
      <c r="T2" s="17"/>
      <c r="U2" s="17" t="s">
        <v>2204</v>
      </c>
      <c r="V2" s="17" t="s">
        <v>2192</v>
      </c>
      <c r="W2" s="17">
        <v>1</v>
      </c>
      <c r="X2" s="17">
        <v>1</v>
      </c>
      <c r="Y2" s="17">
        <v>1</v>
      </c>
      <c r="Z2" s="17">
        <v>1</v>
      </c>
      <c r="AA2" s="17">
        <v>1</v>
      </c>
      <c r="AB2" s="17">
        <v>1</v>
      </c>
      <c r="AC2" s="17"/>
      <c r="AD2" s="17">
        <v>1</v>
      </c>
      <c r="AE2" s="17">
        <v>1</v>
      </c>
      <c r="AF2" s="17">
        <v>1</v>
      </c>
      <c r="AG2" s="17">
        <v>1</v>
      </c>
      <c r="AH2" s="40"/>
      <c r="AI2" s="40" t="e">
        <f t="shared" ref="AI2:AI61" si="3">DATEDIF(D2,AH2,"y")&amp;"Y"&amp;DATEDIF(D2,AH2,"ym")&amp;"M"&amp;DATEDIF(D2,AH2,"md")&amp;"D"</f>
        <v>#NUM!</v>
      </c>
      <c r="AJ2" s="40" t="e">
        <f t="shared" ref="AJ2:AJ61" si="4">DATEDIF(E2,AH2,"y")&amp;"Y"&amp;DATEDIF(E2,AH2,"ym")&amp;"M"&amp;DATEDIF(E2,AH2,"md")&amp;"D"</f>
        <v>#NUM!</v>
      </c>
      <c r="AK2" s="21">
        <f t="shared" ref="AK2:AK61" si="5">(AH2-F2)/365</f>
        <v>-120.46575342465754</v>
      </c>
      <c r="AL2" s="17"/>
      <c r="AM2" s="17"/>
      <c r="AN2" s="17"/>
      <c r="AO2" s="17"/>
      <c r="AP2" s="17"/>
      <c r="AQ2" s="17"/>
      <c r="AR2" s="17"/>
      <c r="AS2" s="40">
        <v>44903</v>
      </c>
      <c r="AT2" s="40" t="str">
        <f t="shared" ref="AT2:AT61" si="6">DATEDIF(D2,AS2,"y")&amp;"Y"&amp;DATEDIF(D2,AS2,"ym")&amp;"M"&amp;DATEDIF(D2,AS2,"md")&amp;"D"</f>
        <v>2Y6M19D</v>
      </c>
      <c r="AU2" s="40" t="str">
        <f t="shared" ref="AU2:AU61" si="7">DATEDIF(E2,AS2,"y")&amp;"Y"&amp;DATEDIF(E2,AS2,"ym")&amp;"M"&amp;DATEDIF(E2,AS2,"md")&amp;"D"</f>
        <v>2Y6M15D</v>
      </c>
      <c r="AV2" s="21">
        <f t="shared" ref="AV2:AV61" si="8">(AS2-F2)/365</f>
        <v>2.5561643835616437</v>
      </c>
      <c r="AW2" s="17">
        <v>3</v>
      </c>
      <c r="AX2" s="40">
        <v>44916</v>
      </c>
      <c r="AY2" s="40" t="str">
        <f t="shared" ref="AY2:AY61" si="9">DATEDIF(D2,AX2,"y")&amp;"Y"&amp;DATEDIF(D2,AX2,"ym")&amp;"M"&amp;DATEDIF(D2,AX2,"md")&amp;"D"</f>
        <v>2Y7M2D</v>
      </c>
      <c r="AZ2" s="21" t="str">
        <f t="shared" ref="AZ2:AZ61" si="10">DATEDIF(E2,AX2,"y")&amp;"Y"&amp;DATEDIF(E2,AX2,"ym")&amp;"M"&amp;DATEDIF(E2,AX2,"md")&amp;"D"</f>
        <v>2Y6M28D</v>
      </c>
      <c r="BA2" s="21">
        <f t="shared" ref="BA2:BA61" si="11">(AX2-F2)/365</f>
        <v>2.591780821917808</v>
      </c>
      <c r="BB2" s="17">
        <v>3</v>
      </c>
      <c r="BC2" s="40">
        <v>44902</v>
      </c>
      <c r="BD2" s="40" t="str">
        <f t="shared" ref="BD2:BD61" si="12">DATEDIF(D2,BC2,"y")&amp;"Y"&amp;DATEDIF(D2,BC2,"ym")&amp;"M"&amp;DATEDIF(D2,BC2,"md")&amp;"D"</f>
        <v>2Y6M18D</v>
      </c>
      <c r="BE2" s="21" t="str">
        <f t="shared" ref="BE2:BE61" si="13">DATEDIF(E2,BC2,"y")&amp;"Y"&amp;DATEDIF(E2,BC2,"ym")&amp;"M"&amp;DATEDIF(E2,BC2,"md")&amp;"D"</f>
        <v>2Y6M14D</v>
      </c>
      <c r="BF2" s="21">
        <f t="shared" ref="BF2:BF61" si="14">(BC2-F2)/365</f>
        <v>2.5534246575342467</v>
      </c>
      <c r="BG2" s="17"/>
      <c r="BH2" s="17">
        <v>0</v>
      </c>
    </row>
    <row r="3" spans="1:60" s="189" customFormat="1" ht="16">
      <c r="A3" s="99" t="s">
        <v>21</v>
      </c>
      <c r="B3" s="99">
        <v>22103764</v>
      </c>
      <c r="C3" s="100" t="s">
        <v>953</v>
      </c>
      <c r="D3" s="95">
        <v>43941</v>
      </c>
      <c r="E3" s="95">
        <v>43955</v>
      </c>
      <c r="F3" s="95">
        <v>43941</v>
      </c>
      <c r="G3" s="99" t="s">
        <v>24</v>
      </c>
      <c r="H3" s="101">
        <v>44655</v>
      </c>
      <c r="I3" s="101">
        <v>44838</v>
      </c>
      <c r="J3" s="95">
        <v>44992</v>
      </c>
      <c r="K3" s="95">
        <v>44873</v>
      </c>
      <c r="L3" s="95" t="str">
        <f t="shared" si="0"/>
        <v>2Y6M19D</v>
      </c>
      <c r="M3" s="95" t="str">
        <f t="shared" si="1"/>
        <v>2Y6M4D</v>
      </c>
      <c r="N3" s="102">
        <f t="shared" si="2"/>
        <v>2.5534246575342467</v>
      </c>
      <c r="O3" s="99">
        <v>1</v>
      </c>
      <c r="P3" s="99">
        <v>4</v>
      </c>
      <c r="Q3" s="99"/>
      <c r="R3" s="99">
        <v>1</v>
      </c>
      <c r="S3" s="99">
        <v>1</v>
      </c>
      <c r="T3" s="99">
        <v>1</v>
      </c>
      <c r="U3" s="99" t="s">
        <v>1960</v>
      </c>
      <c r="V3" s="99" t="s">
        <v>1664</v>
      </c>
      <c r="W3" s="99">
        <v>1</v>
      </c>
      <c r="X3" s="99">
        <v>1</v>
      </c>
      <c r="Y3" s="99">
        <v>1</v>
      </c>
      <c r="Z3" s="99">
        <v>1</v>
      </c>
      <c r="AA3" s="99">
        <v>1</v>
      </c>
      <c r="AB3" s="99"/>
      <c r="AC3" s="99" t="s">
        <v>1990</v>
      </c>
      <c r="AD3" s="99">
        <v>1</v>
      </c>
      <c r="AE3" s="99">
        <v>1</v>
      </c>
      <c r="AF3" s="99">
        <v>1</v>
      </c>
      <c r="AG3" s="99">
        <v>1</v>
      </c>
      <c r="AH3" s="95">
        <v>44873</v>
      </c>
      <c r="AI3" s="95" t="str">
        <f t="shared" si="3"/>
        <v>2Y6M19D</v>
      </c>
      <c r="AJ3" s="95" t="str">
        <f t="shared" si="4"/>
        <v>2Y6M4D</v>
      </c>
      <c r="AK3" s="102">
        <f t="shared" si="5"/>
        <v>2.5534246575342467</v>
      </c>
      <c r="AL3" s="99">
        <v>1</v>
      </c>
      <c r="AM3" s="99">
        <v>1</v>
      </c>
      <c r="AN3" s="99">
        <v>1</v>
      </c>
      <c r="AO3" s="99">
        <v>1</v>
      </c>
      <c r="AP3" s="99">
        <v>1</v>
      </c>
      <c r="AQ3" s="99"/>
      <c r="AR3" s="99" t="s">
        <v>1991</v>
      </c>
      <c r="AS3" s="95">
        <v>44874</v>
      </c>
      <c r="AT3" s="95" t="str">
        <f t="shared" si="6"/>
        <v>2Y6M20D</v>
      </c>
      <c r="AU3" s="95" t="str">
        <f t="shared" si="7"/>
        <v>2Y6M5D</v>
      </c>
      <c r="AV3" s="102">
        <f t="shared" si="8"/>
        <v>2.5561643835616437</v>
      </c>
      <c r="AW3" s="99">
        <v>1</v>
      </c>
      <c r="AX3" s="95">
        <v>44876</v>
      </c>
      <c r="AY3" s="95" t="str">
        <f t="shared" si="9"/>
        <v>2Y6M22D</v>
      </c>
      <c r="AZ3" s="102" t="str">
        <f t="shared" si="10"/>
        <v>2Y6M7D</v>
      </c>
      <c r="BA3" s="102">
        <f t="shared" si="11"/>
        <v>2.5616438356164384</v>
      </c>
      <c r="BB3" s="99">
        <v>1</v>
      </c>
      <c r="BC3" s="95">
        <v>44873</v>
      </c>
      <c r="BD3" s="95" t="str">
        <f t="shared" si="12"/>
        <v>2Y6M19D</v>
      </c>
      <c r="BE3" s="102" t="str">
        <f t="shared" si="13"/>
        <v>2Y6M4D</v>
      </c>
      <c r="BF3" s="102">
        <f t="shared" si="14"/>
        <v>2.5534246575342467</v>
      </c>
      <c r="BG3" s="99">
        <v>1</v>
      </c>
      <c r="BH3" s="99">
        <v>1</v>
      </c>
    </row>
    <row r="4" spans="1:60" s="189" customFormat="1" ht="16">
      <c r="A4" s="99" t="s">
        <v>26</v>
      </c>
      <c r="B4" s="99">
        <v>22103833</v>
      </c>
      <c r="C4" s="99" t="s">
        <v>27</v>
      </c>
      <c r="D4" s="95">
        <v>43948</v>
      </c>
      <c r="E4" s="95">
        <v>43946</v>
      </c>
      <c r="F4" s="95">
        <v>43948</v>
      </c>
      <c r="G4" s="99" t="s">
        <v>29</v>
      </c>
      <c r="H4" s="101">
        <v>44645</v>
      </c>
      <c r="I4" s="101">
        <v>44829</v>
      </c>
      <c r="J4" s="95">
        <v>44776</v>
      </c>
      <c r="K4" s="95">
        <v>44776</v>
      </c>
      <c r="L4" s="95" t="str">
        <f t="shared" si="0"/>
        <v>2Y3M7D</v>
      </c>
      <c r="M4" s="95" t="str">
        <f t="shared" si="1"/>
        <v>2Y3M9D</v>
      </c>
      <c r="N4" s="102">
        <f t="shared" si="2"/>
        <v>2.2684931506849315</v>
      </c>
      <c r="O4" s="98">
        <v>1</v>
      </c>
      <c r="P4" s="99">
        <v>4</v>
      </c>
      <c r="Q4" s="99"/>
      <c r="R4" s="98">
        <v>1</v>
      </c>
      <c r="S4" s="99">
        <v>1</v>
      </c>
      <c r="T4" s="99">
        <v>1</v>
      </c>
      <c r="U4" s="99" t="s">
        <v>1660</v>
      </c>
      <c r="V4" s="99" t="s">
        <v>1695</v>
      </c>
      <c r="W4" s="99">
        <v>1</v>
      </c>
      <c r="X4" s="99">
        <v>1</v>
      </c>
      <c r="Y4" s="99">
        <v>1</v>
      </c>
      <c r="Z4" s="99">
        <v>1</v>
      </c>
      <c r="AA4" s="98">
        <v>1</v>
      </c>
      <c r="AB4" s="99">
        <v>1</v>
      </c>
      <c r="AC4" s="99" t="s">
        <v>1679</v>
      </c>
      <c r="AD4" s="99">
        <v>1</v>
      </c>
      <c r="AE4" s="99">
        <v>1</v>
      </c>
      <c r="AF4" s="99">
        <v>1</v>
      </c>
      <c r="AG4" s="99">
        <v>1</v>
      </c>
      <c r="AH4" s="95">
        <v>44776</v>
      </c>
      <c r="AI4" s="95" t="str">
        <f t="shared" si="3"/>
        <v>2Y3M7D</v>
      </c>
      <c r="AJ4" s="95" t="str">
        <f t="shared" si="4"/>
        <v>2Y3M9D</v>
      </c>
      <c r="AK4" s="102">
        <f t="shared" si="5"/>
        <v>2.2684931506849315</v>
      </c>
      <c r="AL4" s="98">
        <v>1</v>
      </c>
      <c r="AM4" s="99">
        <v>1</v>
      </c>
      <c r="AN4" s="98">
        <v>1</v>
      </c>
      <c r="AO4" s="99">
        <v>1</v>
      </c>
      <c r="AP4" s="98">
        <v>1</v>
      </c>
      <c r="AQ4" s="99">
        <v>3</v>
      </c>
      <c r="AR4" s="99"/>
      <c r="AS4" s="95">
        <v>44774</v>
      </c>
      <c r="AT4" s="95" t="str">
        <f t="shared" si="6"/>
        <v>2Y3M5D</v>
      </c>
      <c r="AU4" s="95" t="str">
        <f t="shared" si="7"/>
        <v>2Y3M7D</v>
      </c>
      <c r="AV4" s="102">
        <f t="shared" si="8"/>
        <v>2.2630136986301368</v>
      </c>
      <c r="AW4" s="98">
        <v>1</v>
      </c>
      <c r="AX4" s="99"/>
      <c r="AY4" s="99" t="e">
        <f t="shared" si="9"/>
        <v>#NUM!</v>
      </c>
      <c r="AZ4" s="102" t="e">
        <f t="shared" si="10"/>
        <v>#NUM!</v>
      </c>
      <c r="BA4" s="102">
        <f t="shared" si="11"/>
        <v>-120.40547945205479</v>
      </c>
      <c r="BB4" s="99"/>
      <c r="BC4" s="95">
        <v>44776</v>
      </c>
      <c r="BD4" s="95" t="str">
        <f t="shared" si="12"/>
        <v>2Y3M7D</v>
      </c>
      <c r="BE4" s="102" t="str">
        <f t="shared" si="13"/>
        <v>2Y3M9D</v>
      </c>
      <c r="BF4" s="102">
        <f t="shared" si="14"/>
        <v>2.2684931506849315</v>
      </c>
      <c r="BG4" s="98">
        <v>1</v>
      </c>
      <c r="BH4" s="99">
        <v>0</v>
      </c>
    </row>
    <row r="5" spans="1:60" s="189" customFormat="1" ht="16">
      <c r="A5" s="99" t="s">
        <v>31</v>
      </c>
      <c r="B5" s="99">
        <v>21928650</v>
      </c>
      <c r="C5" s="99" t="s">
        <v>32</v>
      </c>
      <c r="D5" s="95">
        <v>43485</v>
      </c>
      <c r="E5" s="95">
        <v>43596</v>
      </c>
      <c r="F5" s="95">
        <v>43596</v>
      </c>
      <c r="G5" s="99" t="s">
        <v>34</v>
      </c>
      <c r="H5" s="101">
        <v>44297</v>
      </c>
      <c r="I5" s="101">
        <v>44480</v>
      </c>
      <c r="J5" s="95">
        <v>44407</v>
      </c>
      <c r="K5" s="95">
        <v>44321</v>
      </c>
      <c r="L5" s="95" t="str">
        <f t="shared" si="0"/>
        <v>2Y3M15D</v>
      </c>
      <c r="M5" s="95" t="str">
        <f t="shared" si="1"/>
        <v>1Y11M24D</v>
      </c>
      <c r="N5" s="102">
        <f t="shared" si="2"/>
        <v>1.9863013698630136</v>
      </c>
      <c r="O5" s="99">
        <v>1</v>
      </c>
      <c r="P5" s="99">
        <v>3</v>
      </c>
      <c r="Q5" s="99" t="s">
        <v>1684</v>
      </c>
      <c r="R5" s="98">
        <v>1</v>
      </c>
      <c r="S5" s="99">
        <v>1</v>
      </c>
      <c r="T5" s="99">
        <v>1</v>
      </c>
      <c r="U5" s="99" t="s">
        <v>1682</v>
      </c>
      <c r="V5" s="99" t="s">
        <v>1664</v>
      </c>
      <c r="W5" s="99">
        <v>1</v>
      </c>
      <c r="X5" s="99">
        <v>1</v>
      </c>
      <c r="Y5" s="99">
        <v>1</v>
      </c>
      <c r="Z5" s="99">
        <v>1</v>
      </c>
      <c r="AA5" s="99">
        <v>1</v>
      </c>
      <c r="AB5" s="99"/>
      <c r="AC5" s="99" t="s">
        <v>1954</v>
      </c>
      <c r="AD5" s="99">
        <v>1</v>
      </c>
      <c r="AE5" s="99">
        <v>1</v>
      </c>
      <c r="AF5" s="99">
        <v>1</v>
      </c>
      <c r="AG5" s="99">
        <v>1</v>
      </c>
      <c r="AH5" s="95">
        <v>44321</v>
      </c>
      <c r="AI5" s="95" t="str">
        <f t="shared" si="3"/>
        <v>2Y3M15D</v>
      </c>
      <c r="AJ5" s="95" t="str">
        <f t="shared" si="4"/>
        <v>1Y11M24D</v>
      </c>
      <c r="AK5" s="102">
        <f t="shared" si="5"/>
        <v>1.9863013698630136</v>
      </c>
      <c r="AL5" s="99"/>
      <c r="AM5" s="264">
        <v>1</v>
      </c>
      <c r="AN5" s="99">
        <v>1</v>
      </c>
      <c r="AO5" s="99">
        <v>1</v>
      </c>
      <c r="AP5" s="98">
        <v>1</v>
      </c>
      <c r="AQ5" s="99">
        <v>1</v>
      </c>
      <c r="AR5" s="99" t="s">
        <v>1691</v>
      </c>
      <c r="AS5" s="95">
        <v>44319</v>
      </c>
      <c r="AT5" s="95" t="str">
        <f t="shared" si="6"/>
        <v>2Y3M13D</v>
      </c>
      <c r="AU5" s="95" t="str">
        <f t="shared" si="7"/>
        <v>1Y11M22D</v>
      </c>
      <c r="AV5" s="102">
        <f t="shared" si="8"/>
        <v>1.9808219178082191</v>
      </c>
      <c r="AW5" s="99">
        <v>1</v>
      </c>
      <c r="AX5" s="95">
        <v>44320</v>
      </c>
      <c r="AY5" s="95" t="str">
        <f t="shared" si="9"/>
        <v>2Y3M14D</v>
      </c>
      <c r="AZ5" s="102" t="str">
        <f t="shared" si="10"/>
        <v>1Y11M23D</v>
      </c>
      <c r="BA5" s="102">
        <f t="shared" si="11"/>
        <v>1.9835616438356165</v>
      </c>
      <c r="BB5" s="99">
        <v>1</v>
      </c>
      <c r="BC5" s="95">
        <v>44321</v>
      </c>
      <c r="BD5" s="95" t="str">
        <f t="shared" si="12"/>
        <v>2Y3M15D</v>
      </c>
      <c r="BE5" s="102" t="str">
        <f t="shared" si="13"/>
        <v>1Y11M24D</v>
      </c>
      <c r="BF5" s="102">
        <f t="shared" si="14"/>
        <v>1.9863013698630136</v>
      </c>
      <c r="BG5" s="99">
        <v>1</v>
      </c>
      <c r="BH5" s="99">
        <v>1</v>
      </c>
    </row>
    <row r="6" spans="1:60" s="110" customFormat="1" ht="16">
      <c r="A6" s="17" t="s">
        <v>36</v>
      </c>
      <c r="B6" s="17">
        <v>16900804</v>
      </c>
      <c r="C6" s="17" t="s">
        <v>37</v>
      </c>
      <c r="D6" s="40">
        <v>43979</v>
      </c>
      <c r="E6" s="40">
        <v>43979</v>
      </c>
      <c r="F6" s="40">
        <v>43979</v>
      </c>
      <c r="G6" s="17" t="s">
        <v>39</v>
      </c>
      <c r="H6" s="75">
        <v>44679</v>
      </c>
      <c r="I6" s="75">
        <v>44862</v>
      </c>
      <c r="J6" s="40"/>
      <c r="K6" s="46" t="s">
        <v>1718</v>
      </c>
      <c r="L6" s="46" t="e">
        <f t="shared" si="0"/>
        <v>#VALUE!</v>
      </c>
      <c r="M6" s="46" t="e">
        <f t="shared" si="1"/>
        <v>#VALUE!</v>
      </c>
      <c r="N6" s="70" t="e">
        <f t="shared" si="2"/>
        <v>#VALUE!</v>
      </c>
      <c r="O6" s="17">
        <v>1</v>
      </c>
      <c r="P6" s="17"/>
      <c r="Q6" s="17"/>
      <c r="R6" s="17"/>
      <c r="S6" s="17"/>
      <c r="T6" s="17"/>
      <c r="U6" s="17"/>
      <c r="V6" s="17"/>
      <c r="W6" s="17"/>
      <c r="X6" s="17"/>
      <c r="Y6" s="17"/>
      <c r="Z6" s="17"/>
      <c r="AA6" s="17"/>
      <c r="AB6" s="17"/>
      <c r="AC6" s="17"/>
      <c r="AD6" s="17"/>
      <c r="AE6" s="17"/>
      <c r="AF6" s="17"/>
      <c r="AG6" s="17"/>
      <c r="AH6" s="40">
        <v>44972</v>
      </c>
      <c r="AI6" s="40" t="str">
        <f t="shared" si="3"/>
        <v>2Y8M18D</v>
      </c>
      <c r="AJ6" s="40" t="str">
        <f t="shared" si="4"/>
        <v>2Y8M18D</v>
      </c>
      <c r="AK6" s="21">
        <f t="shared" si="5"/>
        <v>2.7205479452054795</v>
      </c>
      <c r="AL6" s="17">
        <v>1</v>
      </c>
      <c r="AM6" s="17">
        <v>1</v>
      </c>
      <c r="AN6" s="17">
        <v>1</v>
      </c>
      <c r="AO6" s="17">
        <v>1</v>
      </c>
      <c r="AP6" s="17">
        <v>1</v>
      </c>
      <c r="AQ6" s="17">
        <v>3</v>
      </c>
      <c r="AR6" s="17"/>
      <c r="AS6" s="40">
        <v>44969</v>
      </c>
      <c r="AT6" s="40" t="str">
        <f t="shared" si="6"/>
        <v>2Y8M15D</v>
      </c>
      <c r="AU6" s="40" t="str">
        <f t="shared" si="7"/>
        <v>2Y8M15D</v>
      </c>
      <c r="AV6" s="21">
        <f t="shared" si="8"/>
        <v>2.7123287671232879</v>
      </c>
      <c r="AW6" s="17">
        <v>1</v>
      </c>
      <c r="AX6" s="17"/>
      <c r="AY6" s="17" t="e">
        <f t="shared" si="9"/>
        <v>#NUM!</v>
      </c>
      <c r="AZ6" s="21" t="e">
        <f t="shared" si="10"/>
        <v>#NUM!</v>
      </c>
      <c r="BA6" s="21">
        <f t="shared" si="11"/>
        <v>-120.49041095890411</v>
      </c>
      <c r="BB6" s="17"/>
      <c r="BC6" s="40"/>
      <c r="BD6" s="40" t="e">
        <f t="shared" si="12"/>
        <v>#NUM!</v>
      </c>
      <c r="BE6" s="21" t="e">
        <f t="shared" si="13"/>
        <v>#NUM!</v>
      </c>
      <c r="BF6" s="21">
        <f t="shared" si="14"/>
        <v>-120.49041095890411</v>
      </c>
      <c r="BG6" s="17"/>
      <c r="BH6" s="17">
        <v>0</v>
      </c>
    </row>
    <row r="7" spans="1:60" s="193" customFormat="1" ht="16">
      <c r="A7" s="63" t="s">
        <v>41</v>
      </c>
      <c r="B7" s="63">
        <v>21926441</v>
      </c>
      <c r="C7" s="63" t="s">
        <v>42</v>
      </c>
      <c r="D7" s="43">
        <v>43276</v>
      </c>
      <c r="E7" s="43">
        <v>43336</v>
      </c>
      <c r="F7" s="43">
        <v>43336</v>
      </c>
      <c r="G7" s="63" t="s">
        <v>44</v>
      </c>
      <c r="H7" s="86">
        <v>44036</v>
      </c>
      <c r="I7" s="86">
        <v>44220</v>
      </c>
      <c r="J7" s="43"/>
      <c r="K7" s="63"/>
      <c r="L7" s="63" t="e">
        <f t="shared" si="0"/>
        <v>#NUM!</v>
      </c>
      <c r="M7" s="63" t="e">
        <f t="shared" si="1"/>
        <v>#NUM!</v>
      </c>
      <c r="N7" s="72">
        <f t="shared" si="2"/>
        <v>-118.72876712328767</v>
      </c>
      <c r="O7" s="25"/>
      <c r="P7" s="25"/>
      <c r="Q7" s="25"/>
      <c r="R7" s="25"/>
      <c r="S7" s="25"/>
      <c r="T7" s="25"/>
      <c r="U7" s="25"/>
      <c r="V7" s="25"/>
      <c r="W7" s="25"/>
      <c r="X7" s="25"/>
      <c r="Y7" s="25"/>
      <c r="Z7" s="25"/>
      <c r="AA7" s="25"/>
      <c r="AB7" s="25"/>
      <c r="AC7" s="25"/>
      <c r="AD7" s="25"/>
      <c r="AE7" s="25"/>
      <c r="AF7" s="25"/>
      <c r="AG7" s="25"/>
      <c r="AH7" s="63"/>
      <c r="AI7" s="63" t="e">
        <f t="shared" si="3"/>
        <v>#NUM!</v>
      </c>
      <c r="AJ7" s="63" t="e">
        <f t="shared" si="4"/>
        <v>#NUM!</v>
      </c>
      <c r="AK7" s="72">
        <f t="shared" si="5"/>
        <v>-118.72876712328767</v>
      </c>
      <c r="AL7" s="25"/>
      <c r="AM7" s="25"/>
      <c r="AN7" s="25"/>
      <c r="AO7" s="25"/>
      <c r="AP7" s="25"/>
      <c r="AQ7" s="25"/>
      <c r="AR7" s="25"/>
      <c r="AS7" s="63"/>
      <c r="AT7" s="63" t="e">
        <f t="shared" si="6"/>
        <v>#NUM!</v>
      </c>
      <c r="AU7" s="63" t="e">
        <f t="shared" si="7"/>
        <v>#NUM!</v>
      </c>
      <c r="AV7" s="72">
        <f t="shared" si="8"/>
        <v>-118.72876712328767</v>
      </c>
      <c r="AW7" s="25"/>
      <c r="AX7" s="63"/>
      <c r="AY7" s="63" t="e">
        <f t="shared" si="9"/>
        <v>#NUM!</v>
      </c>
      <c r="AZ7" s="72" t="e">
        <f t="shared" si="10"/>
        <v>#NUM!</v>
      </c>
      <c r="BA7" s="72">
        <f t="shared" si="11"/>
        <v>-118.72876712328767</v>
      </c>
      <c r="BB7" s="25"/>
      <c r="BC7" s="63"/>
      <c r="BD7" s="63" t="e">
        <f t="shared" si="12"/>
        <v>#NUM!</v>
      </c>
      <c r="BE7" s="72" t="e">
        <f t="shared" si="13"/>
        <v>#NUM!</v>
      </c>
      <c r="BF7" s="72">
        <f t="shared" si="14"/>
        <v>-118.72876712328767</v>
      </c>
      <c r="BG7" s="25"/>
      <c r="BH7" s="63">
        <v>1</v>
      </c>
    </row>
    <row r="8" spans="1:60" s="189" customFormat="1" ht="16">
      <c r="A8" s="99" t="s">
        <v>46</v>
      </c>
      <c r="B8" s="99">
        <v>21929504</v>
      </c>
      <c r="C8" s="99" t="s">
        <v>47</v>
      </c>
      <c r="D8" s="95">
        <v>43563</v>
      </c>
      <c r="E8" s="95">
        <v>43647</v>
      </c>
      <c r="F8" s="95">
        <v>43647</v>
      </c>
      <c r="G8" s="99" t="s">
        <v>49</v>
      </c>
      <c r="H8" s="101">
        <v>44348</v>
      </c>
      <c r="I8" s="101">
        <v>44531</v>
      </c>
      <c r="J8" s="95">
        <v>44420</v>
      </c>
      <c r="K8" s="95">
        <v>44420</v>
      </c>
      <c r="L8" s="95" t="str">
        <f t="shared" si="0"/>
        <v>2Y4M4D</v>
      </c>
      <c r="M8" s="95" t="str">
        <f t="shared" si="1"/>
        <v>2Y1M11D</v>
      </c>
      <c r="N8" s="102">
        <f t="shared" si="2"/>
        <v>2.117808219178082</v>
      </c>
      <c r="O8" s="99">
        <v>1</v>
      </c>
      <c r="P8" s="99">
        <v>3</v>
      </c>
      <c r="Q8" s="99" t="s">
        <v>1665</v>
      </c>
      <c r="R8" s="98">
        <v>1</v>
      </c>
      <c r="S8" s="99">
        <v>1</v>
      </c>
      <c r="T8" s="99">
        <v>1</v>
      </c>
      <c r="U8" s="99" t="s">
        <v>1660</v>
      </c>
      <c r="V8" s="99" t="s">
        <v>1661</v>
      </c>
      <c r="W8" s="99">
        <v>1</v>
      </c>
      <c r="X8" s="99">
        <v>1</v>
      </c>
      <c r="Y8" s="99">
        <v>1</v>
      </c>
      <c r="Z8" s="99">
        <v>1</v>
      </c>
      <c r="AA8" s="99">
        <v>1</v>
      </c>
      <c r="AB8" s="99">
        <v>1</v>
      </c>
      <c r="AC8" s="99" t="s">
        <v>1704</v>
      </c>
      <c r="AD8" s="99">
        <v>1</v>
      </c>
      <c r="AE8" s="99">
        <v>1</v>
      </c>
      <c r="AF8" s="99">
        <v>1</v>
      </c>
      <c r="AG8" s="99">
        <v>1</v>
      </c>
      <c r="AH8" s="95">
        <v>44420</v>
      </c>
      <c r="AI8" s="95" t="str">
        <f t="shared" si="3"/>
        <v>2Y4M4D</v>
      </c>
      <c r="AJ8" s="95" t="str">
        <f t="shared" si="4"/>
        <v>2Y1M11D</v>
      </c>
      <c r="AK8" s="102">
        <f t="shared" si="5"/>
        <v>2.117808219178082</v>
      </c>
      <c r="AL8" s="99"/>
      <c r="AM8" s="264">
        <v>1</v>
      </c>
      <c r="AN8" s="99">
        <v>1</v>
      </c>
      <c r="AO8" s="99">
        <v>1</v>
      </c>
      <c r="AP8" s="98">
        <v>1</v>
      </c>
      <c r="AQ8" s="99">
        <v>3</v>
      </c>
      <c r="AR8" s="99"/>
      <c r="AS8" s="95">
        <v>44395</v>
      </c>
      <c r="AT8" s="95" t="str">
        <f t="shared" si="6"/>
        <v>2Y3M10D</v>
      </c>
      <c r="AU8" s="95" t="str">
        <f t="shared" si="7"/>
        <v>2Y0M17D</v>
      </c>
      <c r="AV8" s="102">
        <f t="shared" si="8"/>
        <v>2.0493150684931507</v>
      </c>
      <c r="AW8" s="99">
        <v>1</v>
      </c>
      <c r="AX8" s="95">
        <v>44397</v>
      </c>
      <c r="AY8" s="95" t="str">
        <f t="shared" si="9"/>
        <v>2Y3M12D</v>
      </c>
      <c r="AZ8" s="102" t="str">
        <f t="shared" si="10"/>
        <v>2Y0M19D</v>
      </c>
      <c r="BA8" s="102">
        <f t="shared" si="11"/>
        <v>2.0547945205479454</v>
      </c>
      <c r="BB8" s="99">
        <v>1</v>
      </c>
      <c r="BC8" s="95">
        <v>44420</v>
      </c>
      <c r="BD8" s="95" t="str">
        <f t="shared" si="12"/>
        <v>2Y4M4D</v>
      </c>
      <c r="BE8" s="102" t="str">
        <f t="shared" si="13"/>
        <v>2Y1M11D</v>
      </c>
      <c r="BF8" s="102">
        <f t="shared" si="14"/>
        <v>2.117808219178082</v>
      </c>
      <c r="BG8" s="99">
        <v>1</v>
      </c>
      <c r="BH8" s="99">
        <v>1</v>
      </c>
    </row>
    <row r="9" spans="1:60" s="189" customFormat="1" ht="16">
      <c r="A9" s="99" t="s">
        <v>51</v>
      </c>
      <c r="B9" s="99">
        <v>21929505</v>
      </c>
      <c r="C9" s="99" t="s">
        <v>52</v>
      </c>
      <c r="D9" s="95">
        <v>43563</v>
      </c>
      <c r="E9" s="95">
        <v>43647</v>
      </c>
      <c r="F9" s="95">
        <v>43647</v>
      </c>
      <c r="G9" s="99" t="s">
        <v>49</v>
      </c>
      <c r="H9" s="101">
        <v>44348</v>
      </c>
      <c r="I9" s="101">
        <v>44531</v>
      </c>
      <c r="J9" s="95">
        <v>44420</v>
      </c>
      <c r="K9" s="95">
        <v>44420</v>
      </c>
      <c r="L9" s="95" t="str">
        <f t="shared" si="0"/>
        <v>2Y4M4D</v>
      </c>
      <c r="M9" s="95" t="str">
        <f t="shared" si="1"/>
        <v>2Y1M11D</v>
      </c>
      <c r="N9" s="102">
        <f t="shared" si="2"/>
        <v>2.117808219178082</v>
      </c>
      <c r="O9" s="99">
        <v>1</v>
      </c>
      <c r="P9" s="99">
        <v>2</v>
      </c>
      <c r="Q9" s="99" t="s">
        <v>1709</v>
      </c>
      <c r="R9" s="98">
        <v>1</v>
      </c>
      <c r="S9" s="99">
        <v>1</v>
      </c>
      <c r="T9" s="99">
        <v>1</v>
      </c>
      <c r="U9" s="99" t="s">
        <v>1671</v>
      </c>
      <c r="V9" s="99" t="s">
        <v>1661</v>
      </c>
      <c r="W9" s="99">
        <v>1</v>
      </c>
      <c r="X9" s="99">
        <v>1</v>
      </c>
      <c r="Y9" s="99">
        <v>1</v>
      </c>
      <c r="Z9" s="99">
        <v>1</v>
      </c>
      <c r="AA9" s="99">
        <v>1</v>
      </c>
      <c r="AB9" s="99">
        <v>1</v>
      </c>
      <c r="AC9" s="99" t="s">
        <v>1669</v>
      </c>
      <c r="AD9" s="99">
        <v>1</v>
      </c>
      <c r="AE9" s="99">
        <v>1</v>
      </c>
      <c r="AF9" s="99">
        <v>1</v>
      </c>
      <c r="AG9" s="99">
        <v>1</v>
      </c>
      <c r="AH9" s="95">
        <v>44420</v>
      </c>
      <c r="AI9" s="95" t="str">
        <f t="shared" si="3"/>
        <v>2Y4M4D</v>
      </c>
      <c r="AJ9" s="95" t="str">
        <f t="shared" si="4"/>
        <v>2Y1M11D</v>
      </c>
      <c r="AK9" s="102">
        <f t="shared" si="5"/>
        <v>2.117808219178082</v>
      </c>
      <c r="AL9" s="99"/>
      <c r="AM9" s="264">
        <v>1</v>
      </c>
      <c r="AN9" s="99">
        <v>1</v>
      </c>
      <c r="AO9" s="99">
        <v>1</v>
      </c>
      <c r="AP9" s="98">
        <v>1</v>
      </c>
      <c r="AQ9" s="99">
        <v>3</v>
      </c>
      <c r="AR9" s="99"/>
      <c r="AS9" s="95">
        <v>44394</v>
      </c>
      <c r="AT9" s="95" t="str">
        <f t="shared" si="6"/>
        <v>2Y3M9D</v>
      </c>
      <c r="AU9" s="95" t="str">
        <f t="shared" si="7"/>
        <v>2Y0M16D</v>
      </c>
      <c r="AV9" s="102">
        <f t="shared" si="8"/>
        <v>2.0465753424657533</v>
      </c>
      <c r="AW9" s="99">
        <v>1</v>
      </c>
      <c r="AX9" s="95">
        <v>44398</v>
      </c>
      <c r="AY9" s="95" t="str">
        <f t="shared" si="9"/>
        <v>2Y3M13D</v>
      </c>
      <c r="AZ9" s="102" t="str">
        <f t="shared" si="10"/>
        <v>2Y0M20D</v>
      </c>
      <c r="BA9" s="102">
        <f t="shared" si="11"/>
        <v>2.0575342465753423</v>
      </c>
      <c r="BB9" s="99">
        <v>1</v>
      </c>
      <c r="BC9" s="95">
        <v>44420</v>
      </c>
      <c r="BD9" s="95" t="str">
        <f t="shared" si="12"/>
        <v>2Y4M4D</v>
      </c>
      <c r="BE9" s="102" t="str">
        <f t="shared" si="13"/>
        <v>2Y1M11D</v>
      </c>
      <c r="BF9" s="102">
        <f t="shared" si="14"/>
        <v>2.117808219178082</v>
      </c>
      <c r="BG9" s="99">
        <v>1</v>
      </c>
      <c r="BH9" s="99">
        <v>1</v>
      </c>
    </row>
    <row r="10" spans="1:60" s="189" customFormat="1" ht="16">
      <c r="A10" s="99" t="s">
        <v>54</v>
      </c>
      <c r="B10" s="99">
        <v>22100733</v>
      </c>
      <c r="C10" s="99" t="s">
        <v>55</v>
      </c>
      <c r="D10" s="95">
        <v>43676</v>
      </c>
      <c r="E10" s="95">
        <v>43671</v>
      </c>
      <c r="F10" s="95">
        <v>43676</v>
      </c>
      <c r="G10" s="99" t="s">
        <v>57</v>
      </c>
      <c r="H10" s="101">
        <v>44372</v>
      </c>
      <c r="I10" s="101">
        <v>44555</v>
      </c>
      <c r="J10" s="95">
        <v>44505</v>
      </c>
      <c r="K10" s="95">
        <v>44505</v>
      </c>
      <c r="L10" s="95" t="str">
        <f t="shared" si="0"/>
        <v>2Y3M6D</v>
      </c>
      <c r="M10" s="95" t="str">
        <f t="shared" si="1"/>
        <v>2Y3M11D</v>
      </c>
      <c r="N10" s="102">
        <f t="shared" si="2"/>
        <v>2.2712328767123289</v>
      </c>
      <c r="O10" s="99">
        <v>1</v>
      </c>
      <c r="P10" s="99">
        <v>3</v>
      </c>
      <c r="Q10" s="99" t="s">
        <v>1698</v>
      </c>
      <c r="R10" s="98">
        <v>1</v>
      </c>
      <c r="S10" s="99">
        <v>1</v>
      </c>
      <c r="T10" s="99">
        <v>1</v>
      </c>
      <c r="U10" s="99" t="s">
        <v>1689</v>
      </c>
      <c r="V10" s="99" t="s">
        <v>1664</v>
      </c>
      <c r="W10" s="99">
        <v>1</v>
      </c>
      <c r="X10" s="99">
        <v>1</v>
      </c>
      <c r="Y10" s="99">
        <v>1</v>
      </c>
      <c r="Z10" s="99">
        <v>1</v>
      </c>
      <c r="AA10" s="99">
        <v>1</v>
      </c>
      <c r="AB10" s="99">
        <v>1</v>
      </c>
      <c r="AC10" s="99" t="s">
        <v>1674</v>
      </c>
      <c r="AD10" s="99">
        <v>1</v>
      </c>
      <c r="AE10" s="99">
        <v>1</v>
      </c>
      <c r="AF10" s="99">
        <v>1</v>
      </c>
      <c r="AG10" s="99">
        <v>1</v>
      </c>
      <c r="AH10" s="95">
        <v>44505</v>
      </c>
      <c r="AI10" s="95" t="str">
        <f t="shared" si="3"/>
        <v>2Y3M6D</v>
      </c>
      <c r="AJ10" s="95" t="str">
        <f t="shared" si="4"/>
        <v>2Y3M11D</v>
      </c>
      <c r="AK10" s="102">
        <f t="shared" si="5"/>
        <v>2.2712328767123289</v>
      </c>
      <c r="AL10" s="99"/>
      <c r="AM10" s="264">
        <v>1</v>
      </c>
      <c r="AN10" s="99">
        <v>1</v>
      </c>
      <c r="AO10" s="99">
        <v>1</v>
      </c>
      <c r="AP10" s="98">
        <v>1</v>
      </c>
      <c r="AQ10" s="99">
        <v>2</v>
      </c>
      <c r="AR10" s="99" t="s">
        <v>1696</v>
      </c>
      <c r="AS10" s="95">
        <v>44503</v>
      </c>
      <c r="AT10" s="95" t="str">
        <f t="shared" si="6"/>
        <v>2Y3M4D</v>
      </c>
      <c r="AU10" s="95" t="str">
        <f t="shared" si="7"/>
        <v>2Y3M9D</v>
      </c>
      <c r="AV10" s="102">
        <f t="shared" si="8"/>
        <v>2.2657534246575342</v>
      </c>
      <c r="AW10" s="99">
        <v>1</v>
      </c>
      <c r="AX10" s="99"/>
      <c r="AY10" s="99" t="e">
        <f t="shared" si="9"/>
        <v>#NUM!</v>
      </c>
      <c r="AZ10" s="102" t="e">
        <f t="shared" si="10"/>
        <v>#NUM!</v>
      </c>
      <c r="BA10" s="102">
        <f t="shared" si="11"/>
        <v>-119.66027397260274</v>
      </c>
      <c r="BB10" s="99"/>
      <c r="BC10" s="95">
        <v>44505</v>
      </c>
      <c r="BD10" s="95" t="str">
        <f t="shared" si="12"/>
        <v>2Y3M6D</v>
      </c>
      <c r="BE10" s="102" t="str">
        <f t="shared" si="13"/>
        <v>2Y3M11D</v>
      </c>
      <c r="BF10" s="102">
        <f t="shared" si="14"/>
        <v>2.2712328767123289</v>
      </c>
      <c r="BG10" s="99">
        <v>1</v>
      </c>
      <c r="BH10" s="99">
        <v>0</v>
      </c>
    </row>
    <row r="11" spans="1:60" s="189" customFormat="1" ht="16">
      <c r="A11" s="99" t="s">
        <v>59</v>
      </c>
      <c r="B11" s="99">
        <v>22101152</v>
      </c>
      <c r="C11" s="99" t="s">
        <v>60</v>
      </c>
      <c r="D11" s="95">
        <v>43709</v>
      </c>
      <c r="E11" s="95">
        <v>43713</v>
      </c>
      <c r="F11" s="95">
        <v>43709</v>
      </c>
      <c r="G11" s="99" t="s">
        <v>19</v>
      </c>
      <c r="H11" s="101">
        <v>44413</v>
      </c>
      <c r="I11" s="101">
        <v>44597</v>
      </c>
      <c r="J11" s="95">
        <v>44537</v>
      </c>
      <c r="K11" s="95">
        <v>44537</v>
      </c>
      <c r="L11" s="95" t="str">
        <f t="shared" si="0"/>
        <v>2Y3M6D</v>
      </c>
      <c r="M11" s="95" t="str">
        <f t="shared" si="1"/>
        <v>2Y3M2D</v>
      </c>
      <c r="N11" s="102">
        <f t="shared" si="2"/>
        <v>2.2684931506849315</v>
      </c>
      <c r="O11" s="99">
        <v>1</v>
      </c>
      <c r="P11" s="99">
        <v>5</v>
      </c>
      <c r="Q11" s="99"/>
      <c r="R11" s="98">
        <v>1</v>
      </c>
      <c r="S11" s="99">
        <v>1</v>
      </c>
      <c r="T11" s="99">
        <v>1</v>
      </c>
      <c r="U11" s="99" t="s">
        <v>1674</v>
      </c>
      <c r="V11" s="99" t="s">
        <v>1664</v>
      </c>
      <c r="W11" s="99">
        <v>1</v>
      </c>
      <c r="X11" s="99">
        <v>1</v>
      </c>
      <c r="Y11" s="99">
        <v>1</v>
      </c>
      <c r="Z11" s="99">
        <v>1</v>
      </c>
      <c r="AA11" s="99">
        <v>1</v>
      </c>
      <c r="AB11" s="99">
        <v>1</v>
      </c>
      <c r="AC11" s="99" t="s">
        <v>1673</v>
      </c>
      <c r="AD11" s="99">
        <v>1</v>
      </c>
      <c r="AE11" s="99">
        <v>1</v>
      </c>
      <c r="AF11" s="99">
        <v>1</v>
      </c>
      <c r="AG11" s="99">
        <v>1</v>
      </c>
      <c r="AH11" s="95">
        <v>44581</v>
      </c>
      <c r="AI11" s="95" t="str">
        <f t="shared" si="3"/>
        <v>2Y4M19D</v>
      </c>
      <c r="AJ11" s="95" t="str">
        <f t="shared" si="4"/>
        <v>2Y4M15D</v>
      </c>
      <c r="AK11" s="102">
        <f t="shared" si="5"/>
        <v>2.3890410958904109</v>
      </c>
      <c r="AL11" s="99"/>
      <c r="AM11" s="264">
        <v>1</v>
      </c>
      <c r="AN11" s="99">
        <v>1</v>
      </c>
      <c r="AO11" s="99">
        <v>1</v>
      </c>
      <c r="AP11" s="98">
        <v>1</v>
      </c>
      <c r="AQ11" s="99">
        <v>3</v>
      </c>
      <c r="AR11" s="99"/>
      <c r="AS11" s="95">
        <v>44536</v>
      </c>
      <c r="AT11" s="95" t="str">
        <f t="shared" si="6"/>
        <v>2Y3M5D</v>
      </c>
      <c r="AU11" s="95" t="str">
        <f t="shared" si="7"/>
        <v>2Y3M1D</v>
      </c>
      <c r="AV11" s="102">
        <f t="shared" si="8"/>
        <v>2.2657534246575342</v>
      </c>
      <c r="AW11" s="99">
        <v>1</v>
      </c>
      <c r="AX11" s="99"/>
      <c r="AY11" s="99" t="e">
        <f t="shared" si="9"/>
        <v>#NUM!</v>
      </c>
      <c r="AZ11" s="102" t="e">
        <f t="shared" si="10"/>
        <v>#NUM!</v>
      </c>
      <c r="BA11" s="102">
        <f t="shared" si="11"/>
        <v>-119.75068493150685</v>
      </c>
      <c r="BB11" s="99"/>
      <c r="BC11" s="95">
        <v>44537</v>
      </c>
      <c r="BD11" s="95" t="str">
        <f t="shared" si="12"/>
        <v>2Y3M6D</v>
      </c>
      <c r="BE11" s="102" t="str">
        <f t="shared" si="13"/>
        <v>2Y3M2D</v>
      </c>
      <c r="BF11" s="102">
        <f t="shared" si="14"/>
        <v>2.2684931506849315</v>
      </c>
      <c r="BG11" s="99">
        <v>1</v>
      </c>
      <c r="BH11" s="99">
        <v>1</v>
      </c>
    </row>
    <row r="12" spans="1:60" s="193" customFormat="1" ht="16">
      <c r="A12" s="63" t="s">
        <v>63</v>
      </c>
      <c r="B12" s="63">
        <v>22140400</v>
      </c>
      <c r="C12" s="63" t="s">
        <v>64</v>
      </c>
      <c r="D12" s="43">
        <v>43493</v>
      </c>
      <c r="E12" s="43">
        <v>43554</v>
      </c>
      <c r="F12" s="43">
        <v>43554</v>
      </c>
      <c r="G12" s="63" t="s">
        <v>66</v>
      </c>
      <c r="H12" s="86">
        <v>44255</v>
      </c>
      <c r="I12" s="86">
        <v>44438</v>
      </c>
      <c r="J12" s="43"/>
      <c r="K12" s="63"/>
      <c r="L12" s="63" t="e">
        <f t="shared" si="0"/>
        <v>#NUM!</v>
      </c>
      <c r="M12" s="63" t="e">
        <f t="shared" si="1"/>
        <v>#NUM!</v>
      </c>
      <c r="N12" s="72">
        <f t="shared" si="2"/>
        <v>-119.32602739726028</v>
      </c>
      <c r="O12" s="25"/>
      <c r="P12" s="25"/>
      <c r="Q12" s="25"/>
      <c r="R12" s="25"/>
      <c r="S12" s="25"/>
      <c r="T12" s="25"/>
      <c r="U12" s="25"/>
      <c r="V12" s="25"/>
      <c r="W12" s="25"/>
      <c r="X12" s="25"/>
      <c r="Y12" s="25"/>
      <c r="Z12" s="25"/>
      <c r="AA12" s="25"/>
      <c r="AB12" s="25"/>
      <c r="AC12" s="25"/>
      <c r="AD12" s="25"/>
      <c r="AE12" s="25"/>
      <c r="AF12" s="25"/>
      <c r="AG12" s="25"/>
      <c r="AH12" s="63"/>
      <c r="AI12" s="63" t="e">
        <f t="shared" si="3"/>
        <v>#NUM!</v>
      </c>
      <c r="AJ12" s="63" t="e">
        <f t="shared" si="4"/>
        <v>#NUM!</v>
      </c>
      <c r="AK12" s="72">
        <f t="shared" si="5"/>
        <v>-119.32602739726028</v>
      </c>
      <c r="AL12" s="25"/>
      <c r="AM12" s="25"/>
      <c r="AN12" s="25"/>
      <c r="AO12" s="25"/>
      <c r="AP12" s="25"/>
      <c r="AQ12" s="25"/>
      <c r="AR12" s="25"/>
      <c r="AS12" s="63"/>
      <c r="AT12" s="63" t="e">
        <f t="shared" si="6"/>
        <v>#NUM!</v>
      </c>
      <c r="AU12" s="63" t="e">
        <f t="shared" si="7"/>
        <v>#NUM!</v>
      </c>
      <c r="AV12" s="72">
        <f t="shared" si="8"/>
        <v>-119.32602739726028</v>
      </c>
      <c r="AW12" s="25"/>
      <c r="AX12" s="63"/>
      <c r="AY12" s="63" t="e">
        <f t="shared" si="9"/>
        <v>#NUM!</v>
      </c>
      <c r="AZ12" s="72" t="e">
        <f t="shared" si="10"/>
        <v>#NUM!</v>
      </c>
      <c r="BA12" s="72">
        <f t="shared" si="11"/>
        <v>-119.32602739726028</v>
      </c>
      <c r="BB12" s="25"/>
      <c r="BC12" s="63"/>
      <c r="BD12" s="63" t="e">
        <f t="shared" si="12"/>
        <v>#NUM!</v>
      </c>
      <c r="BE12" s="72" t="e">
        <f t="shared" si="13"/>
        <v>#NUM!</v>
      </c>
      <c r="BF12" s="72">
        <f t="shared" si="14"/>
        <v>-119.32602739726028</v>
      </c>
      <c r="BG12" s="25"/>
      <c r="BH12" s="63">
        <v>1</v>
      </c>
    </row>
    <row r="13" spans="1:60" s="193" customFormat="1" ht="16">
      <c r="A13" s="63" t="s">
        <v>68</v>
      </c>
      <c r="B13" s="63">
        <v>22140401</v>
      </c>
      <c r="C13" s="63" t="s">
        <v>69</v>
      </c>
      <c r="D13" s="43">
        <v>43493</v>
      </c>
      <c r="E13" s="43">
        <v>43554</v>
      </c>
      <c r="F13" s="43">
        <v>43554</v>
      </c>
      <c r="G13" s="63" t="s">
        <v>66</v>
      </c>
      <c r="H13" s="86">
        <v>44255</v>
      </c>
      <c r="I13" s="86">
        <v>44438</v>
      </c>
      <c r="J13" s="43"/>
      <c r="K13" s="63"/>
      <c r="L13" s="63" t="e">
        <f t="shared" si="0"/>
        <v>#NUM!</v>
      </c>
      <c r="M13" s="63" t="e">
        <f t="shared" si="1"/>
        <v>#NUM!</v>
      </c>
      <c r="N13" s="72">
        <f t="shared" si="2"/>
        <v>-119.32602739726028</v>
      </c>
      <c r="O13" s="25"/>
      <c r="P13" s="25"/>
      <c r="Q13" s="25"/>
      <c r="R13" s="25"/>
      <c r="S13" s="25"/>
      <c r="T13" s="25"/>
      <c r="U13" s="25"/>
      <c r="V13" s="25"/>
      <c r="W13" s="25"/>
      <c r="X13" s="25"/>
      <c r="Y13" s="25"/>
      <c r="Z13" s="25"/>
      <c r="AA13" s="25"/>
      <c r="AB13" s="25"/>
      <c r="AC13" s="25"/>
      <c r="AD13" s="25"/>
      <c r="AE13" s="25"/>
      <c r="AF13" s="25"/>
      <c r="AG13" s="25"/>
      <c r="AH13" s="63"/>
      <c r="AI13" s="63" t="e">
        <f t="shared" si="3"/>
        <v>#NUM!</v>
      </c>
      <c r="AJ13" s="63" t="e">
        <f t="shared" si="4"/>
        <v>#NUM!</v>
      </c>
      <c r="AK13" s="72">
        <f t="shared" si="5"/>
        <v>-119.32602739726028</v>
      </c>
      <c r="AL13" s="25"/>
      <c r="AM13" s="25"/>
      <c r="AN13" s="25"/>
      <c r="AO13" s="25"/>
      <c r="AP13" s="25"/>
      <c r="AQ13" s="25"/>
      <c r="AR13" s="25"/>
      <c r="AS13" s="63"/>
      <c r="AT13" s="63" t="e">
        <f t="shared" si="6"/>
        <v>#NUM!</v>
      </c>
      <c r="AU13" s="63" t="e">
        <f t="shared" si="7"/>
        <v>#NUM!</v>
      </c>
      <c r="AV13" s="72">
        <f t="shared" si="8"/>
        <v>-119.32602739726028</v>
      </c>
      <c r="AW13" s="25"/>
      <c r="AX13" s="63"/>
      <c r="AY13" s="63" t="e">
        <f t="shared" si="9"/>
        <v>#NUM!</v>
      </c>
      <c r="AZ13" s="72" t="e">
        <f t="shared" si="10"/>
        <v>#NUM!</v>
      </c>
      <c r="BA13" s="72">
        <f t="shared" si="11"/>
        <v>-119.32602739726028</v>
      </c>
      <c r="BB13" s="25"/>
      <c r="BC13" s="63"/>
      <c r="BD13" s="63" t="e">
        <f t="shared" si="12"/>
        <v>#NUM!</v>
      </c>
      <c r="BE13" s="72" t="e">
        <f t="shared" si="13"/>
        <v>#NUM!</v>
      </c>
      <c r="BF13" s="72">
        <f t="shared" si="14"/>
        <v>-119.32602739726028</v>
      </c>
      <c r="BG13" s="25"/>
      <c r="BH13" s="63">
        <v>1</v>
      </c>
    </row>
    <row r="14" spans="1:60" s="193" customFormat="1" ht="16">
      <c r="A14" s="25" t="s">
        <v>71</v>
      </c>
      <c r="B14" s="25">
        <v>16900981</v>
      </c>
      <c r="C14" s="25" t="s">
        <v>72</v>
      </c>
      <c r="D14" s="32">
        <v>44023</v>
      </c>
      <c r="E14" s="32">
        <v>44023</v>
      </c>
      <c r="F14" s="32">
        <v>44023</v>
      </c>
      <c r="G14" s="25" t="s">
        <v>75</v>
      </c>
      <c r="H14" s="86">
        <v>44723</v>
      </c>
      <c r="I14" s="86">
        <v>44906</v>
      </c>
      <c r="J14" s="32" t="s">
        <v>1955</v>
      </c>
      <c r="K14" s="32" t="s">
        <v>1955</v>
      </c>
      <c r="L14" s="32" t="e">
        <f t="shared" si="0"/>
        <v>#VALUE!</v>
      </c>
      <c r="M14" s="32" t="e">
        <f t="shared" si="1"/>
        <v>#VALUE!</v>
      </c>
      <c r="N14" s="64" t="e">
        <f t="shared" si="2"/>
        <v>#VALUE!</v>
      </c>
      <c r="O14" s="32"/>
      <c r="P14" s="32" t="s">
        <v>1955</v>
      </c>
      <c r="Q14" s="32" t="s">
        <v>1955</v>
      </c>
      <c r="R14" s="32"/>
      <c r="S14" s="32" t="s">
        <v>1955</v>
      </c>
      <c r="T14" s="32" t="s">
        <v>1955</v>
      </c>
      <c r="U14" s="32" t="s">
        <v>1955</v>
      </c>
      <c r="V14" s="32" t="s">
        <v>1955</v>
      </c>
      <c r="W14" s="32"/>
      <c r="X14" s="32" t="s">
        <v>1955</v>
      </c>
      <c r="Y14" s="32" t="s">
        <v>1955</v>
      </c>
      <c r="Z14" s="32" t="s">
        <v>1955</v>
      </c>
      <c r="AA14" s="32" t="s">
        <v>1955</v>
      </c>
      <c r="AB14" s="32" t="s">
        <v>1955</v>
      </c>
      <c r="AC14" s="32" t="s">
        <v>1955</v>
      </c>
      <c r="AD14" s="32"/>
      <c r="AE14" s="32" t="s">
        <v>1955</v>
      </c>
      <c r="AF14" s="32"/>
      <c r="AG14" s="32" t="s">
        <v>1955</v>
      </c>
      <c r="AH14" s="32" t="s">
        <v>1955</v>
      </c>
      <c r="AI14" s="32" t="e">
        <f t="shared" si="3"/>
        <v>#VALUE!</v>
      </c>
      <c r="AJ14" s="32" t="e">
        <f t="shared" si="4"/>
        <v>#VALUE!</v>
      </c>
      <c r="AK14" s="64" t="e">
        <f t="shared" si="5"/>
        <v>#VALUE!</v>
      </c>
      <c r="AL14" s="32" t="s">
        <v>1955</v>
      </c>
      <c r="AM14" s="32" t="s">
        <v>1955</v>
      </c>
      <c r="AN14" s="32" t="s">
        <v>1955</v>
      </c>
      <c r="AO14" s="32" t="s">
        <v>1955</v>
      </c>
      <c r="AP14" s="32" t="s">
        <v>1955</v>
      </c>
      <c r="AQ14" s="32" t="s">
        <v>1955</v>
      </c>
      <c r="AR14" s="32" t="s">
        <v>1955</v>
      </c>
      <c r="AS14" s="32" t="s">
        <v>1955</v>
      </c>
      <c r="AT14" s="32" t="e">
        <f t="shared" si="6"/>
        <v>#VALUE!</v>
      </c>
      <c r="AU14" s="32" t="e">
        <f t="shared" si="7"/>
        <v>#VALUE!</v>
      </c>
      <c r="AV14" s="64" t="e">
        <f t="shared" si="8"/>
        <v>#VALUE!</v>
      </c>
      <c r="AW14" s="32" t="s">
        <v>1955</v>
      </c>
      <c r="AX14" s="32" t="s">
        <v>1955</v>
      </c>
      <c r="AY14" s="32" t="e">
        <f t="shared" si="9"/>
        <v>#VALUE!</v>
      </c>
      <c r="AZ14" s="64" t="e">
        <f t="shared" si="10"/>
        <v>#VALUE!</v>
      </c>
      <c r="BA14" s="64" t="e">
        <f t="shared" si="11"/>
        <v>#VALUE!</v>
      </c>
      <c r="BB14" s="32" t="s">
        <v>1955</v>
      </c>
      <c r="BC14" s="32" t="s">
        <v>1955</v>
      </c>
      <c r="BD14" s="32" t="e">
        <f t="shared" si="12"/>
        <v>#VALUE!</v>
      </c>
      <c r="BE14" s="64" t="e">
        <f t="shared" si="13"/>
        <v>#VALUE!</v>
      </c>
      <c r="BF14" s="64" t="e">
        <f t="shared" si="14"/>
        <v>#VALUE!</v>
      </c>
      <c r="BG14" s="32" t="s">
        <v>1955</v>
      </c>
      <c r="BH14" s="25">
        <v>1</v>
      </c>
    </row>
    <row r="15" spans="1:60" s="189" customFormat="1" ht="16">
      <c r="A15" s="99" t="s">
        <v>77</v>
      </c>
      <c r="B15" s="99">
        <v>21928109</v>
      </c>
      <c r="C15" s="99" t="s">
        <v>78</v>
      </c>
      <c r="D15" s="95">
        <v>43434</v>
      </c>
      <c r="E15" s="95">
        <v>43532</v>
      </c>
      <c r="F15" s="95">
        <v>43532</v>
      </c>
      <c r="G15" s="99" t="s">
        <v>80</v>
      </c>
      <c r="H15" s="101">
        <v>44235</v>
      </c>
      <c r="I15" s="101">
        <v>44416</v>
      </c>
      <c r="J15" s="95">
        <v>44487</v>
      </c>
      <c r="K15" s="95">
        <v>44272</v>
      </c>
      <c r="L15" s="95" t="str">
        <f t="shared" si="0"/>
        <v>2Y3M15D</v>
      </c>
      <c r="M15" s="95" t="str">
        <f t="shared" si="1"/>
        <v>2Y0M9D</v>
      </c>
      <c r="N15" s="102">
        <f t="shared" si="2"/>
        <v>2.0273972602739727</v>
      </c>
      <c r="O15" s="99">
        <v>1</v>
      </c>
      <c r="P15" s="99">
        <v>5</v>
      </c>
      <c r="Q15" s="99"/>
      <c r="R15" s="98">
        <v>1</v>
      </c>
      <c r="S15" s="99">
        <v>1</v>
      </c>
      <c r="T15" s="99">
        <v>1</v>
      </c>
      <c r="U15" s="99" t="s">
        <v>1711</v>
      </c>
      <c r="V15" s="99" t="s">
        <v>1664</v>
      </c>
      <c r="W15" s="99">
        <v>1</v>
      </c>
      <c r="X15" s="99">
        <v>1</v>
      </c>
      <c r="Y15" s="99">
        <v>1</v>
      </c>
      <c r="Z15" s="99">
        <v>1</v>
      </c>
      <c r="AA15" s="99">
        <v>1</v>
      </c>
      <c r="AB15" s="99">
        <v>1</v>
      </c>
      <c r="AC15" s="99" t="s">
        <v>1682</v>
      </c>
      <c r="AD15" s="99">
        <v>1</v>
      </c>
      <c r="AE15" s="99">
        <v>1</v>
      </c>
      <c r="AF15" s="99">
        <v>1</v>
      </c>
      <c r="AG15" s="99">
        <v>1</v>
      </c>
      <c r="AH15" s="96">
        <v>44307</v>
      </c>
      <c r="AI15" s="96" t="str">
        <f t="shared" si="3"/>
        <v>2Y4M22D</v>
      </c>
      <c r="AJ15" s="96" t="str">
        <f t="shared" si="4"/>
        <v>2Y1M13D</v>
      </c>
      <c r="AK15" s="103">
        <f t="shared" si="5"/>
        <v>2.1232876712328768</v>
      </c>
      <c r="AL15" s="99"/>
      <c r="AM15" s="264">
        <v>1</v>
      </c>
      <c r="AN15" s="99">
        <v>1</v>
      </c>
      <c r="AO15" s="99">
        <v>1</v>
      </c>
      <c r="AP15" s="99">
        <v>1</v>
      </c>
      <c r="AQ15" s="99">
        <v>3</v>
      </c>
      <c r="AR15" s="99"/>
      <c r="AS15" s="95">
        <v>44264</v>
      </c>
      <c r="AT15" s="95" t="str">
        <f t="shared" si="6"/>
        <v>2Y3M7D</v>
      </c>
      <c r="AU15" s="95" t="str">
        <f t="shared" si="7"/>
        <v>2Y0M1D</v>
      </c>
      <c r="AV15" s="102">
        <f t="shared" si="8"/>
        <v>2.0054794520547947</v>
      </c>
      <c r="AW15" s="99">
        <v>1</v>
      </c>
      <c r="AX15" s="95">
        <v>44264</v>
      </c>
      <c r="AY15" s="95" t="str">
        <f t="shared" si="9"/>
        <v>2Y3M7D</v>
      </c>
      <c r="AZ15" s="102" t="str">
        <f t="shared" si="10"/>
        <v>2Y0M1D</v>
      </c>
      <c r="BA15" s="102">
        <f t="shared" si="11"/>
        <v>2.0054794520547947</v>
      </c>
      <c r="BB15" s="99">
        <v>1</v>
      </c>
      <c r="BC15" s="95">
        <v>44272</v>
      </c>
      <c r="BD15" s="95" t="str">
        <f t="shared" si="12"/>
        <v>2Y3M15D</v>
      </c>
      <c r="BE15" s="102" t="str">
        <f t="shared" si="13"/>
        <v>2Y0M9D</v>
      </c>
      <c r="BF15" s="102">
        <f t="shared" si="14"/>
        <v>2.0273972602739727</v>
      </c>
      <c r="BG15" s="99">
        <v>1</v>
      </c>
      <c r="BH15" s="99">
        <v>1</v>
      </c>
    </row>
    <row r="16" spans="1:60" s="110" customFormat="1" ht="16">
      <c r="A16" s="17" t="s">
        <v>82</v>
      </c>
      <c r="B16" s="17">
        <v>22104301</v>
      </c>
      <c r="C16" s="17" t="s">
        <v>83</v>
      </c>
      <c r="D16" s="40">
        <v>43999</v>
      </c>
      <c r="E16" s="40">
        <v>44058</v>
      </c>
      <c r="F16" s="40">
        <v>44058</v>
      </c>
      <c r="G16" s="17" t="s">
        <v>85</v>
      </c>
      <c r="H16" s="75">
        <v>44757</v>
      </c>
      <c r="I16" s="75">
        <v>44941</v>
      </c>
      <c r="J16" s="40">
        <v>44860</v>
      </c>
      <c r="K16" s="40">
        <v>44860</v>
      </c>
      <c r="L16" s="40" t="str">
        <f t="shared" si="0"/>
        <v>2Y4M9D</v>
      </c>
      <c r="M16" s="40" t="str">
        <f t="shared" si="1"/>
        <v>2Y2M11D</v>
      </c>
      <c r="N16" s="21">
        <f t="shared" si="2"/>
        <v>2.1972602739726028</v>
      </c>
      <c r="O16" s="17">
        <v>1</v>
      </c>
      <c r="P16" s="17">
        <v>3</v>
      </c>
      <c r="Q16" s="17"/>
      <c r="R16" s="17">
        <v>1</v>
      </c>
      <c r="S16" s="17">
        <v>1</v>
      </c>
      <c r="T16" s="17">
        <v>1</v>
      </c>
      <c r="U16" s="17" t="s">
        <v>1956</v>
      </c>
      <c r="V16" s="17" t="s">
        <v>1957</v>
      </c>
      <c r="W16" s="17">
        <v>1</v>
      </c>
      <c r="X16" s="17">
        <v>1</v>
      </c>
      <c r="Y16" s="17">
        <v>1</v>
      </c>
      <c r="Z16" s="17">
        <v>1</v>
      </c>
      <c r="AA16" s="17">
        <v>1</v>
      </c>
      <c r="AB16" s="17">
        <v>1</v>
      </c>
      <c r="AC16" s="17" t="s">
        <v>1958</v>
      </c>
      <c r="AD16" s="17">
        <v>1</v>
      </c>
      <c r="AE16" s="17">
        <v>1</v>
      </c>
      <c r="AF16" s="17">
        <v>1</v>
      </c>
      <c r="AG16" s="17">
        <v>1</v>
      </c>
      <c r="AH16" s="40">
        <v>44860</v>
      </c>
      <c r="AI16" s="40" t="str">
        <f t="shared" si="3"/>
        <v>2Y4M9D</v>
      </c>
      <c r="AJ16" s="40" t="str">
        <f t="shared" si="4"/>
        <v>2Y2M11D</v>
      </c>
      <c r="AK16" s="21">
        <f t="shared" si="5"/>
        <v>2.1972602739726028</v>
      </c>
      <c r="AL16" s="17">
        <v>1</v>
      </c>
      <c r="AM16" s="17">
        <v>1</v>
      </c>
      <c r="AN16" s="17">
        <v>1</v>
      </c>
      <c r="AO16" s="17">
        <v>1</v>
      </c>
      <c r="AP16" s="17">
        <v>1</v>
      </c>
      <c r="AQ16" s="17">
        <v>3</v>
      </c>
      <c r="AR16" s="17"/>
      <c r="AS16" s="40">
        <v>44853</v>
      </c>
      <c r="AT16" s="40" t="str">
        <f t="shared" si="6"/>
        <v>2Y4M2D</v>
      </c>
      <c r="AU16" s="40" t="str">
        <f t="shared" si="7"/>
        <v>2Y2M4D</v>
      </c>
      <c r="AV16" s="21">
        <f t="shared" si="8"/>
        <v>2.1780821917808217</v>
      </c>
      <c r="AW16" s="17"/>
      <c r="AX16" s="40">
        <v>44858</v>
      </c>
      <c r="AY16" s="40" t="str">
        <f t="shared" si="9"/>
        <v>2Y4M7D</v>
      </c>
      <c r="AZ16" s="21" t="str">
        <f t="shared" si="10"/>
        <v>2Y2M9D</v>
      </c>
      <c r="BA16" s="21">
        <f t="shared" si="11"/>
        <v>2.1917808219178081</v>
      </c>
      <c r="BB16" s="17">
        <v>1</v>
      </c>
      <c r="BC16" s="46" t="s">
        <v>1720</v>
      </c>
      <c r="BD16" s="46" t="e">
        <f t="shared" si="12"/>
        <v>#VALUE!</v>
      </c>
      <c r="BE16" s="70" t="e">
        <f t="shared" si="13"/>
        <v>#VALUE!</v>
      </c>
      <c r="BF16" s="70" t="e">
        <f t="shared" si="14"/>
        <v>#VALUE!</v>
      </c>
      <c r="BG16" s="17"/>
      <c r="BH16" s="17">
        <v>1</v>
      </c>
    </row>
    <row r="17" spans="1:60" s="193" customFormat="1" ht="16">
      <c r="A17" s="63" t="s">
        <v>87</v>
      </c>
      <c r="B17" s="63">
        <v>21929043</v>
      </c>
      <c r="C17" s="63" t="s">
        <v>88</v>
      </c>
      <c r="D17" s="43">
        <v>43521</v>
      </c>
      <c r="E17" s="43">
        <v>43521</v>
      </c>
      <c r="F17" s="43">
        <v>43521</v>
      </c>
      <c r="G17" s="63" t="s">
        <v>90</v>
      </c>
      <c r="H17" s="86">
        <v>44221</v>
      </c>
      <c r="I17" s="86">
        <v>44402</v>
      </c>
      <c r="J17" s="43"/>
      <c r="K17" s="63"/>
      <c r="L17" s="63" t="e">
        <f t="shared" si="0"/>
        <v>#NUM!</v>
      </c>
      <c r="M17" s="63" t="e">
        <f t="shared" si="1"/>
        <v>#NUM!</v>
      </c>
      <c r="N17" s="72">
        <f t="shared" si="2"/>
        <v>-119.23561643835616</v>
      </c>
      <c r="O17" s="25"/>
      <c r="P17" s="25"/>
      <c r="Q17" s="25"/>
      <c r="R17" s="25"/>
      <c r="S17" s="25"/>
      <c r="T17" s="25"/>
      <c r="U17" s="25"/>
      <c r="V17" s="25"/>
      <c r="W17" s="25"/>
      <c r="X17" s="25"/>
      <c r="Y17" s="25"/>
      <c r="Z17" s="25"/>
      <c r="AA17" s="25"/>
      <c r="AB17" s="25"/>
      <c r="AC17" s="25"/>
      <c r="AD17" s="25"/>
      <c r="AE17" s="25"/>
      <c r="AF17" s="25"/>
      <c r="AG17" s="25"/>
      <c r="AH17" s="63"/>
      <c r="AI17" s="63" t="e">
        <f t="shared" si="3"/>
        <v>#NUM!</v>
      </c>
      <c r="AJ17" s="63" t="e">
        <f t="shared" si="4"/>
        <v>#NUM!</v>
      </c>
      <c r="AK17" s="72">
        <f t="shared" si="5"/>
        <v>-119.23561643835616</v>
      </c>
      <c r="AL17" s="25"/>
      <c r="AM17" s="25"/>
      <c r="AN17" s="25"/>
      <c r="AO17" s="25"/>
      <c r="AP17" s="25"/>
      <c r="AQ17" s="25"/>
      <c r="AR17" s="25"/>
      <c r="AS17" s="63"/>
      <c r="AT17" s="63" t="e">
        <f t="shared" si="6"/>
        <v>#NUM!</v>
      </c>
      <c r="AU17" s="63" t="e">
        <f t="shared" si="7"/>
        <v>#NUM!</v>
      </c>
      <c r="AV17" s="72">
        <f t="shared" si="8"/>
        <v>-119.23561643835616</v>
      </c>
      <c r="AW17" s="25"/>
      <c r="AX17" s="63"/>
      <c r="AY17" s="63" t="e">
        <f t="shared" si="9"/>
        <v>#NUM!</v>
      </c>
      <c r="AZ17" s="72" t="e">
        <f t="shared" si="10"/>
        <v>#NUM!</v>
      </c>
      <c r="BA17" s="72">
        <f t="shared" si="11"/>
        <v>-119.23561643835616</v>
      </c>
      <c r="BB17" s="25"/>
      <c r="BC17" s="63"/>
      <c r="BD17" s="63" t="e">
        <f t="shared" si="12"/>
        <v>#NUM!</v>
      </c>
      <c r="BE17" s="72" t="e">
        <f t="shared" si="13"/>
        <v>#NUM!</v>
      </c>
      <c r="BF17" s="72">
        <f t="shared" si="14"/>
        <v>-119.23561643835616</v>
      </c>
      <c r="BG17" s="25"/>
      <c r="BH17" s="63">
        <v>1</v>
      </c>
    </row>
    <row r="18" spans="1:60" s="193" customFormat="1" ht="16">
      <c r="A18" s="25" t="s">
        <v>92</v>
      </c>
      <c r="B18" s="25">
        <v>22104128</v>
      </c>
      <c r="C18" s="25" t="s">
        <v>93</v>
      </c>
      <c r="D18" s="32">
        <v>43981</v>
      </c>
      <c r="E18" s="32">
        <v>44058</v>
      </c>
      <c r="F18" s="32">
        <v>44058</v>
      </c>
      <c r="G18" s="25" t="s">
        <v>95</v>
      </c>
      <c r="H18" s="86">
        <v>44757</v>
      </c>
      <c r="I18" s="86">
        <v>44941</v>
      </c>
      <c r="J18" s="32"/>
      <c r="K18" s="32"/>
      <c r="L18" s="32" t="e">
        <f t="shared" si="0"/>
        <v>#NUM!</v>
      </c>
      <c r="M18" s="32" t="e">
        <f t="shared" si="1"/>
        <v>#NUM!</v>
      </c>
      <c r="N18" s="64">
        <f t="shared" si="2"/>
        <v>-120.7068493150685</v>
      </c>
      <c r="O18" s="25"/>
      <c r="P18" s="25"/>
      <c r="Q18" s="25"/>
      <c r="R18" s="25"/>
      <c r="S18" s="25"/>
      <c r="T18" s="25"/>
      <c r="U18" s="25"/>
      <c r="V18" s="25"/>
      <c r="W18" s="25"/>
      <c r="X18" s="25"/>
      <c r="Y18" s="25"/>
      <c r="Z18" s="25"/>
      <c r="AA18" s="25"/>
      <c r="AB18" s="25"/>
      <c r="AC18" s="25"/>
      <c r="AD18" s="25"/>
      <c r="AE18" s="25"/>
      <c r="AF18" s="25"/>
      <c r="AG18" s="25"/>
      <c r="AH18" s="32"/>
      <c r="AI18" s="32" t="e">
        <f t="shared" si="3"/>
        <v>#NUM!</v>
      </c>
      <c r="AJ18" s="32" t="e">
        <f t="shared" si="4"/>
        <v>#NUM!</v>
      </c>
      <c r="AK18" s="64">
        <f t="shared" si="5"/>
        <v>-120.7068493150685</v>
      </c>
      <c r="AL18" s="25"/>
      <c r="AM18" s="25"/>
      <c r="AN18" s="25"/>
      <c r="AO18" s="25"/>
      <c r="AP18" s="25"/>
      <c r="AQ18" s="25"/>
      <c r="AR18" s="25"/>
      <c r="AS18" s="32"/>
      <c r="AT18" s="32" t="e">
        <f t="shared" si="6"/>
        <v>#NUM!</v>
      </c>
      <c r="AU18" s="32" t="e">
        <f t="shared" si="7"/>
        <v>#NUM!</v>
      </c>
      <c r="AV18" s="64">
        <f t="shared" si="8"/>
        <v>-120.7068493150685</v>
      </c>
      <c r="AW18" s="25"/>
      <c r="AX18" s="32"/>
      <c r="AY18" s="32" t="e">
        <f t="shared" si="9"/>
        <v>#NUM!</v>
      </c>
      <c r="AZ18" s="64" t="e">
        <f t="shared" si="10"/>
        <v>#NUM!</v>
      </c>
      <c r="BA18" s="64">
        <f t="shared" si="11"/>
        <v>-120.7068493150685</v>
      </c>
      <c r="BB18" s="25"/>
      <c r="BC18" s="32"/>
      <c r="BD18" s="32" t="e">
        <f t="shared" si="12"/>
        <v>#NUM!</v>
      </c>
      <c r="BE18" s="64" t="e">
        <f t="shared" si="13"/>
        <v>#NUM!</v>
      </c>
      <c r="BF18" s="64">
        <f t="shared" si="14"/>
        <v>-120.7068493150685</v>
      </c>
      <c r="BG18" s="25"/>
      <c r="BH18" s="25">
        <v>1</v>
      </c>
    </row>
    <row r="19" spans="1:60" s="193" customFormat="1" ht="16">
      <c r="A19" s="26" t="s">
        <v>97</v>
      </c>
      <c r="B19" s="26">
        <v>22104135</v>
      </c>
      <c r="C19" s="26" t="s">
        <v>98</v>
      </c>
      <c r="D19" s="67">
        <v>43981</v>
      </c>
      <c r="E19" s="67">
        <v>44050</v>
      </c>
      <c r="F19" s="67">
        <v>44050</v>
      </c>
      <c r="G19" s="26" t="s">
        <v>100</v>
      </c>
      <c r="H19" s="86">
        <v>44749</v>
      </c>
      <c r="I19" s="86">
        <v>44933</v>
      </c>
      <c r="J19" s="67"/>
      <c r="K19" s="67"/>
      <c r="L19" s="67" t="e">
        <f t="shared" si="0"/>
        <v>#NUM!</v>
      </c>
      <c r="M19" s="67" t="e">
        <f t="shared" si="1"/>
        <v>#NUM!</v>
      </c>
      <c r="N19" s="74">
        <f t="shared" si="2"/>
        <v>-120.68493150684931</v>
      </c>
      <c r="O19" s="25"/>
      <c r="P19" s="25"/>
      <c r="Q19" s="25"/>
      <c r="R19" s="25"/>
      <c r="S19" s="25"/>
      <c r="T19" s="25"/>
      <c r="U19" s="25"/>
      <c r="V19" s="25"/>
      <c r="W19" s="25"/>
      <c r="X19" s="25"/>
      <c r="Y19" s="25"/>
      <c r="Z19" s="25"/>
      <c r="AA19" s="25"/>
      <c r="AB19" s="25"/>
      <c r="AC19" s="25"/>
      <c r="AD19" s="25"/>
      <c r="AE19" s="25"/>
      <c r="AF19" s="25"/>
      <c r="AG19" s="25"/>
      <c r="AH19" s="67"/>
      <c r="AI19" s="67" t="e">
        <f t="shared" si="3"/>
        <v>#NUM!</v>
      </c>
      <c r="AJ19" s="67" t="e">
        <f t="shared" si="4"/>
        <v>#NUM!</v>
      </c>
      <c r="AK19" s="74">
        <f t="shared" si="5"/>
        <v>-120.68493150684931</v>
      </c>
      <c r="AL19" s="25"/>
      <c r="AM19" s="25"/>
      <c r="AN19" s="25"/>
      <c r="AO19" s="25"/>
      <c r="AP19" s="25"/>
      <c r="AQ19" s="25"/>
      <c r="AR19" s="25"/>
      <c r="AS19" s="67"/>
      <c r="AT19" s="67" t="e">
        <f t="shared" si="6"/>
        <v>#NUM!</v>
      </c>
      <c r="AU19" s="67" t="e">
        <f t="shared" si="7"/>
        <v>#NUM!</v>
      </c>
      <c r="AV19" s="74">
        <f t="shared" si="8"/>
        <v>-120.68493150684931</v>
      </c>
      <c r="AW19" s="25"/>
      <c r="AX19" s="26"/>
      <c r="AY19" s="26" t="e">
        <f t="shared" si="9"/>
        <v>#NUM!</v>
      </c>
      <c r="AZ19" s="74" t="e">
        <f t="shared" si="10"/>
        <v>#NUM!</v>
      </c>
      <c r="BA19" s="74">
        <f t="shared" si="11"/>
        <v>-120.68493150684931</v>
      </c>
      <c r="BB19" s="25"/>
      <c r="BC19" s="67"/>
      <c r="BD19" s="67" t="e">
        <f t="shared" si="12"/>
        <v>#NUM!</v>
      </c>
      <c r="BE19" s="74" t="e">
        <f t="shared" si="13"/>
        <v>#NUM!</v>
      </c>
      <c r="BF19" s="74">
        <f t="shared" si="14"/>
        <v>-120.68493150684931</v>
      </c>
      <c r="BG19" s="25"/>
      <c r="BH19" s="26">
        <v>1</v>
      </c>
    </row>
    <row r="20" spans="1:60" s="193" customFormat="1" ht="16">
      <c r="A20" s="26" t="s">
        <v>102</v>
      </c>
      <c r="B20" s="26">
        <v>22243391</v>
      </c>
      <c r="C20" s="26" t="s">
        <v>103</v>
      </c>
      <c r="D20" s="67">
        <v>44009</v>
      </c>
      <c r="E20" s="67">
        <v>44069</v>
      </c>
      <c r="F20" s="67">
        <v>44069</v>
      </c>
      <c r="G20" s="26" t="s">
        <v>105</v>
      </c>
      <c r="H20" s="86">
        <v>44768</v>
      </c>
      <c r="I20" s="86">
        <v>44952</v>
      </c>
      <c r="J20" s="67"/>
      <c r="K20" s="67"/>
      <c r="L20" s="67" t="e">
        <f t="shared" si="0"/>
        <v>#NUM!</v>
      </c>
      <c r="M20" s="67" t="e">
        <f t="shared" si="1"/>
        <v>#NUM!</v>
      </c>
      <c r="N20" s="74">
        <f t="shared" si="2"/>
        <v>-120.73698630136987</v>
      </c>
      <c r="O20" s="26"/>
      <c r="P20" s="26"/>
      <c r="Q20" s="67"/>
      <c r="R20" s="67"/>
      <c r="S20" s="26"/>
      <c r="T20" s="26"/>
      <c r="U20" s="67"/>
      <c r="V20" s="26"/>
      <c r="W20" s="26"/>
      <c r="X20" s="26"/>
      <c r="Y20" s="26"/>
      <c r="Z20" s="26"/>
      <c r="AA20" s="26"/>
      <c r="AB20" s="26"/>
      <c r="AC20" s="26"/>
      <c r="AD20" s="26"/>
      <c r="AE20" s="26"/>
      <c r="AF20" s="26"/>
      <c r="AG20" s="26"/>
      <c r="AH20" s="67"/>
      <c r="AI20" s="67" t="e">
        <f t="shared" si="3"/>
        <v>#NUM!</v>
      </c>
      <c r="AJ20" s="67" t="e">
        <f t="shared" si="4"/>
        <v>#NUM!</v>
      </c>
      <c r="AK20" s="74">
        <f t="shared" si="5"/>
        <v>-120.73698630136987</v>
      </c>
      <c r="AL20" s="26"/>
      <c r="AM20" s="26"/>
      <c r="AN20" s="26"/>
      <c r="AO20" s="26"/>
      <c r="AP20" s="26"/>
      <c r="AQ20" s="26"/>
      <c r="AR20" s="26"/>
      <c r="AS20" s="67"/>
      <c r="AT20" s="67" t="e">
        <f t="shared" si="6"/>
        <v>#NUM!</v>
      </c>
      <c r="AU20" s="67" t="e">
        <f t="shared" si="7"/>
        <v>#NUM!</v>
      </c>
      <c r="AV20" s="74">
        <f t="shared" si="8"/>
        <v>-120.73698630136987</v>
      </c>
      <c r="AW20" s="26"/>
      <c r="AX20" s="26"/>
      <c r="AY20" s="26" t="e">
        <f t="shared" si="9"/>
        <v>#NUM!</v>
      </c>
      <c r="AZ20" s="74" t="e">
        <f t="shared" si="10"/>
        <v>#NUM!</v>
      </c>
      <c r="BA20" s="74">
        <f t="shared" si="11"/>
        <v>-120.73698630136987</v>
      </c>
      <c r="BB20" s="26"/>
      <c r="BC20" s="67"/>
      <c r="BD20" s="67" t="e">
        <f t="shared" si="12"/>
        <v>#NUM!</v>
      </c>
      <c r="BE20" s="74" t="e">
        <f t="shared" si="13"/>
        <v>#NUM!</v>
      </c>
      <c r="BF20" s="74">
        <f t="shared" si="14"/>
        <v>-120.73698630136987</v>
      </c>
      <c r="BG20" s="26"/>
      <c r="BH20" s="26">
        <v>1</v>
      </c>
    </row>
    <row r="21" spans="1:60" s="193" customFormat="1" ht="16">
      <c r="A21" s="26" t="s">
        <v>107</v>
      </c>
      <c r="B21" s="26">
        <v>22103984</v>
      </c>
      <c r="C21" s="26" t="s">
        <v>108</v>
      </c>
      <c r="D21" s="67">
        <v>43964</v>
      </c>
      <c r="E21" s="67">
        <v>43970</v>
      </c>
      <c r="F21" s="67">
        <v>43964</v>
      </c>
      <c r="G21" s="26" t="s">
        <v>110</v>
      </c>
      <c r="H21" s="86">
        <v>44670</v>
      </c>
      <c r="I21" s="86">
        <v>44853</v>
      </c>
      <c r="J21" s="67"/>
      <c r="K21" s="67"/>
      <c r="L21" s="67" t="e">
        <f t="shared" si="0"/>
        <v>#NUM!</v>
      </c>
      <c r="M21" s="67" t="e">
        <f t="shared" si="1"/>
        <v>#NUM!</v>
      </c>
      <c r="N21" s="74">
        <f t="shared" si="2"/>
        <v>-120.44931506849315</v>
      </c>
      <c r="O21" s="26"/>
      <c r="P21" s="26"/>
      <c r="Q21" s="26"/>
      <c r="R21" s="26"/>
      <c r="S21" s="26"/>
      <c r="T21" s="26"/>
      <c r="U21" s="26"/>
      <c r="V21" s="26"/>
      <c r="W21" s="26"/>
      <c r="X21" s="26"/>
      <c r="Y21" s="26"/>
      <c r="Z21" s="26"/>
      <c r="AA21" s="26"/>
      <c r="AB21" s="26"/>
      <c r="AC21" s="26"/>
      <c r="AD21" s="26"/>
      <c r="AE21" s="26"/>
      <c r="AF21" s="26"/>
      <c r="AG21" s="26"/>
      <c r="AH21" s="67"/>
      <c r="AI21" s="67" t="e">
        <f t="shared" si="3"/>
        <v>#NUM!</v>
      </c>
      <c r="AJ21" s="67" t="e">
        <f t="shared" si="4"/>
        <v>#NUM!</v>
      </c>
      <c r="AK21" s="74">
        <f t="shared" si="5"/>
        <v>-120.44931506849315</v>
      </c>
      <c r="AL21" s="26"/>
      <c r="AM21" s="26"/>
      <c r="AN21" s="26"/>
      <c r="AO21" s="26"/>
      <c r="AP21" s="26"/>
      <c r="AQ21" s="26"/>
      <c r="AR21" s="26"/>
      <c r="AS21" s="67"/>
      <c r="AT21" s="67" t="e">
        <f t="shared" si="6"/>
        <v>#NUM!</v>
      </c>
      <c r="AU21" s="67" t="e">
        <f t="shared" si="7"/>
        <v>#NUM!</v>
      </c>
      <c r="AV21" s="74">
        <f t="shared" si="8"/>
        <v>-120.44931506849315</v>
      </c>
      <c r="AW21" s="26"/>
      <c r="AX21" s="26"/>
      <c r="AY21" s="26" t="e">
        <f t="shared" si="9"/>
        <v>#NUM!</v>
      </c>
      <c r="AZ21" s="74" t="e">
        <f t="shared" si="10"/>
        <v>#NUM!</v>
      </c>
      <c r="BA21" s="74">
        <f t="shared" si="11"/>
        <v>-120.44931506849315</v>
      </c>
      <c r="BB21" s="26"/>
      <c r="BC21" s="67"/>
      <c r="BD21" s="67" t="e">
        <f t="shared" si="12"/>
        <v>#NUM!</v>
      </c>
      <c r="BE21" s="74" t="e">
        <f t="shared" si="13"/>
        <v>#NUM!</v>
      </c>
      <c r="BF21" s="74">
        <f t="shared" si="14"/>
        <v>-120.44931506849315</v>
      </c>
      <c r="BG21" s="26"/>
      <c r="BH21" s="26">
        <v>0</v>
      </c>
    </row>
    <row r="22" spans="1:60" s="110" customFormat="1" ht="16">
      <c r="A22" s="19" t="s">
        <v>112</v>
      </c>
      <c r="B22" s="19">
        <v>21927677</v>
      </c>
      <c r="C22" s="19" t="s">
        <v>113</v>
      </c>
      <c r="D22" s="48">
        <v>43396</v>
      </c>
      <c r="E22" s="48">
        <v>43480</v>
      </c>
      <c r="F22" s="48">
        <v>43480</v>
      </c>
      <c r="G22" s="19" t="s">
        <v>49</v>
      </c>
      <c r="H22" s="75">
        <v>44180</v>
      </c>
      <c r="I22" s="75">
        <v>44362</v>
      </c>
      <c r="J22" s="48">
        <v>44483</v>
      </c>
      <c r="K22" s="48">
        <v>44218</v>
      </c>
      <c r="L22" s="48" t="str">
        <f t="shared" si="0"/>
        <v>2Y2M30D</v>
      </c>
      <c r="M22" s="48" t="str">
        <f t="shared" si="1"/>
        <v>2Y0M7D</v>
      </c>
      <c r="N22" s="69">
        <f t="shared" si="2"/>
        <v>2.021917808219178</v>
      </c>
      <c r="O22" s="19">
        <v>1</v>
      </c>
      <c r="P22" s="19">
        <v>4</v>
      </c>
      <c r="Q22" s="19" t="s">
        <v>1703</v>
      </c>
      <c r="R22" s="19">
        <v>1</v>
      </c>
      <c r="S22" s="19">
        <v>1</v>
      </c>
      <c r="T22" s="19">
        <v>1</v>
      </c>
      <c r="U22" s="19" t="s">
        <v>1666</v>
      </c>
      <c r="V22" s="19" t="s">
        <v>1661</v>
      </c>
      <c r="W22" s="19">
        <v>1</v>
      </c>
      <c r="X22" s="19">
        <v>1</v>
      </c>
      <c r="Y22" s="19">
        <v>1</v>
      </c>
      <c r="Z22" s="19">
        <v>1</v>
      </c>
      <c r="AA22" s="19">
        <v>1</v>
      </c>
      <c r="AB22" s="19">
        <v>1</v>
      </c>
      <c r="AC22" s="19" t="s">
        <v>1663</v>
      </c>
      <c r="AD22" s="19">
        <v>1</v>
      </c>
      <c r="AE22" s="19">
        <v>1</v>
      </c>
      <c r="AF22" s="19">
        <v>1</v>
      </c>
      <c r="AG22" s="19">
        <v>1</v>
      </c>
      <c r="AH22" s="19" t="s">
        <v>1959</v>
      </c>
      <c r="AI22" s="19" t="e">
        <f t="shared" si="3"/>
        <v>#VALUE!</v>
      </c>
      <c r="AJ22" s="19" t="e">
        <f t="shared" si="4"/>
        <v>#VALUE!</v>
      </c>
      <c r="AK22" s="69" t="e">
        <f t="shared" si="5"/>
        <v>#VALUE!</v>
      </c>
      <c r="AL22" s="19"/>
      <c r="AM22" s="19"/>
      <c r="AN22" s="19"/>
      <c r="AO22" s="19"/>
      <c r="AP22" s="19"/>
      <c r="AQ22" s="19"/>
      <c r="AR22" s="19"/>
      <c r="AS22" s="48">
        <v>44217</v>
      </c>
      <c r="AT22" s="48" t="str">
        <f t="shared" si="6"/>
        <v>2Y2M29D</v>
      </c>
      <c r="AU22" s="48" t="str">
        <f t="shared" si="7"/>
        <v>2Y0M6D</v>
      </c>
      <c r="AV22" s="69">
        <f t="shared" si="8"/>
        <v>2.0191780821917806</v>
      </c>
      <c r="AW22" s="19">
        <v>1</v>
      </c>
      <c r="AX22" s="48">
        <v>44217</v>
      </c>
      <c r="AY22" s="48" t="str">
        <f t="shared" si="9"/>
        <v>2Y2M29D</v>
      </c>
      <c r="AZ22" s="69" t="str">
        <f t="shared" si="10"/>
        <v>2Y0M6D</v>
      </c>
      <c r="BA22" s="69">
        <f t="shared" si="11"/>
        <v>2.0191780821917806</v>
      </c>
      <c r="BB22" s="19">
        <v>1</v>
      </c>
      <c r="BC22" s="48">
        <v>44218</v>
      </c>
      <c r="BD22" s="48" t="str">
        <f t="shared" si="12"/>
        <v>2Y2M30D</v>
      </c>
      <c r="BE22" s="69" t="str">
        <f t="shared" si="13"/>
        <v>2Y0M7D</v>
      </c>
      <c r="BF22" s="69">
        <f t="shared" si="14"/>
        <v>2.021917808219178</v>
      </c>
      <c r="BG22" s="19">
        <v>1</v>
      </c>
      <c r="BH22" s="19">
        <v>1</v>
      </c>
    </row>
    <row r="23" spans="1:60" s="193" customFormat="1" ht="16">
      <c r="A23" s="26" t="s">
        <v>116</v>
      </c>
      <c r="B23" s="26">
        <v>22104757</v>
      </c>
      <c r="C23" s="26" t="s">
        <v>117</v>
      </c>
      <c r="D23" s="67">
        <v>44041</v>
      </c>
      <c r="E23" s="67">
        <v>44099</v>
      </c>
      <c r="F23" s="67">
        <v>44099</v>
      </c>
      <c r="G23" s="26" t="s">
        <v>119</v>
      </c>
      <c r="H23" s="86">
        <v>44798</v>
      </c>
      <c r="I23" s="86">
        <v>44982</v>
      </c>
      <c r="J23" s="32" t="s">
        <v>1955</v>
      </c>
      <c r="K23" s="32" t="s">
        <v>1955</v>
      </c>
      <c r="L23" s="32" t="e">
        <f t="shared" si="0"/>
        <v>#VALUE!</v>
      </c>
      <c r="M23" s="32" t="e">
        <f t="shared" si="1"/>
        <v>#VALUE!</v>
      </c>
      <c r="N23" s="64" t="e">
        <f t="shared" si="2"/>
        <v>#VALUE!</v>
      </c>
      <c r="O23" s="32"/>
      <c r="P23" s="32" t="s">
        <v>1955</v>
      </c>
      <c r="Q23" s="32" t="s">
        <v>1955</v>
      </c>
      <c r="R23" s="32"/>
      <c r="S23" s="32" t="s">
        <v>1955</v>
      </c>
      <c r="T23" s="32" t="s">
        <v>1955</v>
      </c>
      <c r="U23" s="32" t="s">
        <v>1955</v>
      </c>
      <c r="V23" s="32" t="s">
        <v>1955</v>
      </c>
      <c r="W23" s="32"/>
      <c r="X23" s="32" t="s">
        <v>1955</v>
      </c>
      <c r="Y23" s="32" t="s">
        <v>1955</v>
      </c>
      <c r="Z23" s="32" t="s">
        <v>1955</v>
      </c>
      <c r="AA23" s="32" t="s">
        <v>1955</v>
      </c>
      <c r="AB23" s="32" t="s">
        <v>1955</v>
      </c>
      <c r="AC23" s="32" t="s">
        <v>1955</v>
      </c>
      <c r="AD23" s="32"/>
      <c r="AE23" s="32" t="s">
        <v>1955</v>
      </c>
      <c r="AF23" s="32"/>
      <c r="AG23" s="32" t="s">
        <v>1955</v>
      </c>
      <c r="AH23" s="32" t="s">
        <v>1955</v>
      </c>
      <c r="AI23" s="32" t="e">
        <f t="shared" si="3"/>
        <v>#VALUE!</v>
      </c>
      <c r="AJ23" s="32" t="e">
        <f t="shared" si="4"/>
        <v>#VALUE!</v>
      </c>
      <c r="AK23" s="64" t="e">
        <f t="shared" si="5"/>
        <v>#VALUE!</v>
      </c>
      <c r="AL23" s="32" t="s">
        <v>1955</v>
      </c>
      <c r="AM23" s="32" t="s">
        <v>1955</v>
      </c>
      <c r="AN23" s="32" t="s">
        <v>1955</v>
      </c>
      <c r="AO23" s="32" t="s">
        <v>1955</v>
      </c>
      <c r="AP23" s="32" t="s">
        <v>1955</v>
      </c>
      <c r="AQ23" s="32" t="s">
        <v>1955</v>
      </c>
      <c r="AR23" s="32" t="s">
        <v>1955</v>
      </c>
      <c r="AS23" s="32" t="s">
        <v>1955</v>
      </c>
      <c r="AT23" s="32" t="e">
        <f t="shared" si="6"/>
        <v>#VALUE!</v>
      </c>
      <c r="AU23" s="32" t="e">
        <f t="shared" si="7"/>
        <v>#VALUE!</v>
      </c>
      <c r="AV23" s="64" t="e">
        <f t="shared" si="8"/>
        <v>#VALUE!</v>
      </c>
      <c r="AW23" s="32" t="s">
        <v>1955</v>
      </c>
      <c r="AX23" s="32" t="s">
        <v>1955</v>
      </c>
      <c r="AY23" s="32" t="e">
        <f t="shared" si="9"/>
        <v>#VALUE!</v>
      </c>
      <c r="AZ23" s="64" t="e">
        <f t="shared" si="10"/>
        <v>#VALUE!</v>
      </c>
      <c r="BA23" s="64" t="e">
        <f t="shared" si="11"/>
        <v>#VALUE!</v>
      </c>
      <c r="BB23" s="32" t="s">
        <v>1955</v>
      </c>
      <c r="BC23" s="32" t="s">
        <v>1955</v>
      </c>
      <c r="BD23" s="32" t="e">
        <f t="shared" si="12"/>
        <v>#VALUE!</v>
      </c>
      <c r="BE23" s="64" t="e">
        <f t="shared" si="13"/>
        <v>#VALUE!</v>
      </c>
      <c r="BF23" s="64" t="e">
        <f t="shared" si="14"/>
        <v>#VALUE!</v>
      </c>
      <c r="BG23" s="32" t="s">
        <v>1955</v>
      </c>
      <c r="BH23" s="26">
        <v>1</v>
      </c>
    </row>
    <row r="24" spans="1:60" s="189" customFormat="1" ht="16">
      <c r="A24" s="98" t="s">
        <v>121</v>
      </c>
      <c r="B24" s="98">
        <v>22104689</v>
      </c>
      <c r="C24" s="98" t="s">
        <v>122</v>
      </c>
      <c r="D24" s="96">
        <v>44035</v>
      </c>
      <c r="E24" s="96">
        <v>44042</v>
      </c>
      <c r="F24" s="96">
        <v>44035</v>
      </c>
      <c r="G24" s="98" t="s">
        <v>124</v>
      </c>
      <c r="H24" s="101">
        <v>44742</v>
      </c>
      <c r="I24" s="101">
        <v>44925</v>
      </c>
      <c r="J24" s="96">
        <v>44750</v>
      </c>
      <c r="K24" s="96">
        <v>44750</v>
      </c>
      <c r="L24" s="96" t="str">
        <f t="shared" si="0"/>
        <v>1Y11M15D</v>
      </c>
      <c r="M24" s="96" t="str">
        <f t="shared" si="1"/>
        <v>1Y11M8D</v>
      </c>
      <c r="N24" s="103">
        <f t="shared" si="2"/>
        <v>1.9589041095890412</v>
      </c>
      <c r="O24" s="98">
        <v>1</v>
      </c>
      <c r="P24" s="98">
        <v>2</v>
      </c>
      <c r="Q24" s="98" t="s">
        <v>1703</v>
      </c>
      <c r="R24" s="98">
        <v>1</v>
      </c>
      <c r="S24" s="98">
        <v>1</v>
      </c>
      <c r="T24" s="98">
        <v>1</v>
      </c>
      <c r="U24" s="98" t="s">
        <v>1666</v>
      </c>
      <c r="V24" s="98" t="s">
        <v>1664</v>
      </c>
      <c r="W24" s="98">
        <v>1</v>
      </c>
      <c r="X24" s="98">
        <v>1</v>
      </c>
      <c r="Y24" s="98">
        <v>1</v>
      </c>
      <c r="Z24" s="98">
        <v>1</v>
      </c>
      <c r="AA24" s="98">
        <v>1</v>
      </c>
      <c r="AB24" s="98">
        <v>1</v>
      </c>
      <c r="AC24" s="98" t="s">
        <v>1689</v>
      </c>
      <c r="AD24" s="98">
        <v>1</v>
      </c>
      <c r="AE24" s="98">
        <v>1</v>
      </c>
      <c r="AF24" s="98">
        <v>1</v>
      </c>
      <c r="AG24" s="98">
        <v>1</v>
      </c>
      <c r="AH24" s="96">
        <v>44793</v>
      </c>
      <c r="AI24" s="96" t="str">
        <f t="shared" si="3"/>
        <v>2Y0M28D</v>
      </c>
      <c r="AJ24" s="96" t="str">
        <f t="shared" si="4"/>
        <v>2Y0M21D</v>
      </c>
      <c r="AK24" s="103">
        <f t="shared" si="5"/>
        <v>2.0767123287671234</v>
      </c>
      <c r="AL24" s="98">
        <v>1</v>
      </c>
      <c r="AM24" s="98">
        <v>1</v>
      </c>
      <c r="AN24" s="98">
        <v>1</v>
      </c>
      <c r="AO24" s="98">
        <v>1</v>
      </c>
      <c r="AP24" s="98">
        <v>1</v>
      </c>
      <c r="AQ24" s="98">
        <v>3</v>
      </c>
      <c r="AR24" s="98"/>
      <c r="AS24" s="96">
        <v>44791</v>
      </c>
      <c r="AT24" s="96" t="str">
        <f t="shared" si="6"/>
        <v>2Y0M26D</v>
      </c>
      <c r="AU24" s="96" t="str">
        <f t="shared" si="7"/>
        <v>2Y0M19D</v>
      </c>
      <c r="AV24" s="103">
        <f t="shared" si="8"/>
        <v>2.0712328767123287</v>
      </c>
      <c r="AW24" s="98">
        <v>1</v>
      </c>
      <c r="AX24" s="96">
        <v>44793</v>
      </c>
      <c r="AY24" s="96" t="str">
        <f t="shared" si="9"/>
        <v>2Y0M28D</v>
      </c>
      <c r="AZ24" s="103" t="str">
        <f t="shared" si="10"/>
        <v>2Y0M21D</v>
      </c>
      <c r="BA24" s="103">
        <f t="shared" si="11"/>
        <v>2.0767123287671234</v>
      </c>
      <c r="BB24" s="98">
        <v>1</v>
      </c>
      <c r="BC24" s="96">
        <v>44750</v>
      </c>
      <c r="BD24" s="96" t="str">
        <f t="shared" si="12"/>
        <v>1Y11M15D</v>
      </c>
      <c r="BE24" s="103" t="str">
        <f t="shared" si="13"/>
        <v>1Y11M8D</v>
      </c>
      <c r="BF24" s="103">
        <f t="shared" si="14"/>
        <v>1.9589041095890412</v>
      </c>
      <c r="BG24" s="98">
        <v>1</v>
      </c>
      <c r="BH24" s="98">
        <v>0</v>
      </c>
    </row>
    <row r="25" spans="1:60" s="189" customFormat="1" ht="16">
      <c r="A25" s="98" t="s">
        <v>126</v>
      </c>
      <c r="B25" s="98">
        <v>22264557</v>
      </c>
      <c r="C25" s="98" t="s">
        <v>127</v>
      </c>
      <c r="D25" s="96">
        <v>44036</v>
      </c>
      <c r="E25" s="96">
        <v>44043</v>
      </c>
      <c r="F25" s="96">
        <v>44036</v>
      </c>
      <c r="G25" s="98" t="s">
        <v>129</v>
      </c>
      <c r="H25" s="101">
        <v>44742</v>
      </c>
      <c r="I25" s="101">
        <v>44926</v>
      </c>
      <c r="J25" s="96">
        <v>44995</v>
      </c>
      <c r="K25" s="96">
        <v>44995</v>
      </c>
      <c r="L25" s="96" t="str">
        <f t="shared" si="0"/>
        <v>2Y7M14D</v>
      </c>
      <c r="M25" s="96" t="str">
        <f t="shared" si="1"/>
        <v>2Y7M7D</v>
      </c>
      <c r="N25" s="103">
        <f t="shared" si="2"/>
        <v>2.6273972602739728</v>
      </c>
      <c r="O25" s="98">
        <v>1</v>
      </c>
      <c r="P25" s="98">
        <v>3</v>
      </c>
      <c r="Q25" s="98"/>
      <c r="R25" s="98">
        <v>1</v>
      </c>
      <c r="S25" s="98">
        <v>1</v>
      </c>
      <c r="T25" s="98">
        <v>3</v>
      </c>
      <c r="U25" s="98"/>
      <c r="V25" s="98" t="s">
        <v>2192</v>
      </c>
      <c r="W25" s="98">
        <v>1</v>
      </c>
      <c r="X25" s="98">
        <v>1</v>
      </c>
      <c r="Y25" s="98">
        <v>1</v>
      </c>
      <c r="Z25" s="98">
        <v>1</v>
      </c>
      <c r="AA25" s="98">
        <v>1</v>
      </c>
      <c r="AB25" s="98">
        <v>2</v>
      </c>
      <c r="AC25" s="98"/>
      <c r="AD25" s="98">
        <v>1</v>
      </c>
      <c r="AE25" s="98">
        <v>1</v>
      </c>
      <c r="AF25" s="98">
        <v>1</v>
      </c>
      <c r="AG25" s="98">
        <v>1</v>
      </c>
      <c r="AH25" s="96">
        <v>44994</v>
      </c>
      <c r="AI25" s="96" t="str">
        <f t="shared" si="3"/>
        <v>2Y7M13D</v>
      </c>
      <c r="AJ25" s="96" t="str">
        <f t="shared" si="4"/>
        <v>2Y7M6D</v>
      </c>
      <c r="AK25" s="103">
        <f t="shared" si="5"/>
        <v>2.6246575342465754</v>
      </c>
      <c r="AL25" s="98">
        <v>1</v>
      </c>
      <c r="AM25" s="98">
        <v>1</v>
      </c>
      <c r="AN25" s="98">
        <v>1</v>
      </c>
      <c r="AO25" s="98">
        <v>1</v>
      </c>
      <c r="AP25" s="98">
        <v>1</v>
      </c>
      <c r="AQ25" s="98">
        <v>3</v>
      </c>
      <c r="AR25" s="98"/>
      <c r="AS25" s="96">
        <v>44994</v>
      </c>
      <c r="AT25" s="96" t="str">
        <f t="shared" si="6"/>
        <v>2Y7M13D</v>
      </c>
      <c r="AU25" s="98" t="str">
        <f t="shared" si="7"/>
        <v>2Y7M6D</v>
      </c>
      <c r="AV25" s="103">
        <f t="shared" si="8"/>
        <v>2.6246575342465754</v>
      </c>
      <c r="AW25" s="98"/>
      <c r="AX25" s="96">
        <v>45011</v>
      </c>
      <c r="AY25" s="96" t="str">
        <f t="shared" si="9"/>
        <v>2Y8M2D</v>
      </c>
      <c r="AZ25" s="103" t="str">
        <f t="shared" si="10"/>
        <v>2Y7M23D</v>
      </c>
      <c r="BA25" s="103">
        <f t="shared" si="11"/>
        <v>2.6712328767123288</v>
      </c>
      <c r="BB25" s="98">
        <v>4</v>
      </c>
      <c r="BC25" s="96">
        <v>44995</v>
      </c>
      <c r="BD25" s="96" t="str">
        <f t="shared" si="12"/>
        <v>2Y7M14D</v>
      </c>
      <c r="BE25" s="103" t="str">
        <f t="shared" si="13"/>
        <v>2Y7M7D</v>
      </c>
      <c r="BF25" s="103">
        <f t="shared" si="14"/>
        <v>2.6273972602739728</v>
      </c>
      <c r="BG25" s="98">
        <v>1</v>
      </c>
      <c r="BH25" s="98">
        <v>1</v>
      </c>
    </row>
    <row r="26" spans="1:60" s="189" customFormat="1" ht="16">
      <c r="A26" s="98" t="s">
        <v>131</v>
      </c>
      <c r="B26" s="98">
        <v>22104829</v>
      </c>
      <c r="C26" s="104" t="s">
        <v>1032</v>
      </c>
      <c r="D26" s="96">
        <v>44049</v>
      </c>
      <c r="E26" s="96">
        <v>44114</v>
      </c>
      <c r="F26" s="96">
        <v>44114</v>
      </c>
      <c r="G26" s="98" t="s">
        <v>134</v>
      </c>
      <c r="H26" s="101">
        <v>44814</v>
      </c>
      <c r="I26" s="101">
        <v>44995</v>
      </c>
      <c r="J26" s="96">
        <v>44851</v>
      </c>
      <c r="K26" s="96" t="s">
        <v>2214</v>
      </c>
      <c r="L26" s="96" t="e">
        <f t="shared" si="0"/>
        <v>#VALUE!</v>
      </c>
      <c r="M26" s="96" t="e">
        <f t="shared" si="1"/>
        <v>#VALUE!</v>
      </c>
      <c r="N26" s="103" t="e">
        <f t="shared" si="2"/>
        <v>#VALUE!</v>
      </c>
      <c r="O26" s="98">
        <v>1</v>
      </c>
      <c r="P26" s="98">
        <v>4</v>
      </c>
      <c r="Q26" s="98" t="s">
        <v>1960</v>
      </c>
      <c r="R26" s="98">
        <v>1</v>
      </c>
      <c r="S26" s="98">
        <v>1</v>
      </c>
      <c r="T26" s="98">
        <v>1</v>
      </c>
      <c r="U26" s="98"/>
      <c r="V26" s="98"/>
      <c r="W26" s="98">
        <v>1</v>
      </c>
      <c r="X26" s="98">
        <v>1</v>
      </c>
      <c r="Y26" s="98">
        <v>1</v>
      </c>
      <c r="Z26" s="98">
        <v>1</v>
      </c>
      <c r="AA26" s="98">
        <v>1</v>
      </c>
      <c r="AB26" s="98">
        <v>1</v>
      </c>
      <c r="AC26" s="98"/>
      <c r="AD26" s="98"/>
      <c r="AE26" s="98"/>
      <c r="AF26" s="98"/>
      <c r="AG26" s="98"/>
      <c r="AH26" s="96">
        <v>44851</v>
      </c>
      <c r="AI26" s="96" t="str">
        <f t="shared" si="3"/>
        <v>2Y2M11D</v>
      </c>
      <c r="AJ26" s="96" t="str">
        <f t="shared" si="4"/>
        <v>2Y0M7D</v>
      </c>
      <c r="AK26" s="103">
        <f t="shared" si="5"/>
        <v>2.0191780821917806</v>
      </c>
      <c r="AL26" s="98">
        <v>1</v>
      </c>
      <c r="AM26" s="98">
        <v>1</v>
      </c>
      <c r="AN26" s="98">
        <v>1</v>
      </c>
      <c r="AO26" s="98">
        <v>1</v>
      </c>
      <c r="AP26" s="98">
        <v>1</v>
      </c>
      <c r="AQ26" s="98">
        <v>2</v>
      </c>
      <c r="AR26" s="98"/>
      <c r="AS26" s="96">
        <v>44846</v>
      </c>
      <c r="AT26" s="96" t="str">
        <f t="shared" si="6"/>
        <v>2Y2M6D</v>
      </c>
      <c r="AU26" s="96" t="str">
        <f t="shared" si="7"/>
        <v>2Y0M2D</v>
      </c>
      <c r="AV26" s="103">
        <f t="shared" si="8"/>
        <v>2.0054794520547947</v>
      </c>
      <c r="AW26" s="98">
        <v>1</v>
      </c>
      <c r="AX26" s="96">
        <v>44849</v>
      </c>
      <c r="AY26" s="96" t="str">
        <f t="shared" si="9"/>
        <v>2Y2M9D</v>
      </c>
      <c r="AZ26" s="103" t="str">
        <f t="shared" si="10"/>
        <v>2Y0M5D</v>
      </c>
      <c r="BA26" s="103">
        <f t="shared" si="11"/>
        <v>2.0136986301369864</v>
      </c>
      <c r="BB26" s="98">
        <v>1</v>
      </c>
      <c r="BC26" s="96">
        <v>44851</v>
      </c>
      <c r="BD26" s="96" t="str">
        <f t="shared" si="12"/>
        <v>2Y2M11D</v>
      </c>
      <c r="BE26" s="103" t="str">
        <f t="shared" si="13"/>
        <v>2Y0M7D</v>
      </c>
      <c r="BF26" s="103">
        <f t="shared" si="14"/>
        <v>2.0191780821917806</v>
      </c>
      <c r="BG26" s="98">
        <v>1</v>
      </c>
      <c r="BH26" s="98">
        <v>1</v>
      </c>
    </row>
    <row r="27" spans="1:60" s="110" customFormat="1" ht="16">
      <c r="A27" s="19" t="s">
        <v>136</v>
      </c>
      <c r="B27" s="19">
        <v>22105033</v>
      </c>
      <c r="C27" s="19" t="s">
        <v>137</v>
      </c>
      <c r="D27" s="48">
        <v>44067</v>
      </c>
      <c r="E27" s="48">
        <v>44134</v>
      </c>
      <c r="F27" s="48">
        <v>44134</v>
      </c>
      <c r="G27" s="19" t="s">
        <v>139</v>
      </c>
      <c r="H27" s="75">
        <v>44834</v>
      </c>
      <c r="I27" s="75">
        <v>45015</v>
      </c>
      <c r="J27" s="48">
        <v>44978</v>
      </c>
      <c r="K27" s="48">
        <v>44901</v>
      </c>
      <c r="L27" s="48" t="str">
        <f t="shared" si="0"/>
        <v>2Y3M12D</v>
      </c>
      <c r="M27" s="48" t="str">
        <f t="shared" si="1"/>
        <v>2Y1M6D</v>
      </c>
      <c r="N27" s="69">
        <f t="shared" si="2"/>
        <v>2.1013698630136988</v>
      </c>
      <c r="O27" s="19">
        <v>1</v>
      </c>
      <c r="P27" s="19">
        <v>5</v>
      </c>
      <c r="Q27" s="19"/>
      <c r="R27" s="19">
        <v>1</v>
      </c>
      <c r="S27" s="19">
        <v>1</v>
      </c>
      <c r="T27" s="19">
        <v>1</v>
      </c>
      <c r="U27" s="19"/>
      <c r="V27" s="19" t="s">
        <v>2216</v>
      </c>
      <c r="W27" s="19">
        <v>1</v>
      </c>
      <c r="X27" s="19">
        <v>1</v>
      </c>
      <c r="Y27" s="19">
        <v>1</v>
      </c>
      <c r="Z27" s="19">
        <v>1</v>
      </c>
      <c r="AA27" s="19">
        <v>1</v>
      </c>
      <c r="AB27" s="19">
        <v>1</v>
      </c>
      <c r="AC27" s="19"/>
      <c r="AD27" s="19">
        <v>1</v>
      </c>
      <c r="AE27" s="19">
        <v>1</v>
      </c>
      <c r="AF27" s="19">
        <v>1</v>
      </c>
      <c r="AG27" s="19">
        <v>1</v>
      </c>
      <c r="AH27" s="51" t="s">
        <v>1720</v>
      </c>
      <c r="AI27" s="51" t="e">
        <f t="shared" si="3"/>
        <v>#VALUE!</v>
      </c>
      <c r="AJ27" s="51" t="e">
        <f t="shared" si="4"/>
        <v>#VALUE!</v>
      </c>
      <c r="AK27" s="87" t="e">
        <f t="shared" si="5"/>
        <v>#VALUE!</v>
      </c>
      <c r="AL27" s="19"/>
      <c r="AM27" s="19"/>
      <c r="AN27" s="19"/>
      <c r="AO27" s="19"/>
      <c r="AP27" s="19"/>
      <c r="AQ27" s="19"/>
      <c r="AR27" s="19"/>
      <c r="AS27" s="51" t="s">
        <v>1720</v>
      </c>
      <c r="AT27" s="51" t="e">
        <f t="shared" si="6"/>
        <v>#VALUE!</v>
      </c>
      <c r="AU27" s="51" t="e">
        <f t="shared" si="7"/>
        <v>#VALUE!</v>
      </c>
      <c r="AV27" s="87" t="e">
        <f t="shared" si="8"/>
        <v>#VALUE!</v>
      </c>
      <c r="AW27" s="19"/>
      <c r="AX27" s="51" t="s">
        <v>1720</v>
      </c>
      <c r="AY27" s="51" t="e">
        <f t="shared" si="9"/>
        <v>#VALUE!</v>
      </c>
      <c r="AZ27" s="87" t="e">
        <f t="shared" si="10"/>
        <v>#VALUE!</v>
      </c>
      <c r="BA27" s="87" t="e">
        <f t="shared" si="11"/>
        <v>#VALUE!</v>
      </c>
      <c r="BB27" s="19"/>
      <c r="BC27" s="48">
        <v>44901</v>
      </c>
      <c r="BD27" s="48" t="str">
        <f t="shared" si="12"/>
        <v>2Y3M12D</v>
      </c>
      <c r="BE27" s="69" t="str">
        <f t="shared" si="13"/>
        <v>2Y1M6D</v>
      </c>
      <c r="BF27" s="69">
        <f t="shared" si="14"/>
        <v>2.1013698630136988</v>
      </c>
      <c r="BG27" s="19">
        <v>1</v>
      </c>
      <c r="BH27" s="19">
        <v>1</v>
      </c>
    </row>
    <row r="28" spans="1:60" s="189" customFormat="1" ht="16">
      <c r="A28" s="98" t="s">
        <v>141</v>
      </c>
      <c r="B28" s="98">
        <v>22104898</v>
      </c>
      <c r="C28" s="98" t="s">
        <v>142</v>
      </c>
      <c r="D28" s="96">
        <v>44055</v>
      </c>
      <c r="E28" s="96">
        <v>44142</v>
      </c>
      <c r="F28" s="96">
        <v>44142</v>
      </c>
      <c r="G28" s="98" t="s">
        <v>144</v>
      </c>
      <c r="H28" s="101">
        <v>44841</v>
      </c>
      <c r="I28" s="101">
        <v>45023</v>
      </c>
      <c r="J28" s="96">
        <v>44977</v>
      </c>
      <c r="K28" s="96">
        <v>44887</v>
      </c>
      <c r="L28" s="96" t="str">
        <f t="shared" si="0"/>
        <v>2Y3M10D</v>
      </c>
      <c r="M28" s="96" t="str">
        <f t="shared" si="1"/>
        <v>2Y0M15D</v>
      </c>
      <c r="N28" s="103">
        <f t="shared" si="2"/>
        <v>2.0410958904109591</v>
      </c>
      <c r="O28" s="98">
        <v>1</v>
      </c>
      <c r="P28" s="98">
        <v>1</v>
      </c>
      <c r="Q28" s="96" t="s">
        <v>2194</v>
      </c>
      <c r="R28" s="98">
        <v>1</v>
      </c>
      <c r="S28" s="98">
        <v>1</v>
      </c>
      <c r="T28" s="98">
        <v>1</v>
      </c>
      <c r="U28" s="96" t="s">
        <v>2195</v>
      </c>
      <c r="V28" s="98" t="s">
        <v>2192</v>
      </c>
      <c r="W28" s="98">
        <v>1</v>
      </c>
      <c r="X28" s="98">
        <v>1</v>
      </c>
      <c r="Y28" s="98">
        <v>1</v>
      </c>
      <c r="Z28" s="98">
        <v>1</v>
      </c>
      <c r="AA28" s="98">
        <v>1</v>
      </c>
      <c r="AB28" s="98"/>
      <c r="AC28" s="98" t="s">
        <v>2196</v>
      </c>
      <c r="AD28" s="98">
        <v>1</v>
      </c>
      <c r="AE28" s="98">
        <v>1</v>
      </c>
      <c r="AF28" s="98">
        <v>1</v>
      </c>
      <c r="AG28" s="98">
        <v>1</v>
      </c>
      <c r="AH28" s="96">
        <v>44935</v>
      </c>
      <c r="AI28" s="96" t="str">
        <f t="shared" si="3"/>
        <v>2Y4M28D</v>
      </c>
      <c r="AJ28" s="96" t="str">
        <f t="shared" si="4"/>
        <v>2Y2M2D</v>
      </c>
      <c r="AK28" s="103">
        <f t="shared" si="5"/>
        <v>2.1726027397260275</v>
      </c>
      <c r="AL28" s="98">
        <v>1</v>
      </c>
      <c r="AM28" s="98">
        <v>1</v>
      </c>
      <c r="AN28" s="98">
        <v>1</v>
      </c>
      <c r="AO28" s="98">
        <v>1</v>
      </c>
      <c r="AP28" s="98">
        <v>1</v>
      </c>
      <c r="AQ28" s="98">
        <v>3</v>
      </c>
      <c r="AR28" s="98"/>
      <c r="AS28" s="96">
        <v>44934</v>
      </c>
      <c r="AT28" s="96" t="str">
        <f t="shared" si="6"/>
        <v>2Y4M27D</v>
      </c>
      <c r="AU28" s="96" t="str">
        <f t="shared" si="7"/>
        <v>2Y2M1D</v>
      </c>
      <c r="AV28" s="103">
        <f t="shared" si="8"/>
        <v>2.1698630136986301</v>
      </c>
      <c r="AW28" s="98">
        <v>3</v>
      </c>
      <c r="AX28" s="96"/>
      <c r="AY28" s="96" t="e">
        <f t="shared" si="9"/>
        <v>#NUM!</v>
      </c>
      <c r="AZ28" s="103" t="e">
        <f t="shared" si="10"/>
        <v>#NUM!</v>
      </c>
      <c r="BA28" s="103">
        <f t="shared" si="11"/>
        <v>-120.93698630136986</v>
      </c>
      <c r="BB28" s="98"/>
      <c r="BC28" s="96">
        <v>44887</v>
      </c>
      <c r="BD28" s="96" t="str">
        <f t="shared" si="12"/>
        <v>2Y3M10D</v>
      </c>
      <c r="BE28" s="103" t="str">
        <f t="shared" si="13"/>
        <v>2Y0M15D</v>
      </c>
      <c r="BF28" s="103">
        <f t="shared" si="14"/>
        <v>2.0410958904109591</v>
      </c>
      <c r="BG28" s="98">
        <v>1</v>
      </c>
      <c r="BH28" s="98">
        <v>1</v>
      </c>
    </row>
    <row r="29" spans="1:60" s="189" customFormat="1" ht="16">
      <c r="A29" s="98" t="s">
        <v>146</v>
      </c>
      <c r="B29" s="98">
        <v>22104899</v>
      </c>
      <c r="C29" s="98" t="s">
        <v>147</v>
      </c>
      <c r="D29" s="96">
        <v>44055</v>
      </c>
      <c r="E29" s="96">
        <v>44142</v>
      </c>
      <c r="F29" s="96">
        <v>44142</v>
      </c>
      <c r="G29" s="98" t="s">
        <v>144</v>
      </c>
      <c r="H29" s="101">
        <v>44841</v>
      </c>
      <c r="I29" s="101">
        <v>45023</v>
      </c>
      <c r="J29" s="96">
        <v>44977</v>
      </c>
      <c r="K29" s="96">
        <v>44887</v>
      </c>
      <c r="L29" s="96" t="str">
        <f t="shared" si="0"/>
        <v>2Y3M10D</v>
      </c>
      <c r="M29" s="96" t="str">
        <f t="shared" si="1"/>
        <v>2Y0M15D</v>
      </c>
      <c r="N29" s="103">
        <f t="shared" si="2"/>
        <v>2.0410958904109591</v>
      </c>
      <c r="O29" s="98">
        <v>1</v>
      </c>
      <c r="P29" s="98"/>
      <c r="Q29" s="98"/>
      <c r="R29" s="98">
        <v>1</v>
      </c>
      <c r="S29" s="98">
        <v>1</v>
      </c>
      <c r="T29" s="98">
        <v>1</v>
      </c>
      <c r="U29" s="98" t="s">
        <v>2197</v>
      </c>
      <c r="V29" s="98" t="s">
        <v>2192</v>
      </c>
      <c r="W29" s="98">
        <v>1</v>
      </c>
      <c r="X29" s="98">
        <v>1</v>
      </c>
      <c r="Y29" s="98">
        <v>1</v>
      </c>
      <c r="Z29" s="98">
        <v>1</v>
      </c>
      <c r="AA29" s="98">
        <v>1</v>
      </c>
      <c r="AB29" s="98">
        <v>1</v>
      </c>
      <c r="AC29" s="98" t="s">
        <v>2195</v>
      </c>
      <c r="AD29" s="98">
        <v>1</v>
      </c>
      <c r="AE29" s="98">
        <v>1</v>
      </c>
      <c r="AF29" s="98">
        <v>1</v>
      </c>
      <c r="AG29" s="98">
        <v>1</v>
      </c>
      <c r="AH29" s="96">
        <v>44934</v>
      </c>
      <c r="AI29" s="96" t="str">
        <f t="shared" si="3"/>
        <v>2Y4M27D</v>
      </c>
      <c r="AJ29" s="96" t="str">
        <f t="shared" si="4"/>
        <v>2Y2M1D</v>
      </c>
      <c r="AK29" s="103">
        <f t="shared" si="5"/>
        <v>2.1698630136986301</v>
      </c>
      <c r="AL29" s="98">
        <v>1</v>
      </c>
      <c r="AM29" s="98">
        <v>1</v>
      </c>
      <c r="AN29" s="98">
        <v>1</v>
      </c>
      <c r="AO29" s="98">
        <v>1</v>
      </c>
      <c r="AP29" s="98">
        <v>1</v>
      </c>
      <c r="AQ29" s="98">
        <v>1</v>
      </c>
      <c r="AR29" s="98"/>
      <c r="AS29" s="96">
        <v>44934</v>
      </c>
      <c r="AT29" s="96" t="str">
        <f t="shared" si="6"/>
        <v>2Y4M27D</v>
      </c>
      <c r="AU29" s="96" t="str">
        <f t="shared" si="7"/>
        <v>2Y2M1D</v>
      </c>
      <c r="AV29" s="103">
        <f t="shared" si="8"/>
        <v>2.1698630136986301</v>
      </c>
      <c r="AW29" s="98">
        <v>3</v>
      </c>
      <c r="AX29" s="96"/>
      <c r="AY29" s="96" t="e">
        <f t="shared" si="9"/>
        <v>#NUM!</v>
      </c>
      <c r="AZ29" s="103" t="e">
        <f t="shared" si="10"/>
        <v>#NUM!</v>
      </c>
      <c r="BA29" s="103">
        <f t="shared" si="11"/>
        <v>-120.93698630136986</v>
      </c>
      <c r="BB29" s="98"/>
      <c r="BC29" s="96">
        <v>44887</v>
      </c>
      <c r="BD29" s="96" t="str">
        <f t="shared" si="12"/>
        <v>2Y3M10D</v>
      </c>
      <c r="BE29" s="103" t="str">
        <f t="shared" si="13"/>
        <v>2Y0M15D</v>
      </c>
      <c r="BF29" s="103">
        <f t="shared" si="14"/>
        <v>2.0410958904109591</v>
      </c>
      <c r="BG29" s="98">
        <v>1</v>
      </c>
      <c r="BH29" s="98">
        <v>1</v>
      </c>
    </row>
    <row r="30" spans="1:60" s="193" customFormat="1" ht="16">
      <c r="A30" s="26" t="s">
        <v>148</v>
      </c>
      <c r="B30" s="26">
        <v>22103889</v>
      </c>
      <c r="C30" s="26" t="s">
        <v>149</v>
      </c>
      <c r="D30" s="67">
        <v>43954</v>
      </c>
      <c r="E30" s="67">
        <v>44024</v>
      </c>
      <c r="F30" s="67">
        <v>44024</v>
      </c>
      <c r="G30" s="26" t="s">
        <v>44</v>
      </c>
      <c r="H30" s="86">
        <v>44724</v>
      </c>
      <c r="I30" s="86">
        <v>44907</v>
      </c>
      <c r="J30" s="67"/>
      <c r="K30" s="67"/>
      <c r="L30" s="67" t="e">
        <f t="shared" si="0"/>
        <v>#NUM!</v>
      </c>
      <c r="M30" s="67" t="e">
        <f t="shared" si="1"/>
        <v>#NUM!</v>
      </c>
      <c r="N30" s="74">
        <f t="shared" si="2"/>
        <v>-120.61369863013698</v>
      </c>
      <c r="O30" s="26"/>
      <c r="P30" s="26"/>
      <c r="Q30" s="26"/>
      <c r="R30" s="26"/>
      <c r="S30" s="26"/>
      <c r="T30" s="26"/>
      <c r="U30" s="26"/>
      <c r="V30" s="26"/>
      <c r="W30" s="26"/>
      <c r="X30" s="26"/>
      <c r="Y30" s="26"/>
      <c r="Z30" s="26"/>
      <c r="AA30" s="26"/>
      <c r="AB30" s="26"/>
      <c r="AC30" s="26"/>
      <c r="AD30" s="26"/>
      <c r="AE30" s="26"/>
      <c r="AF30" s="26"/>
      <c r="AG30" s="26"/>
      <c r="AH30" s="67"/>
      <c r="AI30" s="67" t="e">
        <f t="shared" si="3"/>
        <v>#NUM!</v>
      </c>
      <c r="AJ30" s="67" t="e">
        <f t="shared" si="4"/>
        <v>#NUM!</v>
      </c>
      <c r="AK30" s="74">
        <f t="shared" si="5"/>
        <v>-120.61369863013698</v>
      </c>
      <c r="AL30" s="26"/>
      <c r="AM30" s="26"/>
      <c r="AN30" s="26"/>
      <c r="AO30" s="26"/>
      <c r="AP30" s="26"/>
      <c r="AQ30" s="26"/>
      <c r="AR30" s="26"/>
      <c r="AS30" s="67"/>
      <c r="AT30" s="67" t="e">
        <f t="shared" si="6"/>
        <v>#NUM!</v>
      </c>
      <c r="AU30" s="67" t="e">
        <f t="shared" si="7"/>
        <v>#NUM!</v>
      </c>
      <c r="AV30" s="74">
        <f t="shared" si="8"/>
        <v>-120.61369863013698</v>
      </c>
      <c r="AW30" s="26"/>
      <c r="AX30" s="67"/>
      <c r="AY30" s="67" t="e">
        <f t="shared" si="9"/>
        <v>#NUM!</v>
      </c>
      <c r="AZ30" s="74" t="e">
        <f t="shared" si="10"/>
        <v>#NUM!</v>
      </c>
      <c r="BA30" s="74">
        <f t="shared" si="11"/>
        <v>-120.61369863013698</v>
      </c>
      <c r="BB30" s="26"/>
      <c r="BC30" s="67"/>
      <c r="BD30" s="67" t="e">
        <f t="shared" si="12"/>
        <v>#NUM!</v>
      </c>
      <c r="BE30" s="74" t="e">
        <f t="shared" si="13"/>
        <v>#NUM!</v>
      </c>
      <c r="BF30" s="74">
        <f t="shared" si="14"/>
        <v>-120.61369863013698</v>
      </c>
      <c r="BG30" s="26"/>
      <c r="BH30" s="26">
        <v>1</v>
      </c>
    </row>
    <row r="31" spans="1:60" s="193" customFormat="1" ht="16">
      <c r="A31" s="26" t="s">
        <v>152</v>
      </c>
      <c r="B31" s="26">
        <v>22105253</v>
      </c>
      <c r="C31" s="26" t="s">
        <v>153</v>
      </c>
      <c r="D31" s="67">
        <v>44088</v>
      </c>
      <c r="E31" s="67">
        <v>44097</v>
      </c>
      <c r="F31" s="67">
        <v>44088</v>
      </c>
      <c r="G31" s="26" t="s">
        <v>155</v>
      </c>
      <c r="H31" s="86">
        <v>44796</v>
      </c>
      <c r="I31" s="86">
        <v>44980</v>
      </c>
      <c r="J31" s="32" t="s">
        <v>1955</v>
      </c>
      <c r="K31" s="32" t="s">
        <v>1955</v>
      </c>
      <c r="L31" s="32" t="e">
        <f t="shared" si="0"/>
        <v>#VALUE!</v>
      </c>
      <c r="M31" s="32" t="e">
        <f t="shared" si="1"/>
        <v>#VALUE!</v>
      </c>
      <c r="N31" s="64" t="e">
        <f t="shared" si="2"/>
        <v>#VALUE!</v>
      </c>
      <c r="O31" s="32"/>
      <c r="P31" s="32" t="s">
        <v>1955</v>
      </c>
      <c r="Q31" s="32" t="s">
        <v>1955</v>
      </c>
      <c r="R31" s="32"/>
      <c r="S31" s="32" t="s">
        <v>1955</v>
      </c>
      <c r="T31" s="32" t="s">
        <v>1955</v>
      </c>
      <c r="U31" s="32" t="s">
        <v>1955</v>
      </c>
      <c r="V31" s="32" t="s">
        <v>1955</v>
      </c>
      <c r="W31" s="32"/>
      <c r="X31" s="32" t="s">
        <v>1955</v>
      </c>
      <c r="Y31" s="32" t="s">
        <v>1955</v>
      </c>
      <c r="Z31" s="32" t="s">
        <v>1955</v>
      </c>
      <c r="AA31" s="32" t="s">
        <v>1955</v>
      </c>
      <c r="AB31" s="32" t="s">
        <v>1955</v>
      </c>
      <c r="AC31" s="32" t="s">
        <v>1955</v>
      </c>
      <c r="AD31" s="32"/>
      <c r="AE31" s="32" t="s">
        <v>1955</v>
      </c>
      <c r="AF31" s="32"/>
      <c r="AG31" s="32" t="s">
        <v>1955</v>
      </c>
      <c r="AH31" s="32" t="s">
        <v>1955</v>
      </c>
      <c r="AI31" s="32" t="e">
        <f t="shared" si="3"/>
        <v>#VALUE!</v>
      </c>
      <c r="AJ31" s="32" t="e">
        <f t="shared" si="4"/>
        <v>#VALUE!</v>
      </c>
      <c r="AK31" s="64" t="e">
        <f t="shared" si="5"/>
        <v>#VALUE!</v>
      </c>
      <c r="AL31" s="32" t="s">
        <v>1955</v>
      </c>
      <c r="AM31" s="32" t="s">
        <v>1955</v>
      </c>
      <c r="AN31" s="32" t="s">
        <v>1955</v>
      </c>
      <c r="AO31" s="32" t="s">
        <v>1955</v>
      </c>
      <c r="AP31" s="32" t="s">
        <v>1955</v>
      </c>
      <c r="AQ31" s="32" t="s">
        <v>1955</v>
      </c>
      <c r="AR31" s="32" t="s">
        <v>1955</v>
      </c>
      <c r="AS31" s="32" t="s">
        <v>1955</v>
      </c>
      <c r="AT31" s="32" t="e">
        <f t="shared" si="6"/>
        <v>#VALUE!</v>
      </c>
      <c r="AU31" s="32" t="e">
        <f t="shared" si="7"/>
        <v>#VALUE!</v>
      </c>
      <c r="AV31" s="64" t="e">
        <f t="shared" si="8"/>
        <v>#VALUE!</v>
      </c>
      <c r="AW31" s="32" t="s">
        <v>1955</v>
      </c>
      <c r="AX31" s="32" t="s">
        <v>1955</v>
      </c>
      <c r="AY31" s="32" t="e">
        <f t="shared" si="9"/>
        <v>#VALUE!</v>
      </c>
      <c r="AZ31" s="64" t="e">
        <f t="shared" si="10"/>
        <v>#VALUE!</v>
      </c>
      <c r="BA31" s="64" t="e">
        <f t="shared" si="11"/>
        <v>#VALUE!</v>
      </c>
      <c r="BB31" s="32" t="s">
        <v>1955</v>
      </c>
      <c r="BC31" s="32" t="s">
        <v>1955</v>
      </c>
      <c r="BD31" s="32" t="e">
        <f t="shared" si="12"/>
        <v>#VALUE!</v>
      </c>
      <c r="BE31" s="64" t="e">
        <f t="shared" si="13"/>
        <v>#VALUE!</v>
      </c>
      <c r="BF31" s="64" t="e">
        <f t="shared" si="14"/>
        <v>#VALUE!</v>
      </c>
      <c r="BG31" s="32" t="s">
        <v>1955</v>
      </c>
      <c r="BH31" s="26">
        <v>1</v>
      </c>
    </row>
    <row r="32" spans="1:60" s="189" customFormat="1" ht="16">
      <c r="A32" s="98" t="s">
        <v>157</v>
      </c>
      <c r="B32" s="98">
        <v>22239382</v>
      </c>
      <c r="C32" s="98" t="s">
        <v>158</v>
      </c>
      <c r="D32" s="96">
        <v>44206</v>
      </c>
      <c r="E32" s="96">
        <v>44222</v>
      </c>
      <c r="F32" s="96">
        <v>44206</v>
      </c>
      <c r="G32" s="98" t="s">
        <v>160</v>
      </c>
      <c r="H32" s="101">
        <v>44921</v>
      </c>
      <c r="I32" s="101">
        <v>45103</v>
      </c>
      <c r="J32" s="96">
        <v>45077</v>
      </c>
      <c r="K32" s="96">
        <v>45077</v>
      </c>
      <c r="L32" s="98" t="str">
        <f t="shared" si="0"/>
        <v>2Y4M21D</v>
      </c>
      <c r="M32" s="98" t="str">
        <f t="shared" si="1"/>
        <v>2Y4M5D</v>
      </c>
      <c r="N32" s="103">
        <f t="shared" si="2"/>
        <v>2.3863013698630136</v>
      </c>
      <c r="O32" s="98">
        <v>1</v>
      </c>
      <c r="P32" s="98">
        <v>3</v>
      </c>
      <c r="Q32" s="98"/>
      <c r="R32" s="98">
        <v>1</v>
      </c>
      <c r="S32" s="98">
        <v>1</v>
      </c>
      <c r="T32" s="98">
        <v>1</v>
      </c>
      <c r="U32" s="98" t="s">
        <v>2415</v>
      </c>
      <c r="V32" s="98" t="s">
        <v>1661</v>
      </c>
      <c r="W32" s="98">
        <v>1</v>
      </c>
      <c r="X32" s="98">
        <v>1</v>
      </c>
      <c r="Y32" s="98">
        <v>1</v>
      </c>
      <c r="Z32" s="98">
        <v>1</v>
      </c>
      <c r="AA32" s="98">
        <v>1</v>
      </c>
      <c r="AB32" s="98">
        <v>1</v>
      </c>
      <c r="AC32" s="98" t="s">
        <v>1954</v>
      </c>
      <c r="AD32" s="98">
        <v>1</v>
      </c>
      <c r="AE32" s="98">
        <v>1</v>
      </c>
      <c r="AF32" s="98">
        <v>1</v>
      </c>
      <c r="AG32" s="98">
        <v>1</v>
      </c>
      <c r="AH32" s="96">
        <v>45077</v>
      </c>
      <c r="AI32" s="96" t="str">
        <f t="shared" si="3"/>
        <v>2Y4M21D</v>
      </c>
      <c r="AJ32" s="96" t="str">
        <f t="shared" si="4"/>
        <v>2Y4M5D</v>
      </c>
      <c r="AK32" s="103">
        <f t="shared" si="5"/>
        <v>2.3863013698630136</v>
      </c>
      <c r="AL32" s="98">
        <v>1</v>
      </c>
      <c r="AM32" s="98">
        <v>1</v>
      </c>
      <c r="AN32" s="98">
        <v>1</v>
      </c>
      <c r="AO32" s="98">
        <v>1</v>
      </c>
      <c r="AP32" s="98">
        <v>1</v>
      </c>
      <c r="AQ32" s="98">
        <v>3</v>
      </c>
      <c r="AR32" s="98"/>
      <c r="AS32" s="96">
        <v>45075</v>
      </c>
      <c r="AT32" s="96" t="str">
        <f t="shared" si="6"/>
        <v>2Y4M19D</v>
      </c>
      <c r="AU32" s="96" t="str">
        <f t="shared" si="7"/>
        <v>2Y4M3D</v>
      </c>
      <c r="AV32" s="103">
        <f t="shared" si="8"/>
        <v>2.3808219178082193</v>
      </c>
      <c r="AW32" s="98">
        <v>4</v>
      </c>
      <c r="AX32" s="96">
        <v>45075</v>
      </c>
      <c r="AY32" s="96" t="str">
        <f t="shared" si="9"/>
        <v>2Y4M19D</v>
      </c>
      <c r="AZ32" s="103" t="str">
        <f t="shared" si="10"/>
        <v>2Y4M3D</v>
      </c>
      <c r="BA32" s="103">
        <f t="shared" si="11"/>
        <v>2.3808219178082193</v>
      </c>
      <c r="BB32" s="98">
        <v>4</v>
      </c>
      <c r="BC32" s="96">
        <v>45077</v>
      </c>
      <c r="BD32" s="96" t="str">
        <f t="shared" si="12"/>
        <v>2Y4M21D</v>
      </c>
      <c r="BE32" s="103" t="str">
        <f t="shared" si="13"/>
        <v>2Y4M5D</v>
      </c>
      <c r="BF32" s="103">
        <f t="shared" si="14"/>
        <v>2.3863013698630136</v>
      </c>
      <c r="BG32" s="98">
        <v>2</v>
      </c>
      <c r="BH32" s="98">
        <v>1</v>
      </c>
    </row>
    <row r="33" spans="1:60" s="193" customFormat="1" ht="16">
      <c r="A33" s="26" t="s">
        <v>162</v>
      </c>
      <c r="B33" s="26">
        <v>22104618</v>
      </c>
      <c r="C33" s="26" t="s">
        <v>163</v>
      </c>
      <c r="D33" s="67">
        <v>44028</v>
      </c>
      <c r="E33" s="67">
        <v>44120</v>
      </c>
      <c r="F33" s="67">
        <v>44120</v>
      </c>
      <c r="G33" s="26" t="s">
        <v>165</v>
      </c>
      <c r="H33" s="86">
        <v>44820</v>
      </c>
      <c r="I33" s="86">
        <v>45001</v>
      </c>
      <c r="J33" s="67"/>
      <c r="K33" s="67"/>
      <c r="L33" s="67" t="e">
        <f t="shared" si="0"/>
        <v>#NUM!</v>
      </c>
      <c r="M33" s="67" t="e">
        <f t="shared" si="1"/>
        <v>#NUM!</v>
      </c>
      <c r="N33" s="74">
        <f t="shared" si="2"/>
        <v>-120.87671232876713</v>
      </c>
      <c r="O33" s="26"/>
      <c r="P33" s="26"/>
      <c r="Q33" s="26"/>
      <c r="R33" s="26"/>
      <c r="S33" s="26"/>
      <c r="T33" s="26"/>
      <c r="U33" s="26"/>
      <c r="V33" s="26"/>
      <c r="W33" s="26"/>
      <c r="X33" s="26"/>
      <c r="Y33" s="26"/>
      <c r="Z33" s="26"/>
      <c r="AA33" s="26"/>
      <c r="AB33" s="26"/>
      <c r="AC33" s="26"/>
      <c r="AD33" s="26"/>
      <c r="AE33" s="26"/>
      <c r="AF33" s="26"/>
      <c r="AG33" s="26"/>
      <c r="AH33" s="67"/>
      <c r="AI33" s="67" t="e">
        <f t="shared" si="3"/>
        <v>#NUM!</v>
      </c>
      <c r="AJ33" s="67" t="e">
        <f t="shared" si="4"/>
        <v>#NUM!</v>
      </c>
      <c r="AK33" s="74">
        <f t="shared" si="5"/>
        <v>-120.87671232876713</v>
      </c>
      <c r="AL33" s="26"/>
      <c r="AM33" s="26"/>
      <c r="AN33" s="26"/>
      <c r="AO33" s="26"/>
      <c r="AP33" s="26"/>
      <c r="AQ33" s="26"/>
      <c r="AR33" s="26"/>
      <c r="AS33" s="67"/>
      <c r="AT33" s="67" t="e">
        <f t="shared" si="6"/>
        <v>#NUM!</v>
      </c>
      <c r="AU33" s="67" t="e">
        <f t="shared" si="7"/>
        <v>#NUM!</v>
      </c>
      <c r="AV33" s="74">
        <f t="shared" si="8"/>
        <v>-120.87671232876713</v>
      </c>
      <c r="AW33" s="26"/>
      <c r="AX33" s="67"/>
      <c r="AY33" s="67" t="e">
        <f t="shared" si="9"/>
        <v>#NUM!</v>
      </c>
      <c r="AZ33" s="74" t="e">
        <f t="shared" si="10"/>
        <v>#NUM!</v>
      </c>
      <c r="BA33" s="74">
        <f t="shared" si="11"/>
        <v>-120.87671232876713</v>
      </c>
      <c r="BB33" s="26"/>
      <c r="BC33" s="67"/>
      <c r="BD33" s="67" t="e">
        <f t="shared" si="12"/>
        <v>#NUM!</v>
      </c>
      <c r="BE33" s="74" t="e">
        <f t="shared" si="13"/>
        <v>#NUM!</v>
      </c>
      <c r="BF33" s="74">
        <f t="shared" si="14"/>
        <v>-120.87671232876713</v>
      </c>
      <c r="BG33" s="26"/>
      <c r="BH33" s="26">
        <v>1</v>
      </c>
    </row>
    <row r="34" spans="1:60" s="189" customFormat="1" ht="16">
      <c r="A34" s="99" t="s">
        <v>167</v>
      </c>
      <c r="B34" s="99">
        <v>4997153</v>
      </c>
      <c r="C34" s="99" t="s">
        <v>168</v>
      </c>
      <c r="D34" s="95">
        <v>43563</v>
      </c>
      <c r="E34" s="95">
        <v>43557</v>
      </c>
      <c r="F34" s="95">
        <v>43563</v>
      </c>
      <c r="G34" s="99" t="s">
        <v>170</v>
      </c>
      <c r="H34" s="101">
        <v>44257</v>
      </c>
      <c r="I34" s="101">
        <v>44441</v>
      </c>
      <c r="J34" s="95">
        <v>44335</v>
      </c>
      <c r="K34" s="96">
        <v>44271</v>
      </c>
      <c r="L34" s="96" t="str">
        <f t="shared" si="0"/>
        <v>1Y11M8D</v>
      </c>
      <c r="M34" s="96" t="str">
        <f t="shared" si="1"/>
        <v>1Y11M14D</v>
      </c>
      <c r="N34" s="103">
        <f t="shared" si="2"/>
        <v>1.9397260273972603</v>
      </c>
      <c r="O34" s="98">
        <v>1</v>
      </c>
      <c r="P34" s="98">
        <v>4</v>
      </c>
      <c r="Q34" s="98" t="s">
        <v>1665</v>
      </c>
      <c r="R34" s="98">
        <v>1</v>
      </c>
      <c r="S34" s="98">
        <v>1</v>
      </c>
      <c r="T34" s="98">
        <v>1</v>
      </c>
      <c r="U34" s="98" t="s">
        <v>1666</v>
      </c>
      <c r="V34" s="98" t="s">
        <v>1661</v>
      </c>
      <c r="W34" s="98">
        <v>1</v>
      </c>
      <c r="X34" s="98">
        <v>1</v>
      </c>
      <c r="Y34" s="98">
        <v>1</v>
      </c>
      <c r="Z34" s="98">
        <v>1</v>
      </c>
      <c r="AA34" s="98">
        <v>1</v>
      </c>
      <c r="AB34" s="98">
        <v>1</v>
      </c>
      <c r="AC34" s="98"/>
      <c r="AD34" s="98">
        <v>1</v>
      </c>
      <c r="AE34" s="98">
        <v>1</v>
      </c>
      <c r="AF34" s="98">
        <v>1</v>
      </c>
      <c r="AG34" s="98">
        <v>1</v>
      </c>
      <c r="AH34" s="96">
        <v>44331</v>
      </c>
      <c r="AI34" s="96" t="str">
        <f t="shared" si="3"/>
        <v>2Y1M7D</v>
      </c>
      <c r="AJ34" s="96" t="str">
        <f t="shared" si="4"/>
        <v>2Y1M13D</v>
      </c>
      <c r="AK34" s="103">
        <f t="shared" si="5"/>
        <v>2.1041095890410957</v>
      </c>
      <c r="AL34" s="98"/>
      <c r="AM34" s="264">
        <v>1</v>
      </c>
      <c r="AN34" s="98">
        <v>1</v>
      </c>
      <c r="AO34" s="98">
        <v>1</v>
      </c>
      <c r="AP34" s="98">
        <v>1</v>
      </c>
      <c r="AQ34" s="98">
        <v>3</v>
      </c>
      <c r="AR34" s="98"/>
      <c r="AS34" s="96">
        <v>44330</v>
      </c>
      <c r="AT34" s="96" t="str">
        <f t="shared" si="6"/>
        <v>2Y1M6D</v>
      </c>
      <c r="AU34" s="96" t="str">
        <f t="shared" si="7"/>
        <v>2Y1M12D</v>
      </c>
      <c r="AV34" s="103">
        <f t="shared" si="8"/>
        <v>2.1013698630136988</v>
      </c>
      <c r="AW34" s="98">
        <v>1</v>
      </c>
      <c r="AX34" s="96">
        <v>44330</v>
      </c>
      <c r="AY34" s="96" t="str">
        <f t="shared" si="9"/>
        <v>2Y1M6D</v>
      </c>
      <c r="AZ34" s="103" t="str">
        <f t="shared" si="10"/>
        <v>2Y1M12D</v>
      </c>
      <c r="BA34" s="103">
        <f t="shared" si="11"/>
        <v>2.1013698630136988</v>
      </c>
      <c r="BB34" s="98">
        <v>1</v>
      </c>
      <c r="BC34" s="96">
        <v>44271</v>
      </c>
      <c r="BD34" s="96" t="str">
        <f t="shared" si="12"/>
        <v>1Y11M8D</v>
      </c>
      <c r="BE34" s="103" t="str">
        <f t="shared" si="13"/>
        <v>1Y11M14D</v>
      </c>
      <c r="BF34" s="103">
        <f t="shared" si="14"/>
        <v>1.9397260273972603</v>
      </c>
      <c r="BG34" s="99">
        <v>1</v>
      </c>
      <c r="BH34" s="99">
        <v>0</v>
      </c>
    </row>
    <row r="35" spans="1:60" s="189" customFormat="1" ht="16">
      <c r="A35" s="99" t="s">
        <v>172</v>
      </c>
      <c r="B35" s="99">
        <v>21926144</v>
      </c>
      <c r="C35" s="99" t="s">
        <v>173</v>
      </c>
      <c r="D35" s="95">
        <v>43245</v>
      </c>
      <c r="E35" s="95">
        <v>43335</v>
      </c>
      <c r="F35" s="95">
        <v>43335</v>
      </c>
      <c r="G35" s="99" t="s">
        <v>175</v>
      </c>
      <c r="H35" s="101">
        <v>44035</v>
      </c>
      <c r="I35" s="101">
        <v>44219</v>
      </c>
      <c r="J35" s="95">
        <v>44433</v>
      </c>
      <c r="K35" s="96">
        <v>44272</v>
      </c>
      <c r="L35" s="96" t="str">
        <f t="shared" si="0"/>
        <v>2Y9M20D</v>
      </c>
      <c r="M35" s="96" t="str">
        <f t="shared" si="1"/>
        <v>2Y6M22D</v>
      </c>
      <c r="N35" s="103">
        <f t="shared" si="2"/>
        <v>2.5671232876712327</v>
      </c>
      <c r="O35" s="98">
        <v>1</v>
      </c>
      <c r="P35" s="98">
        <v>4</v>
      </c>
      <c r="Q35" s="98"/>
      <c r="R35" s="98">
        <v>1</v>
      </c>
      <c r="S35" s="98">
        <v>1</v>
      </c>
      <c r="T35" s="98">
        <v>2</v>
      </c>
      <c r="U35" s="98" t="s">
        <v>1660</v>
      </c>
      <c r="V35" s="98" t="s">
        <v>1664</v>
      </c>
      <c r="W35" s="98">
        <v>1</v>
      </c>
      <c r="X35" s="98">
        <v>1</v>
      </c>
      <c r="Y35" s="98">
        <v>1</v>
      </c>
      <c r="Z35" s="98">
        <v>1</v>
      </c>
      <c r="AA35" s="98">
        <v>1</v>
      </c>
      <c r="AB35" s="98">
        <v>1</v>
      </c>
      <c r="AC35" s="98" t="s">
        <v>1689</v>
      </c>
      <c r="AD35" s="98">
        <v>1</v>
      </c>
      <c r="AE35" s="98">
        <v>1</v>
      </c>
      <c r="AF35" s="98">
        <v>1</v>
      </c>
      <c r="AG35" s="98">
        <v>1</v>
      </c>
      <c r="AH35" s="96">
        <v>44274</v>
      </c>
      <c r="AI35" s="96" t="str">
        <f t="shared" si="3"/>
        <v>2Y9M22D</v>
      </c>
      <c r="AJ35" s="96" t="str">
        <f t="shared" si="4"/>
        <v>2Y6M24D</v>
      </c>
      <c r="AK35" s="103">
        <f t="shared" si="5"/>
        <v>2.5726027397260274</v>
      </c>
      <c r="AL35" s="98"/>
      <c r="AM35" s="264">
        <v>1</v>
      </c>
      <c r="AN35" s="98">
        <v>1</v>
      </c>
      <c r="AO35" s="98">
        <v>1</v>
      </c>
      <c r="AP35" s="98">
        <v>1</v>
      </c>
      <c r="AQ35" s="98">
        <v>3</v>
      </c>
      <c r="AR35" s="98"/>
      <c r="AS35" s="96">
        <v>44274</v>
      </c>
      <c r="AT35" s="96" t="str">
        <f t="shared" si="6"/>
        <v>2Y9M22D</v>
      </c>
      <c r="AU35" s="96" t="str">
        <f t="shared" si="7"/>
        <v>2Y6M24D</v>
      </c>
      <c r="AV35" s="103">
        <f t="shared" si="8"/>
        <v>2.5726027397260274</v>
      </c>
      <c r="AW35" s="98">
        <v>1</v>
      </c>
      <c r="AX35" s="98"/>
      <c r="AY35" s="98" t="e">
        <f t="shared" si="9"/>
        <v>#NUM!</v>
      </c>
      <c r="AZ35" s="103" t="e">
        <f t="shared" si="10"/>
        <v>#NUM!</v>
      </c>
      <c r="BA35" s="103">
        <f t="shared" si="11"/>
        <v>-118.72602739726027</v>
      </c>
      <c r="BB35" s="98"/>
      <c r="BC35" s="96">
        <v>44272</v>
      </c>
      <c r="BD35" s="96" t="str">
        <f t="shared" si="12"/>
        <v>2Y9M20D</v>
      </c>
      <c r="BE35" s="103" t="str">
        <f t="shared" si="13"/>
        <v>2Y6M22D</v>
      </c>
      <c r="BF35" s="103">
        <f t="shared" si="14"/>
        <v>2.5671232876712327</v>
      </c>
      <c r="BG35" s="99">
        <v>1</v>
      </c>
      <c r="BH35" s="99">
        <v>1</v>
      </c>
    </row>
    <row r="36" spans="1:60" s="189" customFormat="1" ht="16">
      <c r="A36" s="99" t="s">
        <v>177</v>
      </c>
      <c r="B36" s="99">
        <v>21923161</v>
      </c>
      <c r="C36" s="99" t="s">
        <v>178</v>
      </c>
      <c r="D36" s="95">
        <v>43447</v>
      </c>
      <c r="E36" s="95">
        <v>43521</v>
      </c>
      <c r="F36" s="95">
        <v>43521</v>
      </c>
      <c r="G36" s="99" t="s">
        <v>180</v>
      </c>
      <c r="H36" s="101">
        <v>44221</v>
      </c>
      <c r="I36" s="101">
        <v>44402</v>
      </c>
      <c r="J36" s="95">
        <v>44461</v>
      </c>
      <c r="K36" s="96">
        <v>44307</v>
      </c>
      <c r="L36" s="96" t="str">
        <f t="shared" si="0"/>
        <v>2Y4M8D</v>
      </c>
      <c r="M36" s="96" t="str">
        <f t="shared" si="1"/>
        <v>2Y1M27D</v>
      </c>
      <c r="N36" s="103">
        <f t="shared" si="2"/>
        <v>2.1534246575342464</v>
      </c>
      <c r="O36" s="98">
        <v>1</v>
      </c>
      <c r="P36" s="98">
        <v>2</v>
      </c>
      <c r="Q36" s="99" t="s">
        <v>1703</v>
      </c>
      <c r="R36" s="98">
        <v>1</v>
      </c>
      <c r="S36" s="99">
        <v>1</v>
      </c>
      <c r="T36" s="99"/>
      <c r="U36" s="99" t="s">
        <v>1682</v>
      </c>
      <c r="V36" s="98" t="s">
        <v>1661</v>
      </c>
      <c r="W36" s="98">
        <v>1</v>
      </c>
      <c r="X36" s="99">
        <v>1</v>
      </c>
      <c r="Y36" s="98">
        <v>1</v>
      </c>
      <c r="Z36" s="98">
        <v>1</v>
      </c>
      <c r="AA36" s="98">
        <v>1</v>
      </c>
      <c r="AB36" s="98"/>
      <c r="AC36" s="98" t="s">
        <v>1673</v>
      </c>
      <c r="AD36" s="98">
        <v>1</v>
      </c>
      <c r="AE36" s="98">
        <v>1</v>
      </c>
      <c r="AF36" s="98">
        <v>1</v>
      </c>
      <c r="AG36" s="98">
        <v>1</v>
      </c>
      <c r="AH36" s="96">
        <v>44468</v>
      </c>
      <c r="AI36" s="96" t="str">
        <f t="shared" si="3"/>
        <v>2Y9M16D</v>
      </c>
      <c r="AJ36" s="96" t="str">
        <f t="shared" si="4"/>
        <v>2Y7M4D</v>
      </c>
      <c r="AK36" s="103">
        <f t="shared" si="5"/>
        <v>2.5945205479452054</v>
      </c>
      <c r="AL36" s="98"/>
      <c r="AM36" s="264">
        <v>1</v>
      </c>
      <c r="AN36" s="98">
        <v>1</v>
      </c>
      <c r="AO36" s="98">
        <v>1</v>
      </c>
      <c r="AP36" s="98">
        <v>1</v>
      </c>
      <c r="AQ36" s="98"/>
      <c r="AR36" s="98" t="s">
        <v>1679</v>
      </c>
      <c r="AS36" s="96">
        <v>44468</v>
      </c>
      <c r="AT36" s="96" t="str">
        <f t="shared" si="6"/>
        <v>2Y9M16D</v>
      </c>
      <c r="AU36" s="96" t="str">
        <f t="shared" si="7"/>
        <v>2Y7M4D</v>
      </c>
      <c r="AV36" s="103">
        <f t="shared" si="8"/>
        <v>2.5945205479452054</v>
      </c>
      <c r="AW36" s="98">
        <v>1</v>
      </c>
      <c r="AX36" s="96">
        <v>44468</v>
      </c>
      <c r="AY36" s="96" t="str">
        <f t="shared" si="9"/>
        <v>2Y9M16D</v>
      </c>
      <c r="AZ36" s="103" t="str">
        <f t="shared" si="10"/>
        <v>2Y7M4D</v>
      </c>
      <c r="BA36" s="103">
        <f t="shared" si="11"/>
        <v>2.5945205479452054</v>
      </c>
      <c r="BB36" s="98">
        <v>1</v>
      </c>
      <c r="BC36" s="96">
        <v>44307</v>
      </c>
      <c r="BD36" s="96" t="str">
        <f t="shared" si="12"/>
        <v>2Y4M8D</v>
      </c>
      <c r="BE36" s="103" t="str">
        <f t="shared" si="13"/>
        <v>2Y1M27D</v>
      </c>
      <c r="BF36" s="103">
        <f t="shared" si="14"/>
        <v>2.1534246575342464</v>
      </c>
      <c r="BG36" s="99">
        <v>1</v>
      </c>
      <c r="BH36" s="99">
        <v>1</v>
      </c>
    </row>
    <row r="37" spans="1:60" s="193" customFormat="1" ht="16">
      <c r="A37" s="25" t="s">
        <v>182</v>
      </c>
      <c r="B37" s="25">
        <v>22104076</v>
      </c>
      <c r="C37" s="25" t="s">
        <v>183</v>
      </c>
      <c r="D37" s="32">
        <v>43976</v>
      </c>
      <c r="E37" s="32">
        <v>44069</v>
      </c>
      <c r="F37" s="32">
        <v>44069</v>
      </c>
      <c r="G37" s="25" t="s">
        <v>185</v>
      </c>
      <c r="H37" s="86">
        <v>44768</v>
      </c>
      <c r="I37" s="86">
        <v>44952</v>
      </c>
      <c r="J37" s="32"/>
      <c r="K37" s="25"/>
      <c r="L37" s="25" t="e">
        <f t="shared" si="0"/>
        <v>#NUM!</v>
      </c>
      <c r="M37" s="25" t="e">
        <f t="shared" si="1"/>
        <v>#NUM!</v>
      </c>
      <c r="N37" s="64">
        <f t="shared" si="2"/>
        <v>-120.73698630136987</v>
      </c>
      <c r="O37" s="26"/>
      <c r="P37" s="26"/>
      <c r="Q37" s="26"/>
      <c r="R37" s="26"/>
      <c r="S37" s="26"/>
      <c r="T37" s="26"/>
      <c r="U37" s="26"/>
      <c r="V37" s="26"/>
      <c r="W37" s="26"/>
      <c r="X37" s="26"/>
      <c r="Y37" s="26"/>
      <c r="Z37" s="26"/>
      <c r="AA37" s="26"/>
      <c r="AB37" s="26"/>
      <c r="AC37" s="26"/>
      <c r="AD37" s="26"/>
      <c r="AE37" s="26"/>
      <c r="AF37" s="26"/>
      <c r="AG37" s="26"/>
      <c r="AH37" s="25"/>
      <c r="AI37" s="25" t="e">
        <f t="shared" si="3"/>
        <v>#NUM!</v>
      </c>
      <c r="AJ37" s="25" t="e">
        <f t="shared" si="4"/>
        <v>#NUM!</v>
      </c>
      <c r="AK37" s="64">
        <f t="shared" si="5"/>
        <v>-120.73698630136987</v>
      </c>
      <c r="AL37" s="26"/>
      <c r="AM37" s="26"/>
      <c r="AN37" s="26"/>
      <c r="AO37" s="26"/>
      <c r="AP37" s="26"/>
      <c r="AQ37" s="26"/>
      <c r="AR37" s="26"/>
      <c r="AS37" s="25"/>
      <c r="AT37" s="25" t="e">
        <f t="shared" si="6"/>
        <v>#NUM!</v>
      </c>
      <c r="AU37" s="25" t="e">
        <f t="shared" si="7"/>
        <v>#NUM!</v>
      </c>
      <c r="AV37" s="64">
        <f t="shared" si="8"/>
        <v>-120.73698630136987</v>
      </c>
      <c r="AW37" s="26"/>
      <c r="AX37" s="25"/>
      <c r="AY37" s="25" t="e">
        <f t="shared" si="9"/>
        <v>#NUM!</v>
      </c>
      <c r="AZ37" s="64" t="e">
        <f t="shared" si="10"/>
        <v>#NUM!</v>
      </c>
      <c r="BA37" s="64">
        <f t="shared" si="11"/>
        <v>-120.73698630136987</v>
      </c>
      <c r="BB37" s="26"/>
      <c r="BC37" s="25"/>
      <c r="BD37" s="25" t="e">
        <f t="shared" si="12"/>
        <v>#NUM!</v>
      </c>
      <c r="BE37" s="64" t="e">
        <f t="shared" si="13"/>
        <v>#NUM!</v>
      </c>
      <c r="BF37" s="64">
        <f t="shared" si="14"/>
        <v>-120.73698630136987</v>
      </c>
      <c r="BG37" s="25"/>
      <c r="BH37" s="25">
        <v>1</v>
      </c>
    </row>
    <row r="38" spans="1:60" s="189" customFormat="1" ht="16">
      <c r="A38" s="99" t="s">
        <v>187</v>
      </c>
      <c r="B38" s="99">
        <v>21929566</v>
      </c>
      <c r="C38" s="99" t="s">
        <v>188</v>
      </c>
      <c r="D38" s="95">
        <v>43567</v>
      </c>
      <c r="E38" s="95">
        <v>43676</v>
      </c>
      <c r="F38" s="95">
        <v>43676</v>
      </c>
      <c r="G38" s="99" t="s">
        <v>190</v>
      </c>
      <c r="H38" s="101">
        <v>44377</v>
      </c>
      <c r="I38" s="101">
        <v>44560</v>
      </c>
      <c r="J38" s="95">
        <v>44420</v>
      </c>
      <c r="K38" s="95">
        <v>44420</v>
      </c>
      <c r="L38" s="95" t="str">
        <f t="shared" si="0"/>
        <v>2Y4M0D</v>
      </c>
      <c r="M38" s="95" t="str">
        <f t="shared" si="1"/>
        <v>2Y0M13D</v>
      </c>
      <c r="N38" s="102">
        <f t="shared" si="2"/>
        <v>2.0383561643835617</v>
      </c>
      <c r="O38" s="98" t="s">
        <v>2419</v>
      </c>
      <c r="P38" s="99">
        <v>5</v>
      </c>
      <c r="Q38" s="99"/>
      <c r="R38" s="98">
        <v>1</v>
      </c>
      <c r="S38" s="99">
        <v>1</v>
      </c>
      <c r="T38" s="99"/>
      <c r="U38" s="99" t="s">
        <v>1689</v>
      </c>
      <c r="V38" s="99" t="s">
        <v>1661</v>
      </c>
      <c r="W38" s="98">
        <v>1</v>
      </c>
      <c r="X38" s="99">
        <v>1</v>
      </c>
      <c r="Y38" s="98">
        <v>1</v>
      </c>
      <c r="Z38" s="99">
        <v>1</v>
      </c>
      <c r="AA38" s="98">
        <v>1</v>
      </c>
      <c r="AB38" s="99"/>
      <c r="AC38" s="99" t="s">
        <v>1674</v>
      </c>
      <c r="AD38" s="99">
        <v>1</v>
      </c>
      <c r="AE38" s="99">
        <v>1</v>
      </c>
      <c r="AF38" s="99">
        <v>1</v>
      </c>
      <c r="AG38" s="99">
        <v>1</v>
      </c>
      <c r="AH38" s="95">
        <v>44443</v>
      </c>
      <c r="AI38" s="95" t="str">
        <f t="shared" si="3"/>
        <v>2Y4M23D</v>
      </c>
      <c r="AJ38" s="95" t="str">
        <f t="shared" si="4"/>
        <v>2Y1M5D</v>
      </c>
      <c r="AK38" s="102">
        <f t="shared" si="5"/>
        <v>2.1013698630136988</v>
      </c>
      <c r="AL38" s="98"/>
      <c r="AM38" s="99">
        <v>1</v>
      </c>
      <c r="AN38" s="98">
        <v>1</v>
      </c>
      <c r="AO38" s="99">
        <v>1</v>
      </c>
      <c r="AP38" s="98">
        <v>1</v>
      </c>
      <c r="AQ38" s="99">
        <v>3</v>
      </c>
      <c r="AR38" s="99"/>
      <c r="AS38" s="95">
        <v>44444</v>
      </c>
      <c r="AT38" s="95" t="str">
        <f t="shared" si="6"/>
        <v>2Y4M24D</v>
      </c>
      <c r="AU38" s="95" t="str">
        <f t="shared" si="7"/>
        <v>2Y1M6D</v>
      </c>
      <c r="AV38" s="102">
        <f t="shared" si="8"/>
        <v>2.1041095890410957</v>
      </c>
      <c r="AW38" s="98">
        <v>1</v>
      </c>
      <c r="AX38" s="99"/>
      <c r="AY38" s="99" t="e">
        <f t="shared" si="9"/>
        <v>#NUM!</v>
      </c>
      <c r="AZ38" s="102" t="e">
        <f t="shared" si="10"/>
        <v>#NUM!</v>
      </c>
      <c r="BA38" s="102">
        <f t="shared" si="11"/>
        <v>-119.66027397260274</v>
      </c>
      <c r="BB38" s="98"/>
      <c r="BC38" s="95">
        <v>44420</v>
      </c>
      <c r="BD38" s="95" t="str">
        <f t="shared" si="12"/>
        <v>2Y4M0D</v>
      </c>
      <c r="BE38" s="102" t="str">
        <f t="shared" si="13"/>
        <v>2Y0M13D</v>
      </c>
      <c r="BF38" s="102">
        <f t="shared" si="14"/>
        <v>2.0383561643835617</v>
      </c>
      <c r="BG38" s="99">
        <v>1</v>
      </c>
      <c r="BH38" s="99">
        <v>1</v>
      </c>
    </row>
    <row r="39" spans="1:60" s="193" customFormat="1" ht="16">
      <c r="A39" s="25" t="s">
        <v>192</v>
      </c>
      <c r="B39" s="25">
        <v>22103802</v>
      </c>
      <c r="C39" s="25" t="s">
        <v>193</v>
      </c>
      <c r="D39" s="32">
        <v>43945</v>
      </c>
      <c r="E39" s="32">
        <v>44058</v>
      </c>
      <c r="F39" s="32">
        <v>44058</v>
      </c>
      <c r="G39" s="25" t="s">
        <v>194</v>
      </c>
      <c r="H39" s="86">
        <v>44757</v>
      </c>
      <c r="I39" s="86">
        <v>44941</v>
      </c>
      <c r="J39" s="32" t="s">
        <v>1955</v>
      </c>
      <c r="K39" s="32" t="s">
        <v>1955</v>
      </c>
      <c r="L39" s="32" t="e">
        <f t="shared" si="0"/>
        <v>#VALUE!</v>
      </c>
      <c r="M39" s="32" t="e">
        <f t="shared" si="1"/>
        <v>#VALUE!</v>
      </c>
      <c r="N39" s="64" t="e">
        <f t="shared" si="2"/>
        <v>#VALUE!</v>
      </c>
      <c r="O39" s="32"/>
      <c r="P39" s="32" t="s">
        <v>1955</v>
      </c>
      <c r="Q39" s="32" t="s">
        <v>1955</v>
      </c>
      <c r="R39" s="32"/>
      <c r="S39" s="32" t="s">
        <v>1955</v>
      </c>
      <c r="T39" s="32" t="s">
        <v>1955</v>
      </c>
      <c r="U39" s="32" t="s">
        <v>1955</v>
      </c>
      <c r="V39" s="32" t="s">
        <v>1955</v>
      </c>
      <c r="W39" s="32"/>
      <c r="X39" s="32" t="s">
        <v>1955</v>
      </c>
      <c r="Y39" s="32" t="s">
        <v>1955</v>
      </c>
      <c r="Z39" s="32" t="s">
        <v>1955</v>
      </c>
      <c r="AA39" s="32" t="s">
        <v>1955</v>
      </c>
      <c r="AB39" s="32" t="s">
        <v>1955</v>
      </c>
      <c r="AC39" s="32" t="s">
        <v>1955</v>
      </c>
      <c r="AD39" s="32"/>
      <c r="AE39" s="32" t="s">
        <v>1955</v>
      </c>
      <c r="AF39" s="32"/>
      <c r="AG39" s="32" t="s">
        <v>1955</v>
      </c>
      <c r="AH39" s="32" t="s">
        <v>1955</v>
      </c>
      <c r="AI39" s="32" t="e">
        <f t="shared" si="3"/>
        <v>#VALUE!</v>
      </c>
      <c r="AJ39" s="32" t="e">
        <f t="shared" si="4"/>
        <v>#VALUE!</v>
      </c>
      <c r="AK39" s="64" t="e">
        <f t="shared" si="5"/>
        <v>#VALUE!</v>
      </c>
      <c r="AL39" s="32" t="s">
        <v>1955</v>
      </c>
      <c r="AM39" s="32" t="s">
        <v>1955</v>
      </c>
      <c r="AN39" s="32" t="s">
        <v>1955</v>
      </c>
      <c r="AO39" s="32" t="s">
        <v>1955</v>
      </c>
      <c r="AP39" s="32" t="s">
        <v>1955</v>
      </c>
      <c r="AQ39" s="32" t="s">
        <v>1955</v>
      </c>
      <c r="AR39" s="32" t="s">
        <v>1955</v>
      </c>
      <c r="AS39" s="32" t="s">
        <v>1955</v>
      </c>
      <c r="AT39" s="32" t="e">
        <f t="shared" si="6"/>
        <v>#VALUE!</v>
      </c>
      <c r="AU39" s="32" t="e">
        <f t="shared" si="7"/>
        <v>#VALUE!</v>
      </c>
      <c r="AV39" s="64" t="e">
        <f t="shared" si="8"/>
        <v>#VALUE!</v>
      </c>
      <c r="AW39" s="32" t="s">
        <v>1955</v>
      </c>
      <c r="AX39" s="32" t="s">
        <v>1955</v>
      </c>
      <c r="AY39" s="32" t="e">
        <f t="shared" si="9"/>
        <v>#VALUE!</v>
      </c>
      <c r="AZ39" s="64" t="e">
        <f t="shared" si="10"/>
        <v>#VALUE!</v>
      </c>
      <c r="BA39" s="64" t="e">
        <f t="shared" si="11"/>
        <v>#VALUE!</v>
      </c>
      <c r="BB39" s="32" t="s">
        <v>1955</v>
      </c>
      <c r="BC39" s="32" t="s">
        <v>1955</v>
      </c>
      <c r="BD39" s="32" t="e">
        <f t="shared" si="12"/>
        <v>#VALUE!</v>
      </c>
      <c r="BE39" s="64" t="e">
        <f t="shared" si="13"/>
        <v>#VALUE!</v>
      </c>
      <c r="BF39" s="64" t="e">
        <f t="shared" si="14"/>
        <v>#VALUE!</v>
      </c>
      <c r="BG39" s="32" t="s">
        <v>1955</v>
      </c>
      <c r="BH39" s="25">
        <v>1</v>
      </c>
    </row>
    <row r="40" spans="1:60" s="193" customFormat="1" ht="16">
      <c r="A40" s="25" t="s">
        <v>196</v>
      </c>
      <c r="B40" s="25">
        <v>22106464</v>
      </c>
      <c r="C40" s="25" t="s">
        <v>197</v>
      </c>
      <c r="D40" s="32">
        <v>44205</v>
      </c>
      <c r="E40" s="32">
        <v>44265</v>
      </c>
      <c r="F40" s="32">
        <v>44265</v>
      </c>
      <c r="G40" s="25" t="s">
        <v>105</v>
      </c>
      <c r="H40" s="86">
        <v>44967</v>
      </c>
      <c r="I40" s="86">
        <v>45148</v>
      </c>
      <c r="J40" s="32"/>
      <c r="K40" s="32"/>
      <c r="L40" s="32" t="e">
        <f t="shared" si="0"/>
        <v>#NUM!</v>
      </c>
      <c r="M40" s="32" t="e">
        <f t="shared" si="1"/>
        <v>#NUM!</v>
      </c>
      <c r="N40" s="64">
        <f t="shared" si="2"/>
        <v>-121.27397260273973</v>
      </c>
      <c r="O40" s="25"/>
      <c r="P40" s="25"/>
      <c r="Q40" s="25"/>
      <c r="R40" s="25"/>
      <c r="S40" s="25"/>
      <c r="T40" s="25"/>
      <c r="U40" s="25"/>
      <c r="V40" s="25"/>
      <c r="W40" s="25"/>
      <c r="X40" s="25"/>
      <c r="Y40" s="25"/>
      <c r="Z40" s="25"/>
      <c r="AA40" s="25"/>
      <c r="AB40" s="25"/>
      <c r="AC40" s="25"/>
      <c r="AD40" s="25"/>
      <c r="AE40" s="25"/>
      <c r="AF40" s="25"/>
      <c r="AG40" s="25"/>
      <c r="AH40" s="32"/>
      <c r="AI40" s="32" t="e">
        <f t="shared" si="3"/>
        <v>#NUM!</v>
      </c>
      <c r="AJ40" s="32" t="e">
        <f t="shared" si="4"/>
        <v>#NUM!</v>
      </c>
      <c r="AK40" s="64">
        <f t="shared" si="5"/>
        <v>-121.27397260273973</v>
      </c>
      <c r="AL40" s="25"/>
      <c r="AM40" s="25"/>
      <c r="AN40" s="25"/>
      <c r="AO40" s="25"/>
      <c r="AP40" s="25"/>
      <c r="AQ40" s="25"/>
      <c r="AR40" s="25"/>
      <c r="AS40" s="32"/>
      <c r="AT40" s="32" t="e">
        <f t="shared" si="6"/>
        <v>#NUM!</v>
      </c>
      <c r="AU40" s="32" t="e">
        <f t="shared" si="7"/>
        <v>#NUM!</v>
      </c>
      <c r="AV40" s="64">
        <f t="shared" si="8"/>
        <v>-121.27397260273973</v>
      </c>
      <c r="AW40" s="25"/>
      <c r="AX40" s="32"/>
      <c r="AY40" s="32" t="e">
        <f t="shared" si="9"/>
        <v>#NUM!</v>
      </c>
      <c r="AZ40" s="64" t="e">
        <f t="shared" si="10"/>
        <v>#NUM!</v>
      </c>
      <c r="BA40" s="64">
        <f t="shared" si="11"/>
        <v>-121.27397260273973</v>
      </c>
      <c r="BB40" s="25"/>
      <c r="BC40" s="32"/>
      <c r="BD40" s="32" t="e">
        <f t="shared" si="12"/>
        <v>#NUM!</v>
      </c>
      <c r="BE40" s="64" t="e">
        <f t="shared" si="13"/>
        <v>#NUM!</v>
      </c>
      <c r="BF40" s="64">
        <f t="shared" si="14"/>
        <v>-121.27397260273973</v>
      </c>
      <c r="BG40" s="25"/>
      <c r="BH40" s="25">
        <v>1</v>
      </c>
    </row>
    <row r="41" spans="1:60" s="110" customFormat="1" ht="16">
      <c r="A41" s="17" t="s">
        <v>200</v>
      </c>
      <c r="B41" s="17">
        <v>22102954</v>
      </c>
      <c r="C41" s="17" t="s">
        <v>201</v>
      </c>
      <c r="D41" s="40">
        <v>43860</v>
      </c>
      <c r="E41" s="40">
        <v>43952</v>
      </c>
      <c r="F41" s="40">
        <v>43952</v>
      </c>
      <c r="G41" s="17" t="s">
        <v>165</v>
      </c>
      <c r="H41" s="75">
        <v>44652</v>
      </c>
      <c r="I41" s="75">
        <v>44835</v>
      </c>
      <c r="J41" s="40">
        <v>44694</v>
      </c>
      <c r="K41" s="40">
        <v>44694</v>
      </c>
      <c r="L41" s="40" t="str">
        <f t="shared" si="0"/>
        <v>2Y3M13D</v>
      </c>
      <c r="M41" s="40" t="str">
        <f t="shared" si="1"/>
        <v>2Y0M12D</v>
      </c>
      <c r="N41" s="21">
        <f t="shared" si="2"/>
        <v>2.032876712328767</v>
      </c>
      <c r="O41" s="17">
        <v>2</v>
      </c>
      <c r="P41" s="17">
        <v>3</v>
      </c>
      <c r="Q41" s="17"/>
      <c r="R41" s="19">
        <v>1</v>
      </c>
      <c r="S41" s="17">
        <v>1</v>
      </c>
      <c r="T41" s="17">
        <v>1</v>
      </c>
      <c r="U41" s="17" t="s">
        <v>1715</v>
      </c>
      <c r="V41" s="17" t="s">
        <v>1661</v>
      </c>
      <c r="W41" s="17">
        <v>1</v>
      </c>
      <c r="X41" s="17">
        <v>1</v>
      </c>
      <c r="Y41" s="17">
        <v>1</v>
      </c>
      <c r="Z41" s="17">
        <v>1</v>
      </c>
      <c r="AA41" s="17">
        <v>1</v>
      </c>
      <c r="AB41" s="17">
        <v>1</v>
      </c>
      <c r="AC41" s="17" t="s">
        <v>1666</v>
      </c>
      <c r="AD41" s="17">
        <v>1</v>
      </c>
      <c r="AE41" s="17">
        <v>1</v>
      </c>
      <c r="AF41" s="17">
        <v>1</v>
      </c>
      <c r="AG41" s="17">
        <v>1</v>
      </c>
      <c r="AH41" s="22" t="s">
        <v>1720</v>
      </c>
      <c r="AI41" s="22" t="e">
        <f t="shared" si="3"/>
        <v>#VALUE!</v>
      </c>
      <c r="AJ41" s="22" t="e">
        <f t="shared" si="4"/>
        <v>#VALUE!</v>
      </c>
      <c r="AK41" s="70" t="e">
        <f t="shared" si="5"/>
        <v>#VALUE!</v>
      </c>
      <c r="AL41" s="17"/>
      <c r="AM41" s="17"/>
      <c r="AN41" s="17"/>
      <c r="AO41" s="17"/>
      <c r="AP41" s="17"/>
      <c r="AQ41" s="17"/>
      <c r="AR41" s="17"/>
      <c r="AS41" s="40">
        <v>44690</v>
      </c>
      <c r="AT41" s="40" t="str">
        <f t="shared" si="6"/>
        <v>2Y3M9D</v>
      </c>
      <c r="AU41" s="40" t="str">
        <f t="shared" si="7"/>
        <v>2Y0M8D</v>
      </c>
      <c r="AV41" s="21">
        <f t="shared" si="8"/>
        <v>2.021917808219178</v>
      </c>
      <c r="AW41" s="17">
        <v>1</v>
      </c>
      <c r="AX41" s="40">
        <v>44692</v>
      </c>
      <c r="AY41" s="40" t="str">
        <f t="shared" si="9"/>
        <v>2Y3M11D</v>
      </c>
      <c r="AZ41" s="21" t="str">
        <f t="shared" si="10"/>
        <v>2Y0M10D</v>
      </c>
      <c r="BA41" s="21">
        <f t="shared" si="11"/>
        <v>2.0273972602739727</v>
      </c>
      <c r="BB41" s="17">
        <v>1</v>
      </c>
      <c r="BC41" s="40">
        <v>44694</v>
      </c>
      <c r="BD41" s="40" t="str">
        <f t="shared" si="12"/>
        <v>2Y3M13D</v>
      </c>
      <c r="BE41" s="21" t="str">
        <f t="shared" si="13"/>
        <v>2Y0M12D</v>
      </c>
      <c r="BF41" s="21">
        <f t="shared" si="14"/>
        <v>2.032876712328767</v>
      </c>
      <c r="BG41" s="17"/>
      <c r="BH41" s="17">
        <v>1</v>
      </c>
    </row>
    <row r="42" spans="1:60" s="193" customFormat="1" ht="16">
      <c r="A42" s="25" t="s">
        <v>204</v>
      </c>
      <c r="B42" s="25">
        <v>22104292</v>
      </c>
      <c r="C42" s="25" t="s">
        <v>205</v>
      </c>
      <c r="D42" s="32">
        <v>43998</v>
      </c>
      <c r="E42" s="32">
        <v>44106</v>
      </c>
      <c r="F42" s="32">
        <v>44106</v>
      </c>
      <c r="G42" s="25" t="s">
        <v>207</v>
      </c>
      <c r="H42" s="86">
        <v>44806</v>
      </c>
      <c r="I42" s="86">
        <v>44987</v>
      </c>
      <c r="J42" s="32" t="s">
        <v>1955</v>
      </c>
      <c r="K42" s="32" t="s">
        <v>1955</v>
      </c>
      <c r="L42" s="32" t="e">
        <f t="shared" si="0"/>
        <v>#VALUE!</v>
      </c>
      <c r="M42" s="32" t="e">
        <f t="shared" si="1"/>
        <v>#VALUE!</v>
      </c>
      <c r="N42" s="64" t="e">
        <f t="shared" si="2"/>
        <v>#VALUE!</v>
      </c>
      <c r="O42" s="32"/>
      <c r="P42" s="32" t="s">
        <v>1955</v>
      </c>
      <c r="Q42" s="32" t="s">
        <v>1955</v>
      </c>
      <c r="R42" s="32"/>
      <c r="S42" s="32" t="s">
        <v>1955</v>
      </c>
      <c r="T42" s="32" t="s">
        <v>1955</v>
      </c>
      <c r="U42" s="32" t="s">
        <v>1955</v>
      </c>
      <c r="V42" s="32" t="s">
        <v>1955</v>
      </c>
      <c r="W42" s="32"/>
      <c r="X42" s="32" t="s">
        <v>1955</v>
      </c>
      <c r="Y42" s="32" t="s">
        <v>1955</v>
      </c>
      <c r="Z42" s="32" t="s">
        <v>1955</v>
      </c>
      <c r="AA42" s="32" t="s">
        <v>1955</v>
      </c>
      <c r="AB42" s="32" t="s">
        <v>1955</v>
      </c>
      <c r="AC42" s="32" t="s">
        <v>1955</v>
      </c>
      <c r="AD42" s="32"/>
      <c r="AE42" s="32" t="s">
        <v>1955</v>
      </c>
      <c r="AF42" s="32"/>
      <c r="AG42" s="32" t="s">
        <v>1955</v>
      </c>
      <c r="AH42" s="32" t="s">
        <v>1955</v>
      </c>
      <c r="AI42" s="32" t="e">
        <f t="shared" si="3"/>
        <v>#VALUE!</v>
      </c>
      <c r="AJ42" s="32" t="e">
        <f t="shared" si="4"/>
        <v>#VALUE!</v>
      </c>
      <c r="AK42" s="64" t="e">
        <f t="shared" si="5"/>
        <v>#VALUE!</v>
      </c>
      <c r="AL42" s="32" t="s">
        <v>1955</v>
      </c>
      <c r="AM42" s="32" t="s">
        <v>1955</v>
      </c>
      <c r="AN42" s="32" t="s">
        <v>1955</v>
      </c>
      <c r="AO42" s="32" t="s">
        <v>1955</v>
      </c>
      <c r="AP42" s="32" t="s">
        <v>1955</v>
      </c>
      <c r="AQ42" s="32" t="s">
        <v>1955</v>
      </c>
      <c r="AR42" s="32" t="s">
        <v>1955</v>
      </c>
      <c r="AS42" s="32" t="s">
        <v>1955</v>
      </c>
      <c r="AT42" s="32" t="e">
        <f t="shared" si="6"/>
        <v>#VALUE!</v>
      </c>
      <c r="AU42" s="32" t="e">
        <f t="shared" si="7"/>
        <v>#VALUE!</v>
      </c>
      <c r="AV42" s="64" t="e">
        <f t="shared" si="8"/>
        <v>#VALUE!</v>
      </c>
      <c r="AW42" s="32" t="s">
        <v>1955</v>
      </c>
      <c r="AX42" s="32" t="s">
        <v>1955</v>
      </c>
      <c r="AY42" s="32" t="e">
        <f t="shared" si="9"/>
        <v>#VALUE!</v>
      </c>
      <c r="AZ42" s="64" t="e">
        <f t="shared" si="10"/>
        <v>#VALUE!</v>
      </c>
      <c r="BA42" s="64" t="e">
        <f t="shared" si="11"/>
        <v>#VALUE!</v>
      </c>
      <c r="BB42" s="32" t="s">
        <v>1955</v>
      </c>
      <c r="BC42" s="32" t="s">
        <v>1955</v>
      </c>
      <c r="BD42" s="32" t="e">
        <f t="shared" si="12"/>
        <v>#VALUE!</v>
      </c>
      <c r="BE42" s="64" t="e">
        <f t="shared" si="13"/>
        <v>#VALUE!</v>
      </c>
      <c r="BF42" s="64" t="e">
        <f t="shared" si="14"/>
        <v>#VALUE!</v>
      </c>
      <c r="BG42" s="32" t="s">
        <v>1955</v>
      </c>
      <c r="BH42" s="25">
        <v>1</v>
      </c>
    </row>
    <row r="43" spans="1:60" s="193" customFormat="1" ht="16">
      <c r="A43" s="25" t="s">
        <v>209</v>
      </c>
      <c r="B43" s="25">
        <v>22104265</v>
      </c>
      <c r="C43" s="25" t="s">
        <v>210</v>
      </c>
      <c r="D43" s="32">
        <v>43994</v>
      </c>
      <c r="E43" s="32">
        <v>44099</v>
      </c>
      <c r="F43" s="32">
        <v>44099</v>
      </c>
      <c r="G43" s="25">
        <v>25</v>
      </c>
      <c r="H43" s="86">
        <v>44798</v>
      </c>
      <c r="I43" s="86">
        <v>44982</v>
      </c>
      <c r="J43" s="32"/>
      <c r="K43" s="32"/>
      <c r="L43" s="32" t="e">
        <f t="shared" si="0"/>
        <v>#NUM!</v>
      </c>
      <c r="M43" s="32" t="e">
        <f t="shared" si="1"/>
        <v>#NUM!</v>
      </c>
      <c r="N43" s="64">
        <f t="shared" si="2"/>
        <v>-120.81917808219178</v>
      </c>
      <c r="O43" s="25"/>
      <c r="P43" s="25"/>
      <c r="Q43" s="25"/>
      <c r="R43" s="25"/>
      <c r="S43" s="25"/>
      <c r="T43" s="25"/>
      <c r="U43" s="25"/>
      <c r="V43" s="26"/>
      <c r="W43" s="25"/>
      <c r="X43" s="25"/>
      <c r="Y43" s="25"/>
      <c r="Z43" s="25"/>
      <c r="AA43" s="25"/>
      <c r="AB43" s="25"/>
      <c r="AC43" s="25"/>
      <c r="AD43" s="25"/>
      <c r="AE43" s="25"/>
      <c r="AF43" s="25"/>
      <c r="AG43" s="25"/>
      <c r="AH43" s="32"/>
      <c r="AI43" s="32" t="e">
        <f t="shared" si="3"/>
        <v>#NUM!</v>
      </c>
      <c r="AJ43" s="32" t="e">
        <f t="shared" si="4"/>
        <v>#NUM!</v>
      </c>
      <c r="AK43" s="64">
        <f t="shared" si="5"/>
        <v>-120.81917808219178</v>
      </c>
      <c r="AL43" s="25"/>
      <c r="AM43" s="25"/>
      <c r="AN43" s="25"/>
      <c r="AO43" s="25"/>
      <c r="AP43" s="25"/>
      <c r="AQ43" s="25"/>
      <c r="AR43" s="25"/>
      <c r="AS43" s="32"/>
      <c r="AT43" s="32" t="e">
        <f t="shared" si="6"/>
        <v>#NUM!</v>
      </c>
      <c r="AU43" s="32" t="e">
        <f t="shared" si="7"/>
        <v>#NUM!</v>
      </c>
      <c r="AV43" s="64">
        <f t="shared" si="8"/>
        <v>-120.81917808219178</v>
      </c>
      <c r="AW43" s="25"/>
      <c r="AX43" s="32"/>
      <c r="AY43" s="32" t="e">
        <f t="shared" si="9"/>
        <v>#NUM!</v>
      </c>
      <c r="AZ43" s="64" t="e">
        <f t="shared" si="10"/>
        <v>#NUM!</v>
      </c>
      <c r="BA43" s="64">
        <f t="shared" si="11"/>
        <v>-120.81917808219178</v>
      </c>
      <c r="BB43" s="25"/>
      <c r="BC43" s="32"/>
      <c r="BD43" s="32" t="e">
        <f t="shared" si="12"/>
        <v>#NUM!</v>
      </c>
      <c r="BE43" s="64" t="e">
        <f t="shared" si="13"/>
        <v>#NUM!</v>
      </c>
      <c r="BF43" s="64">
        <f t="shared" si="14"/>
        <v>-120.81917808219178</v>
      </c>
      <c r="BG43" s="25"/>
      <c r="BH43" s="25">
        <v>1</v>
      </c>
    </row>
    <row r="44" spans="1:60" s="193" customFormat="1" ht="16">
      <c r="A44" s="25" t="s">
        <v>212</v>
      </c>
      <c r="B44" s="25">
        <v>22103803</v>
      </c>
      <c r="C44" s="25" t="s">
        <v>213</v>
      </c>
      <c r="D44" s="32">
        <v>43945</v>
      </c>
      <c r="E44" s="32">
        <v>44058</v>
      </c>
      <c r="F44" s="32">
        <v>44058</v>
      </c>
      <c r="G44" s="25" t="s">
        <v>194</v>
      </c>
      <c r="H44" s="86">
        <v>44757</v>
      </c>
      <c r="I44" s="86">
        <v>44941</v>
      </c>
      <c r="J44" s="32" t="s">
        <v>1955</v>
      </c>
      <c r="K44" s="32" t="s">
        <v>1955</v>
      </c>
      <c r="L44" s="32" t="e">
        <f t="shared" si="0"/>
        <v>#VALUE!</v>
      </c>
      <c r="M44" s="32" t="e">
        <f t="shared" si="1"/>
        <v>#VALUE!</v>
      </c>
      <c r="N44" s="64" t="e">
        <f t="shared" si="2"/>
        <v>#VALUE!</v>
      </c>
      <c r="O44" s="32"/>
      <c r="P44" s="32" t="s">
        <v>1955</v>
      </c>
      <c r="Q44" s="32" t="s">
        <v>1955</v>
      </c>
      <c r="R44" s="32"/>
      <c r="S44" s="32" t="s">
        <v>1955</v>
      </c>
      <c r="T44" s="32" t="s">
        <v>1955</v>
      </c>
      <c r="U44" s="32" t="s">
        <v>1955</v>
      </c>
      <c r="V44" s="32" t="s">
        <v>1955</v>
      </c>
      <c r="W44" s="32"/>
      <c r="X44" s="32" t="s">
        <v>1955</v>
      </c>
      <c r="Y44" s="32" t="s">
        <v>1955</v>
      </c>
      <c r="Z44" s="32" t="s">
        <v>1955</v>
      </c>
      <c r="AA44" s="32" t="s">
        <v>1955</v>
      </c>
      <c r="AB44" s="32" t="s">
        <v>1955</v>
      </c>
      <c r="AC44" s="32" t="s">
        <v>1955</v>
      </c>
      <c r="AD44" s="32"/>
      <c r="AE44" s="32" t="s">
        <v>1955</v>
      </c>
      <c r="AF44" s="32"/>
      <c r="AG44" s="32" t="s">
        <v>1955</v>
      </c>
      <c r="AH44" s="32" t="s">
        <v>1955</v>
      </c>
      <c r="AI44" s="32" t="e">
        <f t="shared" si="3"/>
        <v>#VALUE!</v>
      </c>
      <c r="AJ44" s="32" t="e">
        <f t="shared" si="4"/>
        <v>#VALUE!</v>
      </c>
      <c r="AK44" s="64" t="e">
        <f t="shared" si="5"/>
        <v>#VALUE!</v>
      </c>
      <c r="AL44" s="32" t="s">
        <v>1955</v>
      </c>
      <c r="AM44" s="32" t="s">
        <v>1955</v>
      </c>
      <c r="AN44" s="32" t="s">
        <v>1955</v>
      </c>
      <c r="AO44" s="32" t="s">
        <v>1955</v>
      </c>
      <c r="AP44" s="32" t="s">
        <v>1955</v>
      </c>
      <c r="AQ44" s="32" t="s">
        <v>1955</v>
      </c>
      <c r="AR44" s="32" t="s">
        <v>1955</v>
      </c>
      <c r="AS44" s="32" t="s">
        <v>1955</v>
      </c>
      <c r="AT44" s="32" t="e">
        <f t="shared" si="6"/>
        <v>#VALUE!</v>
      </c>
      <c r="AU44" s="32" t="e">
        <f t="shared" si="7"/>
        <v>#VALUE!</v>
      </c>
      <c r="AV44" s="64" t="e">
        <f t="shared" si="8"/>
        <v>#VALUE!</v>
      </c>
      <c r="AW44" s="32" t="s">
        <v>1955</v>
      </c>
      <c r="AX44" s="32" t="s">
        <v>1955</v>
      </c>
      <c r="AY44" s="32" t="e">
        <f t="shared" si="9"/>
        <v>#VALUE!</v>
      </c>
      <c r="AZ44" s="64" t="e">
        <f t="shared" si="10"/>
        <v>#VALUE!</v>
      </c>
      <c r="BA44" s="64" t="e">
        <f t="shared" si="11"/>
        <v>#VALUE!</v>
      </c>
      <c r="BB44" s="32" t="s">
        <v>1955</v>
      </c>
      <c r="BC44" s="32" t="s">
        <v>1955</v>
      </c>
      <c r="BD44" s="32" t="e">
        <f t="shared" si="12"/>
        <v>#VALUE!</v>
      </c>
      <c r="BE44" s="64" t="e">
        <f t="shared" si="13"/>
        <v>#VALUE!</v>
      </c>
      <c r="BF44" s="64" t="e">
        <f t="shared" si="14"/>
        <v>#VALUE!</v>
      </c>
      <c r="BG44" s="32" t="s">
        <v>1955</v>
      </c>
      <c r="BH44" s="25">
        <v>1</v>
      </c>
    </row>
    <row r="45" spans="1:60" s="193" customFormat="1" ht="16">
      <c r="A45" s="25" t="s">
        <v>214</v>
      </c>
      <c r="B45" s="25">
        <v>22105667</v>
      </c>
      <c r="C45" s="25" t="s">
        <v>215</v>
      </c>
      <c r="D45" s="32">
        <v>44130</v>
      </c>
      <c r="E45" s="32">
        <v>44231</v>
      </c>
      <c r="F45" s="32">
        <v>44231</v>
      </c>
      <c r="G45" s="25" t="s">
        <v>217</v>
      </c>
      <c r="H45" s="86">
        <v>44930</v>
      </c>
      <c r="I45" s="86">
        <v>45111</v>
      </c>
      <c r="J45" s="25"/>
      <c r="K45" s="32"/>
      <c r="L45" s="32" t="e">
        <f t="shared" si="0"/>
        <v>#NUM!</v>
      </c>
      <c r="M45" s="32" t="e">
        <f t="shared" si="1"/>
        <v>#NUM!</v>
      </c>
      <c r="N45" s="64">
        <f t="shared" si="2"/>
        <v>-121.18082191780822</v>
      </c>
      <c r="O45" s="25"/>
      <c r="P45" s="25"/>
      <c r="Q45" s="25"/>
      <c r="R45" s="25"/>
      <c r="S45" s="25"/>
      <c r="T45" s="25"/>
      <c r="U45" s="25"/>
      <c r="V45" s="25"/>
      <c r="W45" s="25"/>
      <c r="X45" s="25"/>
      <c r="Y45" s="25"/>
      <c r="Z45" s="25"/>
      <c r="AA45" s="25"/>
      <c r="AB45" s="25"/>
      <c r="AC45" s="25"/>
      <c r="AD45" s="25"/>
      <c r="AE45" s="25"/>
      <c r="AF45" s="25"/>
      <c r="AG45" s="25"/>
      <c r="AH45" s="32"/>
      <c r="AI45" s="32" t="e">
        <f t="shared" si="3"/>
        <v>#NUM!</v>
      </c>
      <c r="AJ45" s="32" t="e">
        <f t="shared" si="4"/>
        <v>#NUM!</v>
      </c>
      <c r="AK45" s="64">
        <f t="shared" si="5"/>
        <v>-121.18082191780822</v>
      </c>
      <c r="AL45" s="25"/>
      <c r="AM45" s="25"/>
      <c r="AN45" s="25"/>
      <c r="AO45" s="25"/>
      <c r="AP45" s="25"/>
      <c r="AQ45" s="25"/>
      <c r="AR45" s="25"/>
      <c r="AS45" s="32"/>
      <c r="AT45" s="32" t="e">
        <f t="shared" si="6"/>
        <v>#NUM!</v>
      </c>
      <c r="AU45" s="32" t="e">
        <f t="shared" si="7"/>
        <v>#NUM!</v>
      </c>
      <c r="AV45" s="64">
        <f t="shared" si="8"/>
        <v>-121.18082191780822</v>
      </c>
      <c r="AW45" s="25"/>
      <c r="AX45" s="32"/>
      <c r="AY45" s="32" t="e">
        <f t="shared" si="9"/>
        <v>#NUM!</v>
      </c>
      <c r="AZ45" s="64" t="e">
        <f t="shared" si="10"/>
        <v>#NUM!</v>
      </c>
      <c r="BA45" s="64">
        <f t="shared" si="11"/>
        <v>-121.18082191780822</v>
      </c>
      <c r="BB45" s="25"/>
      <c r="BC45" s="32"/>
      <c r="BD45" s="32" t="e">
        <f t="shared" si="12"/>
        <v>#NUM!</v>
      </c>
      <c r="BE45" s="64" t="e">
        <f t="shared" si="13"/>
        <v>#NUM!</v>
      </c>
      <c r="BF45" s="64">
        <f t="shared" si="14"/>
        <v>-121.18082191780822</v>
      </c>
      <c r="BG45" s="25"/>
      <c r="BH45" s="25">
        <v>1</v>
      </c>
    </row>
    <row r="46" spans="1:60" s="189" customFormat="1" ht="16">
      <c r="A46" s="99" t="s">
        <v>219</v>
      </c>
      <c r="B46" s="99">
        <v>22107706</v>
      </c>
      <c r="C46" s="99" t="s">
        <v>220</v>
      </c>
      <c r="D46" s="95">
        <v>44328</v>
      </c>
      <c r="E46" s="95">
        <v>44412</v>
      </c>
      <c r="F46" s="95">
        <v>44412</v>
      </c>
      <c r="G46" s="99">
        <v>28</v>
      </c>
      <c r="H46" s="101">
        <v>45111</v>
      </c>
      <c r="I46" s="101">
        <v>45295</v>
      </c>
      <c r="J46" s="95">
        <v>45160</v>
      </c>
      <c r="K46" s="95">
        <v>45160</v>
      </c>
      <c r="L46" s="99" t="str">
        <f t="shared" si="0"/>
        <v>2Y3M10D</v>
      </c>
      <c r="M46" s="99" t="str">
        <f t="shared" si="1"/>
        <v>2Y0M18D</v>
      </c>
      <c r="N46" s="102">
        <f t="shared" si="2"/>
        <v>2.0493150684931507</v>
      </c>
      <c r="O46" s="99">
        <v>2</v>
      </c>
      <c r="P46" s="99">
        <v>3</v>
      </c>
      <c r="Q46" s="99"/>
      <c r="R46" s="99">
        <v>1</v>
      </c>
      <c r="S46" s="99">
        <v>1</v>
      </c>
      <c r="T46" s="99"/>
      <c r="U46" s="99" t="s">
        <v>1673</v>
      </c>
      <c r="V46" s="99" t="s">
        <v>1661</v>
      </c>
      <c r="W46" s="99">
        <v>1</v>
      </c>
      <c r="X46" s="99">
        <v>1</v>
      </c>
      <c r="Y46" s="99">
        <v>1</v>
      </c>
      <c r="Z46" s="99">
        <v>1</v>
      </c>
      <c r="AA46" s="99">
        <v>1</v>
      </c>
      <c r="AB46" s="99"/>
      <c r="AC46" s="99" t="s">
        <v>1673</v>
      </c>
      <c r="AD46" s="99">
        <v>1</v>
      </c>
      <c r="AE46" s="99">
        <v>1</v>
      </c>
      <c r="AF46" s="99">
        <v>1</v>
      </c>
      <c r="AG46" s="99">
        <v>1</v>
      </c>
      <c r="AH46" s="95">
        <v>45160</v>
      </c>
      <c r="AI46" s="99" t="str">
        <f t="shared" si="3"/>
        <v>2Y3M10D</v>
      </c>
      <c r="AJ46" s="99" t="str">
        <f t="shared" si="4"/>
        <v>2Y0M18D</v>
      </c>
      <c r="AK46" s="102">
        <f t="shared" si="5"/>
        <v>2.0493150684931507</v>
      </c>
      <c r="AL46" s="99">
        <v>1</v>
      </c>
      <c r="AM46" s="99">
        <v>1</v>
      </c>
      <c r="AN46" s="99">
        <v>1</v>
      </c>
      <c r="AO46" s="99">
        <v>1</v>
      </c>
      <c r="AP46" s="99">
        <v>2</v>
      </c>
      <c r="AQ46" s="99">
        <v>3</v>
      </c>
      <c r="AR46" s="99"/>
      <c r="AS46" s="95">
        <v>45159</v>
      </c>
      <c r="AT46" s="99" t="str">
        <f t="shared" si="6"/>
        <v>2Y3M9D</v>
      </c>
      <c r="AU46" s="99" t="str">
        <f t="shared" si="7"/>
        <v>2Y0M17D</v>
      </c>
      <c r="AV46" s="102">
        <f t="shared" si="8"/>
        <v>2.0465753424657533</v>
      </c>
      <c r="AW46" s="99">
        <v>5</v>
      </c>
      <c r="AX46" s="95">
        <v>45164</v>
      </c>
      <c r="AY46" s="99" t="str">
        <f t="shared" si="9"/>
        <v>2Y3M14D</v>
      </c>
      <c r="AZ46" s="102" t="str">
        <f t="shared" si="10"/>
        <v>2Y0M22D</v>
      </c>
      <c r="BA46" s="102">
        <f t="shared" si="11"/>
        <v>2.0602739726027397</v>
      </c>
      <c r="BB46" s="99">
        <v>5</v>
      </c>
      <c r="BC46" s="95">
        <v>45160</v>
      </c>
      <c r="BD46" s="99" t="str">
        <f t="shared" si="12"/>
        <v>2Y3M10D</v>
      </c>
      <c r="BE46" s="102" t="str">
        <f t="shared" si="13"/>
        <v>2Y0M18D</v>
      </c>
      <c r="BF46" s="102">
        <f t="shared" si="14"/>
        <v>2.0493150684931507</v>
      </c>
      <c r="BG46" s="99">
        <v>2</v>
      </c>
      <c r="BH46" s="99">
        <v>1</v>
      </c>
    </row>
    <row r="47" spans="1:60" s="193" customFormat="1" ht="16">
      <c r="A47" s="25" t="s">
        <v>223</v>
      </c>
      <c r="B47" s="25">
        <v>22107436</v>
      </c>
      <c r="C47" s="25" t="s">
        <v>224</v>
      </c>
      <c r="D47" s="32">
        <v>44300</v>
      </c>
      <c r="E47" s="32">
        <v>44296</v>
      </c>
      <c r="F47" s="32">
        <v>44300</v>
      </c>
      <c r="G47" s="25" t="s">
        <v>226</v>
      </c>
      <c r="H47" s="86">
        <v>44995</v>
      </c>
      <c r="I47" s="86">
        <v>45179</v>
      </c>
      <c r="J47" s="32"/>
      <c r="K47" s="32"/>
      <c r="L47" s="32" t="e">
        <f t="shared" si="0"/>
        <v>#NUM!</v>
      </c>
      <c r="M47" s="32" t="e">
        <f t="shared" si="1"/>
        <v>#NUM!</v>
      </c>
      <c r="N47" s="64">
        <f t="shared" si="2"/>
        <v>-121.36986301369863</v>
      </c>
      <c r="O47" s="25"/>
      <c r="P47" s="25"/>
      <c r="Q47" s="25"/>
      <c r="R47" s="25"/>
      <c r="S47" s="25"/>
      <c r="T47" s="25"/>
      <c r="U47" s="25"/>
      <c r="V47" s="25"/>
      <c r="W47" s="25"/>
      <c r="X47" s="25"/>
      <c r="Y47" s="25"/>
      <c r="Z47" s="25"/>
      <c r="AA47" s="25"/>
      <c r="AB47" s="25"/>
      <c r="AC47" s="25"/>
      <c r="AD47" s="25"/>
      <c r="AE47" s="25"/>
      <c r="AF47" s="25"/>
      <c r="AG47" s="25"/>
      <c r="AH47" s="32"/>
      <c r="AI47" s="32" t="e">
        <f t="shared" si="3"/>
        <v>#NUM!</v>
      </c>
      <c r="AJ47" s="32" t="e">
        <f t="shared" si="4"/>
        <v>#NUM!</v>
      </c>
      <c r="AK47" s="64">
        <f t="shared" si="5"/>
        <v>-121.36986301369863</v>
      </c>
      <c r="AL47" s="25"/>
      <c r="AM47" s="25"/>
      <c r="AN47" s="25"/>
      <c r="AO47" s="25"/>
      <c r="AP47" s="25"/>
      <c r="AQ47" s="25"/>
      <c r="AR47" s="25"/>
      <c r="AS47" s="32"/>
      <c r="AT47" s="32" t="e">
        <f t="shared" si="6"/>
        <v>#NUM!</v>
      </c>
      <c r="AU47" s="32" t="e">
        <f t="shared" si="7"/>
        <v>#NUM!</v>
      </c>
      <c r="AV47" s="64">
        <f t="shared" si="8"/>
        <v>-121.36986301369863</v>
      </c>
      <c r="AW47" s="25"/>
      <c r="AX47" s="25"/>
      <c r="AY47" s="25" t="e">
        <f t="shared" si="9"/>
        <v>#NUM!</v>
      </c>
      <c r="AZ47" s="64" t="e">
        <f t="shared" si="10"/>
        <v>#NUM!</v>
      </c>
      <c r="BA47" s="64">
        <f t="shared" si="11"/>
        <v>-121.36986301369863</v>
      </c>
      <c r="BB47" s="25"/>
      <c r="BC47" s="32"/>
      <c r="BD47" s="32" t="e">
        <f t="shared" si="12"/>
        <v>#NUM!</v>
      </c>
      <c r="BE47" s="64" t="e">
        <f t="shared" si="13"/>
        <v>#NUM!</v>
      </c>
      <c r="BF47" s="64">
        <f t="shared" si="14"/>
        <v>-121.36986301369863</v>
      </c>
      <c r="BG47" s="25"/>
      <c r="BH47" s="25">
        <v>0</v>
      </c>
    </row>
    <row r="48" spans="1:60" s="189" customFormat="1" ht="16">
      <c r="A48" s="99" t="s">
        <v>228</v>
      </c>
      <c r="B48" s="99">
        <v>22107749</v>
      </c>
      <c r="C48" s="99" t="s">
        <v>229</v>
      </c>
      <c r="D48" s="95">
        <v>44333</v>
      </c>
      <c r="E48" s="95">
        <v>44402</v>
      </c>
      <c r="F48" s="95">
        <v>44402</v>
      </c>
      <c r="G48" s="99" t="s">
        <v>100</v>
      </c>
      <c r="H48" s="101">
        <v>45102</v>
      </c>
      <c r="I48" s="101">
        <v>45285</v>
      </c>
      <c r="J48" s="95">
        <v>45163</v>
      </c>
      <c r="K48" s="95">
        <v>45163</v>
      </c>
      <c r="L48" s="95" t="str">
        <f t="shared" si="0"/>
        <v>2Y3M8D</v>
      </c>
      <c r="M48" s="95" t="str">
        <f t="shared" si="1"/>
        <v>2Y1M0D</v>
      </c>
      <c r="N48" s="102">
        <f t="shared" si="2"/>
        <v>2.0849315068493151</v>
      </c>
      <c r="O48" s="99">
        <v>2</v>
      </c>
      <c r="P48" s="99">
        <v>3</v>
      </c>
      <c r="Q48" s="99"/>
      <c r="R48" s="99">
        <v>1</v>
      </c>
      <c r="S48" s="99">
        <v>1</v>
      </c>
      <c r="T48" s="99">
        <v>1</v>
      </c>
      <c r="U48" s="99" t="s">
        <v>2204</v>
      </c>
      <c r="V48" s="99" t="s">
        <v>1661</v>
      </c>
      <c r="W48" s="99">
        <v>1</v>
      </c>
      <c r="X48" s="99">
        <v>1</v>
      </c>
      <c r="Y48" s="99">
        <v>1</v>
      </c>
      <c r="Z48" s="99">
        <v>1</v>
      </c>
      <c r="AA48" s="99">
        <v>1</v>
      </c>
      <c r="AB48" s="99">
        <v>1</v>
      </c>
      <c r="AC48" s="99"/>
      <c r="AD48" s="99">
        <v>1</v>
      </c>
      <c r="AE48" s="99">
        <v>1</v>
      </c>
      <c r="AF48" s="99">
        <v>1</v>
      </c>
      <c r="AG48" s="99">
        <v>1</v>
      </c>
      <c r="AH48" s="95">
        <v>45163</v>
      </c>
      <c r="AI48" s="99" t="str">
        <f t="shared" si="3"/>
        <v>2Y3M8D</v>
      </c>
      <c r="AJ48" s="99" t="str">
        <f t="shared" si="4"/>
        <v>2Y1M0D</v>
      </c>
      <c r="AK48" s="102">
        <f t="shared" si="5"/>
        <v>2.0849315068493151</v>
      </c>
      <c r="AL48" s="99">
        <v>1</v>
      </c>
      <c r="AM48" s="99">
        <v>1</v>
      </c>
      <c r="AN48" s="99">
        <v>1</v>
      </c>
      <c r="AO48" s="99">
        <v>1</v>
      </c>
      <c r="AP48" s="99">
        <v>2</v>
      </c>
      <c r="AQ48" s="99">
        <v>3</v>
      </c>
      <c r="AR48" s="99"/>
      <c r="AS48" s="95">
        <v>45162</v>
      </c>
      <c r="AT48" s="99" t="str">
        <f t="shared" si="6"/>
        <v>2Y3M7D</v>
      </c>
      <c r="AU48" s="99" t="str">
        <f t="shared" si="7"/>
        <v>2Y0M30D</v>
      </c>
      <c r="AV48" s="102">
        <f t="shared" si="8"/>
        <v>2.0821917808219177</v>
      </c>
      <c r="AW48" s="99">
        <v>5</v>
      </c>
      <c r="AX48" s="95">
        <v>45163</v>
      </c>
      <c r="AY48" s="99" t="str">
        <f t="shared" si="9"/>
        <v>2Y3M8D</v>
      </c>
      <c r="AZ48" s="102" t="str">
        <f t="shared" si="10"/>
        <v>2Y1M0D</v>
      </c>
      <c r="BA48" s="102">
        <f t="shared" si="11"/>
        <v>2.0849315068493151</v>
      </c>
      <c r="BB48" s="99">
        <v>5</v>
      </c>
      <c r="BC48" s="95">
        <v>45163</v>
      </c>
      <c r="BD48" s="95" t="str">
        <f t="shared" si="12"/>
        <v>2Y3M8D</v>
      </c>
      <c r="BE48" s="102" t="str">
        <f t="shared" si="13"/>
        <v>2Y1M0D</v>
      </c>
      <c r="BF48" s="102">
        <f t="shared" si="14"/>
        <v>2.0849315068493151</v>
      </c>
      <c r="BG48" s="99">
        <v>2</v>
      </c>
      <c r="BH48" s="99">
        <v>1</v>
      </c>
    </row>
    <row r="49" spans="1:60" s="189" customFormat="1" ht="16">
      <c r="A49" s="99" t="s">
        <v>232</v>
      </c>
      <c r="B49" s="99">
        <v>21929694</v>
      </c>
      <c r="C49" s="99" t="s">
        <v>233</v>
      </c>
      <c r="D49" s="95">
        <v>43580</v>
      </c>
      <c r="E49" s="95">
        <v>43636</v>
      </c>
      <c r="F49" s="95">
        <v>43580</v>
      </c>
      <c r="G49" s="99">
        <v>32</v>
      </c>
      <c r="H49" s="101">
        <v>44336</v>
      </c>
      <c r="I49" s="101">
        <v>44520</v>
      </c>
      <c r="J49" s="95">
        <v>44438</v>
      </c>
      <c r="K49" s="95">
        <v>44438</v>
      </c>
      <c r="L49" s="95" t="str">
        <f t="shared" si="0"/>
        <v>2Y4M5D</v>
      </c>
      <c r="M49" s="95" t="str">
        <f t="shared" si="1"/>
        <v>2Y2M10D</v>
      </c>
      <c r="N49" s="102">
        <f t="shared" si="2"/>
        <v>2.3506849315068492</v>
      </c>
      <c r="O49" s="99">
        <v>2</v>
      </c>
      <c r="P49" s="99"/>
      <c r="Q49" s="99" t="s">
        <v>1684</v>
      </c>
      <c r="R49" s="99"/>
      <c r="S49" s="99"/>
      <c r="T49" s="99"/>
      <c r="U49" s="99"/>
      <c r="V49" s="99"/>
      <c r="W49" s="99"/>
      <c r="X49" s="99"/>
      <c r="Y49" s="99"/>
      <c r="Z49" s="99"/>
      <c r="AA49" s="99"/>
      <c r="AB49" s="99"/>
      <c r="AC49" s="99"/>
      <c r="AD49" s="99"/>
      <c r="AE49" s="99"/>
      <c r="AF49" s="99"/>
      <c r="AG49" s="99"/>
      <c r="AH49" s="95">
        <v>44434</v>
      </c>
      <c r="AI49" s="95" t="str">
        <f t="shared" si="3"/>
        <v>2Y4M1D</v>
      </c>
      <c r="AJ49" s="95" t="str">
        <f t="shared" si="4"/>
        <v>2Y2M6D</v>
      </c>
      <c r="AK49" s="102">
        <f t="shared" si="5"/>
        <v>2.3397260273972602</v>
      </c>
      <c r="AL49" s="99"/>
      <c r="AM49" s="99">
        <v>1</v>
      </c>
      <c r="AN49" s="99">
        <v>1</v>
      </c>
      <c r="AO49" s="99">
        <v>1</v>
      </c>
      <c r="AP49" s="99">
        <v>1</v>
      </c>
      <c r="AQ49" s="99">
        <v>1</v>
      </c>
      <c r="AR49" s="99"/>
      <c r="AS49" s="95">
        <v>44429</v>
      </c>
      <c r="AT49" s="95" t="str">
        <f t="shared" si="6"/>
        <v>2Y3M27D</v>
      </c>
      <c r="AU49" s="95" t="str">
        <f t="shared" si="7"/>
        <v>2Y2M1D</v>
      </c>
      <c r="AV49" s="102">
        <f t="shared" si="8"/>
        <v>2.3260273972602739</v>
      </c>
      <c r="AW49" s="99">
        <v>1</v>
      </c>
      <c r="AX49" s="95">
        <v>44429</v>
      </c>
      <c r="AY49" s="95" t="str">
        <f t="shared" si="9"/>
        <v>2Y3M27D</v>
      </c>
      <c r="AZ49" s="102" t="str">
        <f t="shared" si="10"/>
        <v>2Y2M1D</v>
      </c>
      <c r="BA49" s="102">
        <f t="shared" si="11"/>
        <v>2.3260273972602739</v>
      </c>
      <c r="BB49" s="99">
        <v>1</v>
      </c>
      <c r="BC49" s="95">
        <v>44434</v>
      </c>
      <c r="BD49" s="95" t="str">
        <f t="shared" si="12"/>
        <v>2Y4M1D</v>
      </c>
      <c r="BE49" s="102" t="str">
        <f t="shared" si="13"/>
        <v>2Y2M6D</v>
      </c>
      <c r="BF49" s="102">
        <f t="shared" si="14"/>
        <v>2.3397260273972602</v>
      </c>
      <c r="BG49" s="99">
        <v>1</v>
      </c>
      <c r="BH49" s="99">
        <v>1</v>
      </c>
    </row>
    <row r="50" spans="1:60" s="189" customFormat="1" ht="16">
      <c r="A50" s="99" t="s">
        <v>236</v>
      </c>
      <c r="B50" s="99">
        <v>21929692</v>
      </c>
      <c r="C50" s="99" t="s">
        <v>237</v>
      </c>
      <c r="D50" s="95">
        <v>43580</v>
      </c>
      <c r="E50" s="95">
        <v>43636</v>
      </c>
      <c r="F50" s="95">
        <v>43580</v>
      </c>
      <c r="G50" s="99">
        <v>32</v>
      </c>
      <c r="H50" s="101">
        <v>44336</v>
      </c>
      <c r="I50" s="101">
        <v>44520</v>
      </c>
      <c r="J50" s="95">
        <v>44438</v>
      </c>
      <c r="K50" s="95">
        <v>44438</v>
      </c>
      <c r="L50" s="95" t="str">
        <f t="shared" si="0"/>
        <v>2Y4M5D</v>
      </c>
      <c r="M50" s="95" t="str">
        <f t="shared" si="1"/>
        <v>2Y2M10D</v>
      </c>
      <c r="N50" s="102">
        <f t="shared" si="2"/>
        <v>2.3506849315068492</v>
      </c>
      <c r="O50" s="99">
        <v>2</v>
      </c>
      <c r="P50" s="99">
        <v>2</v>
      </c>
      <c r="Q50" s="99" t="s">
        <v>1684</v>
      </c>
      <c r="R50" s="98">
        <v>1</v>
      </c>
      <c r="S50" s="99">
        <v>1</v>
      </c>
      <c r="T50" s="99">
        <v>1</v>
      </c>
      <c r="U50" s="99" t="s">
        <v>1760</v>
      </c>
      <c r="V50" s="99" t="s">
        <v>1661</v>
      </c>
      <c r="W50" s="99">
        <v>1</v>
      </c>
      <c r="X50" s="99">
        <v>1</v>
      </c>
      <c r="Y50" s="99">
        <v>1</v>
      </c>
      <c r="Z50" s="99">
        <v>1</v>
      </c>
      <c r="AA50" s="99">
        <v>1</v>
      </c>
      <c r="AB50" s="99">
        <v>1</v>
      </c>
      <c r="AC50" s="99"/>
      <c r="AD50" s="99">
        <v>1</v>
      </c>
      <c r="AE50" s="99">
        <v>1</v>
      </c>
      <c r="AF50" s="99">
        <v>1</v>
      </c>
      <c r="AG50" s="99">
        <v>1</v>
      </c>
      <c r="AH50" s="95">
        <v>44434</v>
      </c>
      <c r="AI50" s="95" t="str">
        <f t="shared" si="3"/>
        <v>2Y4M1D</v>
      </c>
      <c r="AJ50" s="95" t="str">
        <f t="shared" si="4"/>
        <v>2Y2M6D</v>
      </c>
      <c r="AK50" s="102">
        <f t="shared" si="5"/>
        <v>2.3397260273972602</v>
      </c>
      <c r="AL50" s="99"/>
      <c r="AM50" s="99">
        <v>1</v>
      </c>
      <c r="AN50" s="99">
        <v>1</v>
      </c>
      <c r="AO50" s="99">
        <v>1</v>
      </c>
      <c r="AP50" s="99">
        <v>1</v>
      </c>
      <c r="AQ50" s="99"/>
      <c r="AR50" s="99" t="s">
        <v>1673</v>
      </c>
      <c r="AS50" s="95">
        <v>44433</v>
      </c>
      <c r="AT50" s="95" t="str">
        <f t="shared" si="6"/>
        <v>2Y4M0D</v>
      </c>
      <c r="AU50" s="95" t="str">
        <f t="shared" si="7"/>
        <v>2Y2M5D</v>
      </c>
      <c r="AV50" s="102">
        <f t="shared" si="8"/>
        <v>2.3369863013698629</v>
      </c>
      <c r="AW50" s="99">
        <v>2</v>
      </c>
      <c r="AX50" s="95">
        <v>44433</v>
      </c>
      <c r="AY50" s="95" t="str">
        <f t="shared" si="9"/>
        <v>2Y4M0D</v>
      </c>
      <c r="AZ50" s="102" t="str">
        <f t="shared" si="10"/>
        <v>2Y2M5D</v>
      </c>
      <c r="BA50" s="102">
        <f t="shared" si="11"/>
        <v>2.3369863013698629</v>
      </c>
      <c r="BB50" s="99">
        <v>2</v>
      </c>
      <c r="BC50" s="95">
        <v>44434</v>
      </c>
      <c r="BD50" s="95" t="str">
        <f t="shared" si="12"/>
        <v>2Y4M1D</v>
      </c>
      <c r="BE50" s="102" t="str">
        <f t="shared" si="13"/>
        <v>2Y2M6D</v>
      </c>
      <c r="BF50" s="102">
        <f t="shared" si="14"/>
        <v>2.3397260273972602</v>
      </c>
      <c r="BG50" s="99">
        <v>1</v>
      </c>
      <c r="BH50" s="99">
        <v>1</v>
      </c>
    </row>
    <row r="51" spans="1:60" s="110" customFormat="1" ht="16">
      <c r="A51" s="17" t="s">
        <v>239</v>
      </c>
      <c r="B51" s="17">
        <v>22107552</v>
      </c>
      <c r="C51" s="17" t="s">
        <v>240</v>
      </c>
      <c r="D51" s="40">
        <v>44310</v>
      </c>
      <c r="E51" s="40">
        <v>44374</v>
      </c>
      <c r="F51" s="40">
        <v>44374</v>
      </c>
      <c r="G51" s="17" t="s">
        <v>242</v>
      </c>
      <c r="H51" s="75">
        <v>45073</v>
      </c>
      <c r="I51" s="75">
        <v>45257</v>
      </c>
      <c r="J51" s="40">
        <v>45142</v>
      </c>
      <c r="K51" s="40">
        <v>45142</v>
      </c>
      <c r="L51" s="40" t="str">
        <f t="shared" si="0"/>
        <v>2Y3M11D</v>
      </c>
      <c r="M51" s="40" t="str">
        <f t="shared" si="1"/>
        <v>2Y1M8D</v>
      </c>
      <c r="N51" s="21">
        <f t="shared" si="2"/>
        <v>2.1041095890410957</v>
      </c>
      <c r="O51" s="17">
        <v>2</v>
      </c>
      <c r="P51" s="17">
        <v>3</v>
      </c>
      <c r="Q51" s="17"/>
      <c r="R51" s="17">
        <v>1</v>
      </c>
      <c r="S51" s="17">
        <v>1</v>
      </c>
      <c r="T51" s="17">
        <v>1</v>
      </c>
      <c r="U51" s="17"/>
      <c r="V51" s="17" t="s">
        <v>1661</v>
      </c>
      <c r="W51" s="17"/>
      <c r="X51" s="17">
        <v>1</v>
      </c>
      <c r="Y51" s="17">
        <v>1</v>
      </c>
      <c r="Z51" s="17">
        <v>1</v>
      </c>
      <c r="AA51" s="17">
        <v>1</v>
      </c>
      <c r="AB51" s="17">
        <v>1</v>
      </c>
      <c r="AC51" s="17" t="s">
        <v>1666</v>
      </c>
      <c r="AD51" s="17">
        <v>1</v>
      </c>
      <c r="AE51" s="17">
        <v>1</v>
      </c>
      <c r="AF51" s="17">
        <v>1</v>
      </c>
      <c r="AG51" s="17">
        <v>1</v>
      </c>
      <c r="AH51" s="40"/>
      <c r="AI51" s="40" t="e">
        <f t="shared" si="3"/>
        <v>#NUM!</v>
      </c>
      <c r="AJ51" s="40" t="e">
        <f t="shared" si="4"/>
        <v>#NUM!</v>
      </c>
      <c r="AK51" s="21">
        <f t="shared" si="5"/>
        <v>-121.57260273972602</v>
      </c>
      <c r="AL51" s="17"/>
      <c r="AM51" s="17"/>
      <c r="AN51" s="17"/>
      <c r="AO51" s="17"/>
      <c r="AP51" s="17"/>
      <c r="AQ51" s="17"/>
      <c r="AR51" s="17"/>
      <c r="AS51" s="40">
        <v>45137</v>
      </c>
      <c r="AT51" s="40" t="str">
        <f t="shared" si="6"/>
        <v>2Y3M6D</v>
      </c>
      <c r="AU51" s="40" t="str">
        <f t="shared" si="7"/>
        <v>2Y1M3D</v>
      </c>
      <c r="AV51" s="21">
        <f t="shared" si="8"/>
        <v>2.0904109589041098</v>
      </c>
      <c r="AW51" s="17">
        <v>5</v>
      </c>
      <c r="AX51" s="40">
        <v>45141</v>
      </c>
      <c r="AY51" s="40" t="str">
        <f t="shared" si="9"/>
        <v>2Y3M10D</v>
      </c>
      <c r="AZ51" s="21" t="str">
        <f t="shared" si="10"/>
        <v>2Y1M7D</v>
      </c>
      <c r="BA51" s="21">
        <f t="shared" si="11"/>
        <v>2.1013698630136988</v>
      </c>
      <c r="BB51" s="17">
        <v>5</v>
      </c>
      <c r="BC51" s="40">
        <v>45142</v>
      </c>
      <c r="BD51" s="40" t="str">
        <f t="shared" si="12"/>
        <v>2Y3M11D</v>
      </c>
      <c r="BE51" s="21" t="str">
        <f t="shared" si="13"/>
        <v>2Y1M8D</v>
      </c>
      <c r="BF51" s="21">
        <f t="shared" si="14"/>
        <v>2.1041095890410957</v>
      </c>
      <c r="BG51" s="17">
        <v>2</v>
      </c>
      <c r="BH51" s="17">
        <v>1</v>
      </c>
    </row>
    <row r="52" spans="1:60" s="189" customFormat="1" ht="16">
      <c r="A52" s="99" t="s">
        <v>244</v>
      </c>
      <c r="B52" s="99">
        <v>22105413</v>
      </c>
      <c r="C52" s="99" t="s">
        <v>245</v>
      </c>
      <c r="D52" s="95">
        <v>44106</v>
      </c>
      <c r="E52" s="95">
        <v>44208</v>
      </c>
      <c r="F52" s="95">
        <v>44208</v>
      </c>
      <c r="G52" s="99" t="s">
        <v>247</v>
      </c>
      <c r="H52" s="101">
        <v>44907</v>
      </c>
      <c r="I52" s="101">
        <v>45089</v>
      </c>
      <c r="J52" s="95">
        <v>44939</v>
      </c>
      <c r="K52" s="95">
        <v>44916</v>
      </c>
      <c r="L52" s="95" t="str">
        <f t="shared" si="0"/>
        <v>2Y2M19D</v>
      </c>
      <c r="M52" s="95" t="str">
        <f t="shared" si="1"/>
        <v>1Y11M9D</v>
      </c>
      <c r="N52" s="102">
        <f t="shared" si="2"/>
        <v>1.9397260273972603</v>
      </c>
      <c r="O52" s="99">
        <v>2</v>
      </c>
      <c r="P52" s="99">
        <v>3</v>
      </c>
      <c r="Q52" s="99"/>
      <c r="R52" s="99">
        <v>1</v>
      </c>
      <c r="S52" s="99">
        <v>1</v>
      </c>
      <c r="T52" s="99">
        <v>1</v>
      </c>
      <c r="U52" s="99"/>
      <c r="V52" s="99" t="s">
        <v>2216</v>
      </c>
      <c r="W52" s="99">
        <v>1</v>
      </c>
      <c r="X52" s="99">
        <v>1</v>
      </c>
      <c r="Y52" s="99">
        <v>1</v>
      </c>
      <c r="Z52" s="99">
        <v>1</v>
      </c>
      <c r="AA52" s="99">
        <v>1</v>
      </c>
      <c r="AB52" s="99"/>
      <c r="AC52" s="99" t="s">
        <v>2224</v>
      </c>
      <c r="AD52" s="99">
        <v>1</v>
      </c>
      <c r="AE52" s="99">
        <v>1</v>
      </c>
      <c r="AF52" s="99">
        <v>1</v>
      </c>
      <c r="AG52" s="99">
        <v>1</v>
      </c>
      <c r="AH52" s="95">
        <v>44939</v>
      </c>
      <c r="AI52" s="95" t="str">
        <f t="shared" si="3"/>
        <v>2Y3M11D</v>
      </c>
      <c r="AJ52" s="95" t="str">
        <f t="shared" si="4"/>
        <v>2Y0M1D</v>
      </c>
      <c r="AK52" s="102">
        <f t="shared" si="5"/>
        <v>2.0027397260273974</v>
      </c>
      <c r="AL52" s="99">
        <v>1</v>
      </c>
      <c r="AM52" s="99">
        <v>1</v>
      </c>
      <c r="AN52" s="99">
        <v>1</v>
      </c>
      <c r="AO52" s="99">
        <v>1</v>
      </c>
      <c r="AP52" s="99">
        <v>1</v>
      </c>
      <c r="AQ52" s="99">
        <v>3</v>
      </c>
      <c r="AR52" s="99"/>
      <c r="AS52" s="95">
        <v>44935</v>
      </c>
      <c r="AT52" s="95" t="str">
        <f t="shared" si="6"/>
        <v>2Y3M7D</v>
      </c>
      <c r="AU52" s="95" t="str">
        <f t="shared" si="7"/>
        <v>1Y11M28D</v>
      </c>
      <c r="AV52" s="102">
        <f t="shared" si="8"/>
        <v>1.9917808219178081</v>
      </c>
      <c r="AW52" s="99">
        <v>3</v>
      </c>
      <c r="AX52" s="95">
        <v>44935</v>
      </c>
      <c r="AY52" s="95" t="str">
        <f t="shared" si="9"/>
        <v>2Y3M7D</v>
      </c>
      <c r="AZ52" s="102" t="str">
        <f t="shared" si="10"/>
        <v>1Y11M28D</v>
      </c>
      <c r="BA52" s="102">
        <f t="shared" si="11"/>
        <v>1.9917808219178081</v>
      </c>
      <c r="BB52" s="99">
        <v>3</v>
      </c>
      <c r="BC52" s="95">
        <v>44916</v>
      </c>
      <c r="BD52" s="95" t="str">
        <f t="shared" si="12"/>
        <v>2Y2M19D</v>
      </c>
      <c r="BE52" s="102" t="str">
        <f t="shared" si="13"/>
        <v>1Y11M9D</v>
      </c>
      <c r="BF52" s="102">
        <f t="shared" si="14"/>
        <v>1.9397260273972603</v>
      </c>
      <c r="BG52" s="99">
        <v>1</v>
      </c>
      <c r="BH52" s="99">
        <v>1</v>
      </c>
    </row>
    <row r="53" spans="1:60" s="110" customFormat="1" ht="16">
      <c r="A53" s="17" t="s">
        <v>249</v>
      </c>
      <c r="B53" s="17">
        <v>22105943</v>
      </c>
      <c r="C53" s="17" t="s">
        <v>250</v>
      </c>
      <c r="D53" s="40">
        <v>44156</v>
      </c>
      <c r="E53" s="40">
        <v>44214</v>
      </c>
      <c r="F53" s="40">
        <v>44214</v>
      </c>
      <c r="G53" s="17" t="s">
        <v>119</v>
      </c>
      <c r="H53" s="75">
        <v>44913</v>
      </c>
      <c r="I53" s="75">
        <v>45095</v>
      </c>
      <c r="J53" s="17"/>
      <c r="K53" s="17"/>
      <c r="L53" s="17" t="e">
        <f t="shared" si="0"/>
        <v>#NUM!</v>
      </c>
      <c r="M53" s="17" t="e">
        <f t="shared" si="1"/>
        <v>#NUM!</v>
      </c>
      <c r="N53" s="21">
        <f t="shared" si="2"/>
        <v>-121.13424657534246</v>
      </c>
      <c r="O53" s="17"/>
      <c r="P53" s="17"/>
      <c r="Q53" s="17"/>
      <c r="R53" s="17"/>
      <c r="S53" s="17"/>
      <c r="T53" s="17"/>
      <c r="U53" s="17"/>
      <c r="V53" s="17"/>
      <c r="W53" s="17"/>
      <c r="X53" s="17"/>
      <c r="Y53" s="17"/>
      <c r="Z53" s="17"/>
      <c r="AA53" s="17"/>
      <c r="AB53" s="17"/>
      <c r="AC53" s="17"/>
      <c r="AD53" s="17"/>
      <c r="AE53" s="17"/>
      <c r="AF53" s="17"/>
      <c r="AG53" s="17"/>
      <c r="AH53" s="40"/>
      <c r="AI53" s="40" t="e">
        <f t="shared" si="3"/>
        <v>#NUM!</v>
      </c>
      <c r="AJ53" s="40" t="e">
        <f t="shared" si="4"/>
        <v>#NUM!</v>
      </c>
      <c r="AK53" s="21">
        <f t="shared" si="5"/>
        <v>-121.13424657534246</v>
      </c>
      <c r="AL53" s="17"/>
      <c r="AM53" s="17"/>
      <c r="AN53" s="17"/>
      <c r="AO53" s="17"/>
      <c r="AP53" s="17"/>
      <c r="AQ53" s="17"/>
      <c r="AR53" s="17"/>
      <c r="AS53" s="40">
        <v>44912</v>
      </c>
      <c r="AT53" s="40" t="str">
        <f t="shared" si="6"/>
        <v>2Y0M26D</v>
      </c>
      <c r="AU53" s="40" t="str">
        <f t="shared" si="7"/>
        <v>1Y10M29D</v>
      </c>
      <c r="AV53" s="21">
        <f t="shared" si="8"/>
        <v>1.9123287671232876</v>
      </c>
      <c r="AW53" s="17">
        <v>3</v>
      </c>
      <c r="AX53" s="17"/>
      <c r="AY53" s="17" t="e">
        <f t="shared" si="9"/>
        <v>#NUM!</v>
      </c>
      <c r="AZ53" s="21" t="e">
        <f t="shared" si="10"/>
        <v>#NUM!</v>
      </c>
      <c r="BA53" s="21">
        <f t="shared" si="11"/>
        <v>-121.13424657534246</v>
      </c>
      <c r="BB53" s="17"/>
      <c r="BC53" s="40">
        <v>44914</v>
      </c>
      <c r="BD53" s="40" t="str">
        <f t="shared" si="12"/>
        <v>2Y0M28D</v>
      </c>
      <c r="BE53" s="21" t="str">
        <f t="shared" si="13"/>
        <v>1Y11M1D</v>
      </c>
      <c r="BF53" s="21">
        <f t="shared" si="14"/>
        <v>1.9178082191780821</v>
      </c>
      <c r="BG53" s="17">
        <v>1</v>
      </c>
      <c r="BH53" s="17">
        <v>1</v>
      </c>
    </row>
    <row r="54" spans="1:60" s="193" customFormat="1" ht="16">
      <c r="A54" s="25" t="s">
        <v>253</v>
      </c>
      <c r="B54" s="25">
        <v>22104786</v>
      </c>
      <c r="C54" s="25" t="s">
        <v>254</v>
      </c>
      <c r="D54" s="32">
        <v>44045</v>
      </c>
      <c r="E54" s="32">
        <v>44112</v>
      </c>
      <c r="F54" s="32">
        <v>44112</v>
      </c>
      <c r="G54" s="25" t="s">
        <v>139</v>
      </c>
      <c r="H54" s="86">
        <v>44812</v>
      </c>
      <c r="I54" s="86">
        <v>44993</v>
      </c>
      <c r="J54" s="32" t="s">
        <v>1955</v>
      </c>
      <c r="K54" s="32" t="s">
        <v>1955</v>
      </c>
      <c r="L54" s="32" t="e">
        <f t="shared" si="0"/>
        <v>#VALUE!</v>
      </c>
      <c r="M54" s="32" t="e">
        <f t="shared" si="1"/>
        <v>#VALUE!</v>
      </c>
      <c r="N54" s="64" t="e">
        <f t="shared" si="2"/>
        <v>#VALUE!</v>
      </c>
      <c r="O54" s="32"/>
      <c r="P54" s="32" t="s">
        <v>1955</v>
      </c>
      <c r="Q54" s="32" t="s">
        <v>1955</v>
      </c>
      <c r="R54" s="32"/>
      <c r="S54" s="32" t="s">
        <v>1955</v>
      </c>
      <c r="T54" s="32" t="s">
        <v>1955</v>
      </c>
      <c r="U54" s="32" t="s">
        <v>1955</v>
      </c>
      <c r="V54" s="32" t="s">
        <v>1955</v>
      </c>
      <c r="W54" s="32"/>
      <c r="X54" s="32" t="s">
        <v>1955</v>
      </c>
      <c r="Y54" s="32" t="s">
        <v>1955</v>
      </c>
      <c r="Z54" s="32" t="s">
        <v>1955</v>
      </c>
      <c r="AA54" s="32" t="s">
        <v>1955</v>
      </c>
      <c r="AB54" s="32" t="s">
        <v>1955</v>
      </c>
      <c r="AC54" s="32" t="s">
        <v>1955</v>
      </c>
      <c r="AD54" s="32"/>
      <c r="AE54" s="32" t="s">
        <v>1955</v>
      </c>
      <c r="AF54" s="32"/>
      <c r="AG54" s="32" t="s">
        <v>1955</v>
      </c>
      <c r="AH54" s="32" t="s">
        <v>1955</v>
      </c>
      <c r="AI54" s="32" t="e">
        <f t="shared" si="3"/>
        <v>#VALUE!</v>
      </c>
      <c r="AJ54" s="32" t="e">
        <f t="shared" si="4"/>
        <v>#VALUE!</v>
      </c>
      <c r="AK54" s="64" t="e">
        <f t="shared" si="5"/>
        <v>#VALUE!</v>
      </c>
      <c r="AL54" s="32" t="s">
        <v>1955</v>
      </c>
      <c r="AM54" s="32" t="s">
        <v>1955</v>
      </c>
      <c r="AN54" s="32" t="s">
        <v>1955</v>
      </c>
      <c r="AO54" s="32" t="s">
        <v>1955</v>
      </c>
      <c r="AP54" s="32" t="s">
        <v>1955</v>
      </c>
      <c r="AQ54" s="32" t="s">
        <v>1955</v>
      </c>
      <c r="AR54" s="32" t="s">
        <v>1955</v>
      </c>
      <c r="AS54" s="32" t="s">
        <v>1955</v>
      </c>
      <c r="AT54" s="32" t="e">
        <f t="shared" si="6"/>
        <v>#VALUE!</v>
      </c>
      <c r="AU54" s="32" t="e">
        <f t="shared" si="7"/>
        <v>#VALUE!</v>
      </c>
      <c r="AV54" s="64" t="e">
        <f t="shared" si="8"/>
        <v>#VALUE!</v>
      </c>
      <c r="AW54" s="32" t="s">
        <v>1955</v>
      </c>
      <c r="AX54" s="32" t="s">
        <v>1955</v>
      </c>
      <c r="AY54" s="32" t="e">
        <f t="shared" si="9"/>
        <v>#VALUE!</v>
      </c>
      <c r="AZ54" s="64" t="e">
        <f t="shared" si="10"/>
        <v>#VALUE!</v>
      </c>
      <c r="BA54" s="64" t="e">
        <f t="shared" si="11"/>
        <v>#VALUE!</v>
      </c>
      <c r="BB54" s="32" t="s">
        <v>1955</v>
      </c>
      <c r="BC54" s="32" t="s">
        <v>1955</v>
      </c>
      <c r="BD54" s="32" t="e">
        <f t="shared" si="12"/>
        <v>#VALUE!</v>
      </c>
      <c r="BE54" s="64" t="e">
        <f t="shared" si="13"/>
        <v>#VALUE!</v>
      </c>
      <c r="BF54" s="64" t="e">
        <f t="shared" si="14"/>
        <v>#VALUE!</v>
      </c>
      <c r="BG54" s="32" t="s">
        <v>1955</v>
      </c>
      <c r="BH54" s="25">
        <v>1</v>
      </c>
    </row>
    <row r="55" spans="1:60" s="110" customFormat="1" ht="16">
      <c r="A55" s="17" t="s">
        <v>257</v>
      </c>
      <c r="B55" s="17">
        <v>22106937</v>
      </c>
      <c r="C55" s="17" t="s">
        <v>258</v>
      </c>
      <c r="D55" s="40">
        <v>44250</v>
      </c>
      <c r="E55" s="40">
        <v>44326</v>
      </c>
      <c r="F55" s="40">
        <v>44326</v>
      </c>
      <c r="G55" s="17" t="s">
        <v>260</v>
      </c>
      <c r="H55" s="75">
        <v>45026</v>
      </c>
      <c r="I55" s="75">
        <v>45209</v>
      </c>
      <c r="J55" s="40"/>
      <c r="K55" s="40"/>
      <c r="L55" s="40" t="e">
        <f t="shared" si="0"/>
        <v>#NUM!</v>
      </c>
      <c r="M55" s="40" t="e">
        <f t="shared" si="1"/>
        <v>#NUM!</v>
      </c>
      <c r="N55" s="21">
        <f t="shared" si="2"/>
        <v>-121.44109589041096</v>
      </c>
      <c r="O55" s="17"/>
      <c r="P55" s="17"/>
      <c r="Q55" s="17"/>
      <c r="R55" s="17"/>
      <c r="S55" s="17"/>
      <c r="T55" s="17"/>
      <c r="U55" s="17"/>
      <c r="V55" s="17"/>
      <c r="W55" s="17"/>
      <c r="X55" s="17"/>
      <c r="Y55" s="17"/>
      <c r="Z55" s="17"/>
      <c r="AA55" s="17"/>
      <c r="AB55" s="17"/>
      <c r="AC55" s="17"/>
      <c r="AD55" s="17"/>
      <c r="AE55" s="17"/>
      <c r="AF55" s="17"/>
      <c r="AG55" s="17"/>
      <c r="AH55" s="40">
        <v>45014</v>
      </c>
      <c r="AI55" s="40" t="str">
        <f t="shared" si="3"/>
        <v>2Y1M6D</v>
      </c>
      <c r="AJ55" s="40" t="str">
        <f t="shared" si="4"/>
        <v>1Y10M19D</v>
      </c>
      <c r="AK55" s="21">
        <f t="shared" si="5"/>
        <v>1.8849315068493151</v>
      </c>
      <c r="AL55" s="17">
        <v>1</v>
      </c>
      <c r="AM55" s="17">
        <v>1</v>
      </c>
      <c r="AN55" s="17"/>
      <c r="AO55" s="17"/>
      <c r="AP55" s="17"/>
      <c r="AQ55" s="17"/>
      <c r="AR55" s="17"/>
      <c r="AS55" s="40">
        <v>45011</v>
      </c>
      <c r="AT55" s="40" t="str">
        <f t="shared" si="6"/>
        <v>2Y1M3D</v>
      </c>
      <c r="AU55" s="40" t="str">
        <f t="shared" si="7"/>
        <v>1Y10M16D</v>
      </c>
      <c r="AV55" s="21">
        <f t="shared" si="8"/>
        <v>1.8767123287671232</v>
      </c>
      <c r="AW55" s="17">
        <v>4</v>
      </c>
      <c r="AX55" s="17"/>
      <c r="AY55" s="17" t="e">
        <f t="shared" si="9"/>
        <v>#NUM!</v>
      </c>
      <c r="AZ55" s="21" t="e">
        <f t="shared" si="10"/>
        <v>#NUM!</v>
      </c>
      <c r="BA55" s="21">
        <f t="shared" si="11"/>
        <v>-121.44109589041096</v>
      </c>
      <c r="BB55" s="17"/>
      <c r="BC55" s="40"/>
      <c r="BD55" s="40" t="e">
        <f t="shared" si="12"/>
        <v>#NUM!</v>
      </c>
      <c r="BE55" s="21" t="e">
        <f t="shared" si="13"/>
        <v>#NUM!</v>
      </c>
      <c r="BF55" s="21">
        <f t="shared" si="14"/>
        <v>-121.44109589041096</v>
      </c>
      <c r="BG55" s="17"/>
      <c r="BH55" s="17">
        <v>1</v>
      </c>
    </row>
    <row r="56" spans="1:60" s="193" customFormat="1" ht="16">
      <c r="A56" s="25" t="s">
        <v>262</v>
      </c>
      <c r="B56" s="25">
        <v>22102827</v>
      </c>
      <c r="C56" s="25" t="s">
        <v>263</v>
      </c>
      <c r="D56" s="32">
        <v>43847</v>
      </c>
      <c r="E56" s="32">
        <v>43912</v>
      </c>
      <c r="F56" s="32">
        <v>43912</v>
      </c>
      <c r="G56" s="25" t="s">
        <v>134</v>
      </c>
      <c r="H56" s="86">
        <v>44614</v>
      </c>
      <c r="I56" s="86">
        <v>44795</v>
      </c>
      <c r="J56" s="32"/>
      <c r="K56" s="67"/>
      <c r="L56" s="67" t="e">
        <f t="shared" si="0"/>
        <v>#NUM!</v>
      </c>
      <c r="M56" s="67" t="e">
        <f t="shared" si="1"/>
        <v>#NUM!</v>
      </c>
      <c r="N56" s="74">
        <f t="shared" si="2"/>
        <v>-120.30684931506849</v>
      </c>
      <c r="O56" s="25"/>
      <c r="P56" s="25"/>
      <c r="Q56" s="25"/>
      <c r="R56" s="25"/>
      <c r="S56" s="25"/>
      <c r="T56" s="25"/>
      <c r="U56" s="25"/>
      <c r="V56" s="25"/>
      <c r="W56" s="25"/>
      <c r="X56" s="25"/>
      <c r="Y56" s="25"/>
      <c r="Z56" s="25"/>
      <c r="AA56" s="25"/>
      <c r="AB56" s="25"/>
      <c r="AC56" s="25"/>
      <c r="AD56" s="25"/>
      <c r="AE56" s="25"/>
      <c r="AF56" s="25"/>
      <c r="AG56" s="25"/>
      <c r="AH56" s="67"/>
      <c r="AI56" s="67" t="e">
        <f t="shared" si="3"/>
        <v>#NUM!</v>
      </c>
      <c r="AJ56" s="67" t="e">
        <f t="shared" si="4"/>
        <v>#NUM!</v>
      </c>
      <c r="AK56" s="74">
        <f t="shared" si="5"/>
        <v>-120.30684931506849</v>
      </c>
      <c r="AL56" s="25"/>
      <c r="AM56" s="25"/>
      <c r="AN56" s="25"/>
      <c r="AO56" s="25"/>
      <c r="AP56" s="25"/>
      <c r="AQ56" s="25"/>
      <c r="AR56" s="25"/>
      <c r="AS56" s="67"/>
      <c r="AT56" s="67" t="e">
        <f t="shared" si="6"/>
        <v>#NUM!</v>
      </c>
      <c r="AU56" s="67" t="e">
        <f t="shared" si="7"/>
        <v>#NUM!</v>
      </c>
      <c r="AV56" s="74">
        <f t="shared" si="8"/>
        <v>-120.30684931506849</v>
      </c>
      <c r="AW56" s="25"/>
      <c r="AX56" s="67"/>
      <c r="AY56" s="67" t="e">
        <f t="shared" si="9"/>
        <v>#NUM!</v>
      </c>
      <c r="AZ56" s="74" t="e">
        <f t="shared" si="10"/>
        <v>#NUM!</v>
      </c>
      <c r="BA56" s="74">
        <f t="shared" si="11"/>
        <v>-120.30684931506849</v>
      </c>
      <c r="BB56" s="25"/>
      <c r="BC56" s="25"/>
      <c r="BD56" s="25" t="e">
        <f t="shared" si="12"/>
        <v>#NUM!</v>
      </c>
      <c r="BE56" s="64" t="e">
        <f t="shared" si="13"/>
        <v>#NUM!</v>
      </c>
      <c r="BF56" s="64">
        <f t="shared" si="14"/>
        <v>-120.30684931506849</v>
      </c>
      <c r="BG56" s="25"/>
      <c r="BH56" s="25">
        <v>1</v>
      </c>
    </row>
    <row r="57" spans="1:60" s="189" customFormat="1" ht="16">
      <c r="A57" s="99" t="s">
        <v>266</v>
      </c>
      <c r="B57" s="99">
        <v>22192272</v>
      </c>
      <c r="C57" s="99" t="s">
        <v>267</v>
      </c>
      <c r="D57" s="95">
        <v>43869</v>
      </c>
      <c r="E57" s="95">
        <v>43956</v>
      </c>
      <c r="F57" s="95">
        <v>43956</v>
      </c>
      <c r="G57" s="99" t="s">
        <v>144</v>
      </c>
      <c r="H57" s="101">
        <v>44656</v>
      </c>
      <c r="I57" s="101">
        <v>44839</v>
      </c>
      <c r="J57" s="95">
        <v>44698</v>
      </c>
      <c r="K57" s="95">
        <v>44698</v>
      </c>
      <c r="L57" s="95" t="str">
        <f t="shared" si="0"/>
        <v>2Y3M9D</v>
      </c>
      <c r="M57" s="95" t="str">
        <f t="shared" si="1"/>
        <v>2Y0M12D</v>
      </c>
      <c r="N57" s="102">
        <f t="shared" si="2"/>
        <v>2.032876712328767</v>
      </c>
      <c r="O57" s="99">
        <v>2</v>
      </c>
      <c r="P57" s="99">
        <v>3</v>
      </c>
      <c r="Q57" s="99" t="s">
        <v>1709</v>
      </c>
      <c r="R57" s="98">
        <v>1</v>
      </c>
      <c r="S57" s="99">
        <v>1</v>
      </c>
      <c r="T57" s="99">
        <v>1</v>
      </c>
      <c r="U57" s="99" t="s">
        <v>1733</v>
      </c>
      <c r="V57" s="99" t="s">
        <v>1685</v>
      </c>
      <c r="W57" s="99">
        <v>1</v>
      </c>
      <c r="X57" s="99">
        <v>1</v>
      </c>
      <c r="Y57" s="99">
        <v>1</v>
      </c>
      <c r="Z57" s="99">
        <v>1</v>
      </c>
      <c r="AA57" s="99">
        <v>1</v>
      </c>
      <c r="AB57" s="99">
        <v>1</v>
      </c>
      <c r="AC57" s="99" t="s">
        <v>1663</v>
      </c>
      <c r="AD57" s="99">
        <v>1</v>
      </c>
      <c r="AE57" s="99">
        <v>1</v>
      </c>
      <c r="AF57" s="99">
        <v>1</v>
      </c>
      <c r="AG57" s="99">
        <v>1</v>
      </c>
      <c r="AH57" s="95">
        <v>44698</v>
      </c>
      <c r="AI57" s="95" t="str">
        <f t="shared" si="3"/>
        <v>2Y3M9D</v>
      </c>
      <c r="AJ57" s="95" t="str">
        <f t="shared" si="4"/>
        <v>2Y0M12D</v>
      </c>
      <c r="AK57" s="102">
        <f t="shared" si="5"/>
        <v>2.032876712328767</v>
      </c>
      <c r="AL57" s="99"/>
      <c r="AM57" s="99">
        <v>1</v>
      </c>
      <c r="AN57" s="99">
        <v>1</v>
      </c>
      <c r="AO57" s="99">
        <v>1</v>
      </c>
      <c r="AP57" s="99">
        <v>1</v>
      </c>
      <c r="AQ57" s="99">
        <v>3</v>
      </c>
      <c r="AR57" s="99"/>
      <c r="AS57" s="95">
        <v>44695</v>
      </c>
      <c r="AT57" s="95" t="str">
        <f t="shared" si="6"/>
        <v>2Y3M6D</v>
      </c>
      <c r="AU57" s="95" t="str">
        <f t="shared" si="7"/>
        <v>2Y0M9D</v>
      </c>
      <c r="AV57" s="102">
        <f t="shared" si="8"/>
        <v>2.0246575342465754</v>
      </c>
      <c r="AW57" s="99">
        <v>2</v>
      </c>
      <c r="AX57" s="95">
        <v>44697</v>
      </c>
      <c r="AY57" s="95" t="str">
        <f t="shared" si="9"/>
        <v>2Y3M8D</v>
      </c>
      <c r="AZ57" s="102" t="str">
        <f t="shared" si="10"/>
        <v>2Y0M11D</v>
      </c>
      <c r="BA57" s="102">
        <f t="shared" si="11"/>
        <v>2.0301369863013701</v>
      </c>
      <c r="BB57" s="99">
        <v>2</v>
      </c>
      <c r="BC57" s="95">
        <v>44698</v>
      </c>
      <c r="BD57" s="95" t="str">
        <f t="shared" si="12"/>
        <v>2Y3M9D</v>
      </c>
      <c r="BE57" s="102" t="str">
        <f t="shared" si="13"/>
        <v>2Y0M12D</v>
      </c>
      <c r="BF57" s="102">
        <f t="shared" si="14"/>
        <v>2.032876712328767</v>
      </c>
      <c r="BG57" s="99">
        <v>1</v>
      </c>
      <c r="BH57" s="99">
        <v>1</v>
      </c>
    </row>
    <row r="58" spans="1:60" s="189" customFormat="1" ht="16">
      <c r="A58" s="99" t="s">
        <v>270</v>
      </c>
      <c r="B58" s="99">
        <v>22105580</v>
      </c>
      <c r="C58" s="99" t="s">
        <v>271</v>
      </c>
      <c r="D58" s="95">
        <v>44123</v>
      </c>
      <c r="E58" s="95">
        <v>44179</v>
      </c>
      <c r="F58" s="95">
        <v>44123</v>
      </c>
      <c r="G58" s="99">
        <v>32</v>
      </c>
      <c r="H58" s="101">
        <v>44879</v>
      </c>
      <c r="I58" s="101">
        <v>45060</v>
      </c>
      <c r="J58" s="95">
        <v>44964</v>
      </c>
      <c r="K58" s="95">
        <v>44910</v>
      </c>
      <c r="L58" s="95" t="str">
        <f t="shared" si="0"/>
        <v>2Y1M26D</v>
      </c>
      <c r="M58" s="95" t="str">
        <f t="shared" si="1"/>
        <v>2Y0M1D</v>
      </c>
      <c r="N58" s="102">
        <f t="shared" si="2"/>
        <v>2.1561643835616437</v>
      </c>
      <c r="O58" s="99">
        <v>2</v>
      </c>
      <c r="P58" s="99">
        <v>3</v>
      </c>
      <c r="Q58" s="99"/>
      <c r="R58" s="99">
        <v>2</v>
      </c>
      <c r="S58" s="99">
        <v>1</v>
      </c>
      <c r="T58" s="99">
        <v>1</v>
      </c>
      <c r="U58" s="99"/>
      <c r="V58" s="99" t="s">
        <v>2216</v>
      </c>
      <c r="W58" s="99">
        <v>1</v>
      </c>
      <c r="X58" s="99">
        <v>1</v>
      </c>
      <c r="Y58" s="99">
        <v>1</v>
      </c>
      <c r="Z58" s="99">
        <v>1</v>
      </c>
      <c r="AA58" s="99">
        <v>1</v>
      </c>
      <c r="AB58" s="99"/>
      <c r="AC58" s="99" t="s">
        <v>2219</v>
      </c>
      <c r="AD58" s="99">
        <v>1</v>
      </c>
      <c r="AE58" s="99">
        <v>1</v>
      </c>
      <c r="AF58" s="99">
        <v>1</v>
      </c>
      <c r="AG58" s="99">
        <v>1</v>
      </c>
      <c r="AH58" s="95">
        <v>44910</v>
      </c>
      <c r="AI58" s="95" t="str">
        <f t="shared" si="3"/>
        <v>2Y1M26D</v>
      </c>
      <c r="AJ58" s="95" t="str">
        <f t="shared" si="4"/>
        <v>2Y0M1D</v>
      </c>
      <c r="AK58" s="102">
        <f t="shared" si="5"/>
        <v>2.1561643835616437</v>
      </c>
      <c r="AL58" s="99">
        <v>1</v>
      </c>
      <c r="AM58" s="99">
        <v>1</v>
      </c>
      <c r="AN58" s="99">
        <v>1</v>
      </c>
      <c r="AO58" s="99">
        <v>1</v>
      </c>
      <c r="AP58" s="99">
        <v>1</v>
      </c>
      <c r="AQ58" s="99">
        <v>5</v>
      </c>
      <c r="AR58" s="99"/>
      <c r="AS58" s="95">
        <v>44909</v>
      </c>
      <c r="AT58" s="95" t="str">
        <f t="shared" si="6"/>
        <v>2Y1M25D</v>
      </c>
      <c r="AU58" s="95" t="str">
        <f t="shared" si="7"/>
        <v>2Y0M0D</v>
      </c>
      <c r="AV58" s="102">
        <f t="shared" si="8"/>
        <v>2.1534246575342464</v>
      </c>
      <c r="AW58" s="99"/>
      <c r="AX58" s="99"/>
      <c r="AY58" s="99" t="e">
        <f t="shared" si="9"/>
        <v>#NUM!</v>
      </c>
      <c r="AZ58" s="102" t="e">
        <f t="shared" si="10"/>
        <v>#NUM!</v>
      </c>
      <c r="BA58" s="102">
        <f t="shared" si="11"/>
        <v>-120.88493150684931</v>
      </c>
      <c r="BB58" s="99"/>
      <c r="BC58" s="95">
        <v>44910</v>
      </c>
      <c r="BD58" s="95" t="str">
        <f t="shared" si="12"/>
        <v>2Y1M26D</v>
      </c>
      <c r="BE58" s="102" t="str">
        <f t="shared" si="13"/>
        <v>2Y0M1D</v>
      </c>
      <c r="BF58" s="102">
        <f t="shared" si="14"/>
        <v>2.1561643835616437</v>
      </c>
      <c r="BG58" s="99">
        <v>1</v>
      </c>
      <c r="BH58" s="99">
        <v>1</v>
      </c>
    </row>
    <row r="59" spans="1:60" s="189" customFormat="1" ht="16">
      <c r="A59" s="99" t="s">
        <v>273</v>
      </c>
      <c r="B59" s="99">
        <v>22105942</v>
      </c>
      <c r="C59" s="99" t="s">
        <v>274</v>
      </c>
      <c r="D59" s="95">
        <v>44156</v>
      </c>
      <c r="E59" s="95">
        <v>44251</v>
      </c>
      <c r="F59" s="95">
        <v>44251</v>
      </c>
      <c r="G59" s="99" t="s">
        <v>276</v>
      </c>
      <c r="H59" s="101">
        <v>44950</v>
      </c>
      <c r="I59" s="101">
        <v>45131</v>
      </c>
      <c r="J59" s="95">
        <v>44981</v>
      </c>
      <c r="K59" s="95">
        <v>44981</v>
      </c>
      <c r="L59" s="95" t="str">
        <f t="shared" si="0"/>
        <v>2Y3M3D</v>
      </c>
      <c r="M59" s="95" t="str">
        <f t="shared" si="1"/>
        <v>2Y0M0D</v>
      </c>
      <c r="N59" s="102">
        <f t="shared" si="2"/>
        <v>2</v>
      </c>
      <c r="O59" s="99">
        <v>2</v>
      </c>
      <c r="P59" s="99">
        <v>3</v>
      </c>
      <c r="Q59" s="99"/>
      <c r="R59" s="99">
        <v>2</v>
      </c>
      <c r="S59" s="99">
        <v>1</v>
      </c>
      <c r="T59" s="99">
        <v>1</v>
      </c>
      <c r="U59" s="99"/>
      <c r="V59" s="99" t="s">
        <v>2216</v>
      </c>
      <c r="W59" s="99">
        <v>1</v>
      </c>
      <c r="X59" s="99">
        <v>1</v>
      </c>
      <c r="Y59" s="99">
        <v>1</v>
      </c>
      <c r="Z59" s="99">
        <v>1</v>
      </c>
      <c r="AA59" s="99">
        <v>1</v>
      </c>
      <c r="AB59" s="99"/>
      <c r="AC59" s="99" t="s">
        <v>2415</v>
      </c>
      <c r="AD59" s="99">
        <v>1</v>
      </c>
      <c r="AE59" s="99">
        <v>1</v>
      </c>
      <c r="AF59" s="99">
        <v>1</v>
      </c>
      <c r="AG59" s="99">
        <v>1</v>
      </c>
      <c r="AH59" s="95">
        <v>44981</v>
      </c>
      <c r="AI59" s="95" t="str">
        <f t="shared" si="3"/>
        <v>2Y3M3D</v>
      </c>
      <c r="AJ59" s="95" t="str">
        <f t="shared" si="4"/>
        <v>2Y0M0D</v>
      </c>
      <c r="AK59" s="102">
        <f t="shared" si="5"/>
        <v>2</v>
      </c>
      <c r="AL59" s="99">
        <v>1</v>
      </c>
      <c r="AM59" s="99">
        <v>1</v>
      </c>
      <c r="AN59" s="99">
        <v>1</v>
      </c>
      <c r="AO59" s="99">
        <v>1</v>
      </c>
      <c r="AP59" s="99">
        <v>1</v>
      </c>
      <c r="AQ59" s="99">
        <v>3</v>
      </c>
      <c r="AR59" s="99"/>
      <c r="AS59" s="95">
        <v>44957</v>
      </c>
      <c r="AT59" s="95" t="str">
        <f t="shared" si="6"/>
        <v>2Y2M10D</v>
      </c>
      <c r="AU59" s="95" t="str">
        <f t="shared" si="7"/>
        <v>1Y11M7D</v>
      </c>
      <c r="AV59" s="102">
        <f t="shared" si="8"/>
        <v>1.9342465753424658</v>
      </c>
      <c r="AW59" s="99">
        <v>3</v>
      </c>
      <c r="AX59" s="95">
        <v>44961</v>
      </c>
      <c r="AY59" s="95" t="str">
        <f t="shared" si="9"/>
        <v>2Y2M14D</v>
      </c>
      <c r="AZ59" s="102" t="str">
        <f t="shared" si="10"/>
        <v>1Y11M11D</v>
      </c>
      <c r="BA59" s="102">
        <f t="shared" si="11"/>
        <v>1.9452054794520548</v>
      </c>
      <c r="BB59" s="99">
        <v>3</v>
      </c>
      <c r="BC59" s="95">
        <v>44981</v>
      </c>
      <c r="BD59" s="95" t="str">
        <f t="shared" si="12"/>
        <v>2Y3M3D</v>
      </c>
      <c r="BE59" s="102" t="str">
        <f t="shared" si="13"/>
        <v>2Y0M0D</v>
      </c>
      <c r="BF59" s="102">
        <f t="shared" si="14"/>
        <v>2</v>
      </c>
      <c r="BG59" s="99">
        <v>1</v>
      </c>
      <c r="BH59" s="99">
        <v>1</v>
      </c>
    </row>
    <row r="60" spans="1:60" s="110" customFormat="1" ht="16">
      <c r="A60" s="17" t="s">
        <v>278</v>
      </c>
      <c r="B60" s="17">
        <v>22106996</v>
      </c>
      <c r="C60" s="17" t="s">
        <v>279</v>
      </c>
      <c r="D60" s="40">
        <v>44254</v>
      </c>
      <c r="E60" s="40">
        <v>44329</v>
      </c>
      <c r="F60" s="40">
        <v>44329</v>
      </c>
      <c r="G60" s="17" t="s">
        <v>281</v>
      </c>
      <c r="H60" s="75">
        <v>45029</v>
      </c>
      <c r="I60" s="75">
        <v>45212</v>
      </c>
      <c r="J60" s="40"/>
      <c r="K60" s="40"/>
      <c r="L60" s="40" t="e">
        <f t="shared" si="0"/>
        <v>#NUM!</v>
      </c>
      <c r="M60" s="40" t="e">
        <f t="shared" si="1"/>
        <v>#NUM!</v>
      </c>
      <c r="N60" s="21">
        <f t="shared" si="2"/>
        <v>-121.44931506849315</v>
      </c>
      <c r="O60" s="17"/>
      <c r="P60" s="17"/>
      <c r="Q60" s="17"/>
      <c r="R60" s="17"/>
      <c r="S60" s="17"/>
      <c r="T60" s="17"/>
      <c r="U60" s="17"/>
      <c r="V60" s="17"/>
      <c r="W60" s="17"/>
      <c r="X60" s="17"/>
      <c r="Y60" s="17"/>
      <c r="Z60" s="17"/>
      <c r="AA60" s="17"/>
      <c r="AB60" s="17"/>
      <c r="AC60" s="17"/>
      <c r="AD60" s="17"/>
      <c r="AE60" s="17"/>
      <c r="AF60" s="17"/>
      <c r="AG60" s="17"/>
      <c r="AH60" s="40"/>
      <c r="AI60" s="40" t="e">
        <f t="shared" si="3"/>
        <v>#NUM!</v>
      </c>
      <c r="AJ60" s="40" t="e">
        <f t="shared" si="4"/>
        <v>#NUM!</v>
      </c>
      <c r="AK60" s="21">
        <f t="shared" si="5"/>
        <v>-121.44931506849315</v>
      </c>
      <c r="AL60" s="17"/>
      <c r="AM60" s="17"/>
      <c r="AN60" s="17"/>
      <c r="AO60" s="17"/>
      <c r="AP60" s="17"/>
      <c r="AQ60" s="17"/>
      <c r="AR60" s="17"/>
      <c r="AS60" s="40">
        <v>45075</v>
      </c>
      <c r="AT60" s="40" t="str">
        <f t="shared" si="6"/>
        <v>2Y3M2D</v>
      </c>
      <c r="AU60" s="40" t="str">
        <f t="shared" si="7"/>
        <v>2Y0M16D</v>
      </c>
      <c r="AV60" s="21">
        <f t="shared" si="8"/>
        <v>2.043835616438356</v>
      </c>
      <c r="AW60" s="17">
        <v>4</v>
      </c>
      <c r="AX60" s="40"/>
      <c r="AY60" s="40" t="e">
        <f t="shared" si="9"/>
        <v>#NUM!</v>
      </c>
      <c r="AZ60" s="21" t="e">
        <f t="shared" si="10"/>
        <v>#NUM!</v>
      </c>
      <c r="BA60" s="21">
        <f t="shared" si="11"/>
        <v>-121.44931506849315</v>
      </c>
      <c r="BB60" s="17"/>
      <c r="BC60" s="40"/>
      <c r="BD60" s="40" t="e">
        <f t="shared" si="12"/>
        <v>#NUM!</v>
      </c>
      <c r="BE60" s="21" t="e">
        <f t="shared" si="13"/>
        <v>#NUM!</v>
      </c>
      <c r="BF60" s="21">
        <f t="shared" si="14"/>
        <v>-121.44931506849315</v>
      </c>
      <c r="BG60" s="17"/>
      <c r="BH60" s="17">
        <v>1</v>
      </c>
    </row>
    <row r="61" spans="1:60" s="110" customFormat="1" ht="16">
      <c r="A61" s="17" t="s">
        <v>283</v>
      </c>
      <c r="B61" s="17">
        <v>22106997</v>
      </c>
      <c r="C61" s="17" t="s">
        <v>284</v>
      </c>
      <c r="D61" s="40">
        <v>44254</v>
      </c>
      <c r="E61" s="40">
        <v>44329</v>
      </c>
      <c r="F61" s="40">
        <v>44329</v>
      </c>
      <c r="G61" s="17" t="s">
        <v>281</v>
      </c>
      <c r="H61" s="75">
        <v>45029</v>
      </c>
      <c r="I61" s="75">
        <v>45212</v>
      </c>
      <c r="J61" s="40"/>
      <c r="K61" s="40"/>
      <c r="L61" s="40" t="e">
        <f t="shared" si="0"/>
        <v>#NUM!</v>
      </c>
      <c r="M61" s="40" t="e">
        <f t="shared" si="1"/>
        <v>#NUM!</v>
      </c>
      <c r="N61" s="21">
        <f t="shared" si="2"/>
        <v>-121.44931506849315</v>
      </c>
      <c r="O61" s="17"/>
      <c r="P61" s="17"/>
      <c r="Q61" s="17"/>
      <c r="R61" s="17"/>
      <c r="S61" s="17"/>
      <c r="T61" s="17"/>
      <c r="U61" s="17"/>
      <c r="V61" s="17"/>
      <c r="W61" s="17"/>
      <c r="X61" s="17"/>
      <c r="Y61" s="17"/>
      <c r="Z61" s="17"/>
      <c r="AA61" s="17"/>
      <c r="AB61" s="17"/>
      <c r="AC61" s="17"/>
      <c r="AD61" s="17"/>
      <c r="AE61" s="17"/>
      <c r="AF61" s="17"/>
      <c r="AG61" s="17"/>
      <c r="AH61" s="40"/>
      <c r="AI61" s="40" t="e">
        <f t="shared" si="3"/>
        <v>#NUM!</v>
      </c>
      <c r="AJ61" s="40" t="e">
        <f t="shared" si="4"/>
        <v>#NUM!</v>
      </c>
      <c r="AK61" s="21">
        <f t="shared" si="5"/>
        <v>-121.44931506849315</v>
      </c>
      <c r="AL61" s="17"/>
      <c r="AM61" s="17"/>
      <c r="AN61" s="17"/>
      <c r="AO61" s="17"/>
      <c r="AP61" s="17"/>
      <c r="AQ61" s="17"/>
      <c r="AR61" s="17"/>
      <c r="AS61" s="40">
        <v>45084</v>
      </c>
      <c r="AT61" s="40" t="str">
        <f t="shared" si="6"/>
        <v>2Y3M11D</v>
      </c>
      <c r="AU61" s="40" t="str">
        <f t="shared" si="7"/>
        <v>2Y0M25D</v>
      </c>
      <c r="AV61" s="21">
        <f t="shared" si="8"/>
        <v>2.0684931506849313</v>
      </c>
      <c r="AW61" s="17">
        <v>4</v>
      </c>
      <c r="AX61" s="40">
        <v>45084</v>
      </c>
      <c r="AY61" s="40" t="str">
        <f t="shared" si="9"/>
        <v>2Y3M11D</v>
      </c>
      <c r="AZ61" s="21" t="str">
        <f t="shared" si="10"/>
        <v>2Y0M25D</v>
      </c>
      <c r="BA61" s="21">
        <f t="shared" si="11"/>
        <v>2.0684931506849313</v>
      </c>
      <c r="BB61" s="17">
        <v>4</v>
      </c>
      <c r="BC61" s="40"/>
      <c r="BD61" s="40" t="e">
        <f t="shared" si="12"/>
        <v>#NUM!</v>
      </c>
      <c r="BE61" s="21" t="e">
        <f t="shared" si="13"/>
        <v>#NUM!</v>
      </c>
      <c r="BF61" s="21">
        <f t="shared" si="14"/>
        <v>-121.44931506849315</v>
      </c>
      <c r="BG61" s="17"/>
      <c r="BH61" s="17">
        <v>1</v>
      </c>
    </row>
    <row r="62" spans="1:60" s="110" customFormat="1" ht="16">
      <c r="A62" s="17" t="s">
        <v>286</v>
      </c>
      <c r="B62" s="2">
        <v>22108155</v>
      </c>
      <c r="C62" s="2" t="s">
        <v>287</v>
      </c>
      <c r="D62" s="23">
        <v>44375</v>
      </c>
      <c r="E62" s="23">
        <v>44446</v>
      </c>
      <c r="F62" s="23">
        <v>44446</v>
      </c>
      <c r="G62" s="2" t="s">
        <v>289</v>
      </c>
      <c r="H62" s="38">
        <v>45145</v>
      </c>
      <c r="I62" s="38">
        <v>45329</v>
      </c>
      <c r="J62" s="17"/>
      <c r="K62" s="17"/>
      <c r="L62" s="17" t="e">
        <f t="shared" ref="L62:L93" si="15">DATEDIF(D62,K62,"y")&amp;"Y"&amp;DATEDIF(D62,K62,"ym")&amp;"M"&amp;DATEDIF(D62,K62,"md")&amp;"D"</f>
        <v>#NUM!</v>
      </c>
      <c r="M62" s="17" t="e">
        <f t="shared" ref="M62:M93" si="16">DATEDIF(E62,K62,"y")&amp;"Y"&amp;DATEDIF(E62,K62,"ym")&amp;"M"&amp;DATEDIF(E62,K62,"md")&amp;"D"</f>
        <v>#NUM!</v>
      </c>
      <c r="N62" s="21">
        <f t="shared" ref="N62:N93" si="17">(K62-F62)/365</f>
        <v>-121.76986301369863</v>
      </c>
      <c r="O62" s="17"/>
      <c r="P62" s="17"/>
      <c r="Q62" s="17"/>
      <c r="R62" s="17"/>
      <c r="S62" s="17"/>
      <c r="T62" s="17"/>
      <c r="U62" s="17"/>
      <c r="V62" s="17"/>
      <c r="W62" s="17"/>
      <c r="X62" s="17"/>
      <c r="Y62" s="17"/>
      <c r="Z62" s="17"/>
      <c r="AA62" s="17"/>
      <c r="AB62" s="17"/>
      <c r="AC62" s="17"/>
      <c r="AD62" s="17"/>
      <c r="AE62" s="17"/>
      <c r="AF62" s="17"/>
      <c r="AG62" s="17"/>
      <c r="AH62" s="40">
        <v>45365</v>
      </c>
      <c r="AI62" s="17" t="str">
        <f t="shared" ref="AI62:AI93" si="18">DATEDIF(D62,AH62,"y")&amp;"Y"&amp;DATEDIF(D62,AH62,"ym")&amp;"M"&amp;DATEDIF(D62,AH62,"md")&amp;"D"</f>
        <v>2Y8M15D</v>
      </c>
      <c r="AJ62" s="17" t="str">
        <f t="shared" ref="AJ62:AJ93" si="19">DATEDIF(E62,AH62,"y")&amp;"Y"&amp;DATEDIF(E62,AH62,"ym")&amp;"M"&amp;DATEDIF(E62,AH62,"md")&amp;"D"</f>
        <v>2Y6M7D</v>
      </c>
      <c r="AK62" s="21">
        <f t="shared" ref="AK62:AK93" si="20">(AH62-F62)/365</f>
        <v>2.5178082191780824</v>
      </c>
      <c r="AL62" s="17">
        <v>1</v>
      </c>
      <c r="AM62" s="17">
        <v>1</v>
      </c>
      <c r="AN62" s="17">
        <v>2</v>
      </c>
      <c r="AO62" s="17">
        <v>1</v>
      </c>
      <c r="AP62" s="17">
        <v>3</v>
      </c>
      <c r="AQ62" s="17">
        <v>3</v>
      </c>
      <c r="AR62" s="17"/>
      <c r="AS62" s="40">
        <v>45363</v>
      </c>
      <c r="AT62" s="17" t="str">
        <f t="shared" ref="AT62:AT92" si="21">DATEDIF(D62,AS62,"y")&amp;"Y"&amp;DATEDIF(D62,AS62,"ym")&amp;"M"&amp;DATEDIF(D62,AS62,"md")&amp;"D"</f>
        <v>2Y8M13D</v>
      </c>
      <c r="AU62" s="17" t="str">
        <f t="shared" ref="AU62:AU92" si="22">DATEDIF(E62,AS62,"y")&amp;"Y"&amp;DATEDIF(E62,AS62,"ym")&amp;"M"&amp;DATEDIF(E62,AS62,"md")&amp;"D"</f>
        <v>2Y6M5D</v>
      </c>
      <c r="AV62" s="21">
        <f t="shared" ref="AV62:AV92" si="23">(AS62-F62)/365</f>
        <v>2.5123287671232877</v>
      </c>
      <c r="AW62" s="17">
        <v>8</v>
      </c>
      <c r="AX62" s="40">
        <v>45363</v>
      </c>
      <c r="AY62" s="17" t="str">
        <f t="shared" ref="AY62:AY92" si="24">DATEDIF(D62,AX62,"y")&amp;"Y"&amp;DATEDIF(D62,AX62,"ym")&amp;"M"&amp;DATEDIF(D62,AX62,"md")&amp;"D"</f>
        <v>2Y8M13D</v>
      </c>
      <c r="AZ62" s="21" t="str">
        <f t="shared" ref="AZ62:AZ92" si="25">DATEDIF(E62,AX62,"y")&amp;"Y"&amp;DATEDIF(E62,AX62,"ym")&amp;"M"&amp;DATEDIF(E62,AX62,"md")&amp;"D"</f>
        <v>2Y6M5D</v>
      </c>
      <c r="BA62" s="21">
        <f t="shared" ref="BA62:BA92" si="26">(AX62-F62)/365</f>
        <v>2.5123287671232877</v>
      </c>
      <c r="BB62" s="17">
        <v>8</v>
      </c>
      <c r="BC62" s="17"/>
      <c r="BD62" s="17" t="e">
        <f t="shared" ref="BD62:BD93" si="27">DATEDIF(D62,BC62,"y")&amp;"Y"&amp;DATEDIF(D62,BC62,"ym")&amp;"M"&amp;DATEDIF(D62,BC62,"md")&amp;"D"</f>
        <v>#NUM!</v>
      </c>
      <c r="BE62" s="21" t="e">
        <f t="shared" ref="BE62:BE93" si="28">DATEDIF(E62,BC62,"y")&amp;"Y"&amp;DATEDIF(E62,BC62,"ym")&amp;"M"&amp;DATEDIF(E62,BC62,"md")&amp;"D"</f>
        <v>#NUM!</v>
      </c>
      <c r="BF62" s="21">
        <f t="shared" ref="BF62:BF93" si="29">(BC62-F62)/365</f>
        <v>-121.76986301369863</v>
      </c>
      <c r="BG62" s="17"/>
      <c r="BH62" s="17">
        <v>1</v>
      </c>
    </row>
    <row r="63" spans="1:60" s="193" customFormat="1" ht="16">
      <c r="A63" s="25" t="s">
        <v>291</v>
      </c>
      <c r="B63" s="25">
        <v>22106340</v>
      </c>
      <c r="C63" s="25" t="s">
        <v>292</v>
      </c>
      <c r="D63" s="32">
        <v>44194</v>
      </c>
      <c r="E63" s="32">
        <v>44190</v>
      </c>
      <c r="F63" s="32">
        <v>44194</v>
      </c>
      <c r="G63" s="25" t="s">
        <v>294</v>
      </c>
      <c r="H63" s="86">
        <v>44890</v>
      </c>
      <c r="I63" s="86">
        <v>45071</v>
      </c>
      <c r="J63" s="32"/>
      <c r="K63" s="32"/>
      <c r="L63" s="32" t="e">
        <f t="shared" si="15"/>
        <v>#NUM!</v>
      </c>
      <c r="M63" s="32" t="e">
        <f t="shared" si="16"/>
        <v>#NUM!</v>
      </c>
      <c r="N63" s="64">
        <f t="shared" si="17"/>
        <v>-121.07945205479452</v>
      </c>
      <c r="O63" s="25"/>
      <c r="P63" s="25"/>
      <c r="Q63" s="25"/>
      <c r="R63" s="25"/>
      <c r="S63" s="25"/>
      <c r="T63" s="25"/>
      <c r="U63" s="25"/>
      <c r="V63" s="25"/>
      <c r="W63" s="25"/>
      <c r="X63" s="25"/>
      <c r="Y63" s="25"/>
      <c r="Z63" s="25"/>
      <c r="AA63" s="25"/>
      <c r="AB63" s="25"/>
      <c r="AC63" s="25"/>
      <c r="AD63" s="25"/>
      <c r="AE63" s="25"/>
      <c r="AF63" s="25"/>
      <c r="AG63" s="25"/>
      <c r="AH63" s="32"/>
      <c r="AI63" s="32" t="e">
        <f t="shared" si="18"/>
        <v>#NUM!</v>
      </c>
      <c r="AJ63" s="32" t="e">
        <f t="shared" si="19"/>
        <v>#NUM!</v>
      </c>
      <c r="AK63" s="64">
        <f t="shared" si="20"/>
        <v>-121.07945205479452</v>
      </c>
      <c r="AL63" s="25"/>
      <c r="AM63" s="25"/>
      <c r="AN63" s="25"/>
      <c r="AO63" s="25"/>
      <c r="AP63" s="25"/>
      <c r="AQ63" s="25"/>
      <c r="AR63" s="25"/>
      <c r="AS63" s="32"/>
      <c r="AT63" s="32" t="e">
        <f t="shared" si="21"/>
        <v>#NUM!</v>
      </c>
      <c r="AU63" s="32" t="e">
        <f t="shared" si="22"/>
        <v>#NUM!</v>
      </c>
      <c r="AV63" s="64">
        <f t="shared" si="23"/>
        <v>-121.07945205479452</v>
      </c>
      <c r="AW63" s="25"/>
      <c r="AX63" s="32"/>
      <c r="AY63" s="32" t="e">
        <f t="shared" si="24"/>
        <v>#NUM!</v>
      </c>
      <c r="AZ63" s="64" t="e">
        <f t="shared" si="25"/>
        <v>#NUM!</v>
      </c>
      <c r="BA63" s="64">
        <f t="shared" si="26"/>
        <v>-121.07945205479452</v>
      </c>
      <c r="BB63" s="25"/>
      <c r="BC63" s="32"/>
      <c r="BD63" s="32" t="e">
        <f t="shared" si="27"/>
        <v>#NUM!</v>
      </c>
      <c r="BE63" s="64" t="e">
        <f t="shared" si="28"/>
        <v>#NUM!</v>
      </c>
      <c r="BF63" s="64">
        <f t="shared" si="29"/>
        <v>-121.07945205479452</v>
      </c>
      <c r="BG63" s="25"/>
      <c r="BH63" s="25">
        <v>0</v>
      </c>
    </row>
    <row r="64" spans="1:60" s="189" customFormat="1" ht="16">
      <c r="A64" s="99" t="s">
        <v>296</v>
      </c>
      <c r="B64" s="99">
        <v>22103195</v>
      </c>
      <c r="C64" s="99" t="s">
        <v>297</v>
      </c>
      <c r="D64" s="95">
        <v>43881</v>
      </c>
      <c r="E64" s="95">
        <v>43949</v>
      </c>
      <c r="F64" s="95">
        <v>43949</v>
      </c>
      <c r="G64" s="99" t="s">
        <v>299</v>
      </c>
      <c r="H64" s="101">
        <v>44648</v>
      </c>
      <c r="I64" s="101">
        <v>44832</v>
      </c>
      <c r="J64" s="95">
        <v>44764</v>
      </c>
      <c r="K64" s="95">
        <v>44764</v>
      </c>
      <c r="L64" s="95" t="str">
        <f t="shared" si="15"/>
        <v>2Y5M2D</v>
      </c>
      <c r="M64" s="95" t="str">
        <f t="shared" si="16"/>
        <v>2Y2M24D</v>
      </c>
      <c r="N64" s="102">
        <f t="shared" si="17"/>
        <v>2.2328767123287672</v>
      </c>
      <c r="O64" s="99">
        <v>2</v>
      </c>
      <c r="P64" s="99">
        <v>2</v>
      </c>
      <c r="Q64" s="99" t="s">
        <v>1669</v>
      </c>
      <c r="R64" s="98">
        <v>2</v>
      </c>
      <c r="S64" s="99">
        <v>1</v>
      </c>
      <c r="T64" s="99">
        <v>1</v>
      </c>
      <c r="U64" s="99" t="s">
        <v>1673</v>
      </c>
      <c r="V64" s="99" t="s">
        <v>1664</v>
      </c>
      <c r="W64" s="99">
        <v>1</v>
      </c>
      <c r="X64" s="99">
        <v>1</v>
      </c>
      <c r="Y64" s="99">
        <v>1</v>
      </c>
      <c r="Z64" s="99">
        <v>1</v>
      </c>
      <c r="AA64" s="99">
        <v>1</v>
      </c>
      <c r="AB64" s="99">
        <v>1</v>
      </c>
      <c r="AC64" s="99" t="s">
        <v>1671</v>
      </c>
      <c r="AD64" s="99">
        <v>1</v>
      </c>
      <c r="AE64" s="99">
        <v>1</v>
      </c>
      <c r="AF64" s="99">
        <v>1</v>
      </c>
      <c r="AG64" s="99">
        <v>1</v>
      </c>
      <c r="AH64" s="95">
        <v>44764</v>
      </c>
      <c r="AI64" s="95" t="str">
        <f t="shared" si="18"/>
        <v>2Y5M2D</v>
      </c>
      <c r="AJ64" s="95" t="str">
        <f t="shared" si="19"/>
        <v>2Y2M24D</v>
      </c>
      <c r="AK64" s="102">
        <f t="shared" si="20"/>
        <v>2.2328767123287672</v>
      </c>
      <c r="AL64" s="99"/>
      <c r="AM64" s="99">
        <v>1</v>
      </c>
      <c r="AN64" s="99">
        <v>1</v>
      </c>
      <c r="AO64" s="99">
        <v>1</v>
      </c>
      <c r="AP64" s="99">
        <v>1</v>
      </c>
      <c r="AQ64" s="99">
        <v>3</v>
      </c>
      <c r="AR64" s="99"/>
      <c r="AS64" s="95">
        <v>44734</v>
      </c>
      <c r="AT64" s="95" t="str">
        <f t="shared" si="21"/>
        <v>2Y4M2D</v>
      </c>
      <c r="AU64" s="95" t="str">
        <f t="shared" si="22"/>
        <v>2Y1M25D</v>
      </c>
      <c r="AV64" s="102">
        <f t="shared" si="23"/>
        <v>2.1506849315068495</v>
      </c>
      <c r="AW64" s="99">
        <v>2</v>
      </c>
      <c r="AX64" s="95">
        <v>44735</v>
      </c>
      <c r="AY64" s="95" t="str">
        <f t="shared" si="24"/>
        <v>2Y4M3D</v>
      </c>
      <c r="AZ64" s="102" t="str">
        <f t="shared" si="25"/>
        <v>2Y1M26D</v>
      </c>
      <c r="BA64" s="102">
        <f t="shared" si="26"/>
        <v>2.1534246575342464</v>
      </c>
      <c r="BB64" s="99">
        <v>2</v>
      </c>
      <c r="BC64" s="95">
        <v>44736</v>
      </c>
      <c r="BD64" s="95" t="str">
        <f t="shared" si="27"/>
        <v>2Y4M4D</v>
      </c>
      <c r="BE64" s="102" t="str">
        <f t="shared" si="28"/>
        <v>2Y1M27D</v>
      </c>
      <c r="BF64" s="102">
        <f t="shared" si="29"/>
        <v>2.1561643835616437</v>
      </c>
      <c r="BG64" s="99">
        <v>1</v>
      </c>
      <c r="BH64" s="99">
        <v>1</v>
      </c>
    </row>
    <row r="65" spans="1:60" s="189" customFormat="1" ht="16">
      <c r="A65" s="99" t="s">
        <v>301</v>
      </c>
      <c r="B65" s="99">
        <v>22107168</v>
      </c>
      <c r="C65" s="99" t="s">
        <v>302</v>
      </c>
      <c r="D65" s="95">
        <v>44272</v>
      </c>
      <c r="E65" s="95">
        <v>44338</v>
      </c>
      <c r="F65" s="95">
        <v>44338</v>
      </c>
      <c r="G65" s="99" t="s">
        <v>304</v>
      </c>
      <c r="H65" s="101">
        <v>45038</v>
      </c>
      <c r="I65" s="101">
        <v>45221</v>
      </c>
      <c r="J65" s="95">
        <v>45107</v>
      </c>
      <c r="K65" s="95">
        <v>45107</v>
      </c>
      <c r="L65" s="95" t="str">
        <f t="shared" si="15"/>
        <v>2Y3M13D</v>
      </c>
      <c r="M65" s="95" t="str">
        <f t="shared" si="16"/>
        <v>2Y1M8D</v>
      </c>
      <c r="N65" s="102">
        <f t="shared" si="17"/>
        <v>2.106849315068493</v>
      </c>
      <c r="O65" s="99">
        <v>2</v>
      </c>
      <c r="P65" s="99">
        <v>3</v>
      </c>
      <c r="Q65" s="99"/>
      <c r="R65" s="99">
        <v>2</v>
      </c>
      <c r="S65" s="99">
        <v>1</v>
      </c>
      <c r="T65" s="99"/>
      <c r="U65" s="99" t="s">
        <v>2204</v>
      </c>
      <c r="V65" s="99" t="s">
        <v>2216</v>
      </c>
      <c r="W65" s="99">
        <v>1</v>
      </c>
      <c r="X65" s="99">
        <v>1</v>
      </c>
      <c r="Y65" s="99">
        <v>1</v>
      </c>
      <c r="Z65" s="99">
        <v>1</v>
      </c>
      <c r="AA65" s="99">
        <v>1</v>
      </c>
      <c r="AB65" s="99">
        <v>1</v>
      </c>
      <c r="AC65" s="99"/>
      <c r="AD65" s="99">
        <v>1</v>
      </c>
      <c r="AE65" s="99">
        <v>1</v>
      </c>
      <c r="AF65" s="99">
        <v>1</v>
      </c>
      <c r="AG65" s="99">
        <v>1</v>
      </c>
      <c r="AH65" s="95">
        <v>45107</v>
      </c>
      <c r="AI65" s="95" t="str">
        <f t="shared" si="18"/>
        <v>2Y3M13D</v>
      </c>
      <c r="AJ65" s="95" t="str">
        <f t="shared" si="19"/>
        <v>2Y1M8D</v>
      </c>
      <c r="AK65" s="102">
        <f t="shared" si="20"/>
        <v>2.106849315068493</v>
      </c>
      <c r="AL65" s="99">
        <v>1</v>
      </c>
      <c r="AM65" s="99">
        <v>1</v>
      </c>
      <c r="AN65" s="99">
        <v>1</v>
      </c>
      <c r="AO65" s="99">
        <v>1</v>
      </c>
      <c r="AP65" s="99">
        <v>2</v>
      </c>
      <c r="AQ65" s="99">
        <v>3</v>
      </c>
      <c r="AR65" s="99"/>
      <c r="AS65" s="95">
        <v>45104</v>
      </c>
      <c r="AT65" s="95" t="str">
        <f t="shared" si="21"/>
        <v>2Y3M10D</v>
      </c>
      <c r="AU65" s="95" t="str">
        <f t="shared" si="22"/>
        <v>2Y1M5D</v>
      </c>
      <c r="AV65" s="102">
        <f t="shared" si="23"/>
        <v>2.0986301369863014</v>
      </c>
      <c r="AW65" s="99">
        <v>4</v>
      </c>
      <c r="AX65" s="95">
        <v>45105</v>
      </c>
      <c r="AY65" s="95" t="str">
        <f t="shared" si="24"/>
        <v>2Y3M11D</v>
      </c>
      <c r="AZ65" s="102" t="str">
        <f t="shared" si="25"/>
        <v>2Y1M6D</v>
      </c>
      <c r="BA65" s="102">
        <f t="shared" si="26"/>
        <v>2.1013698630136988</v>
      </c>
      <c r="BB65" s="99">
        <v>4</v>
      </c>
      <c r="BC65" s="95">
        <v>45107</v>
      </c>
      <c r="BD65" s="99" t="str">
        <f t="shared" si="27"/>
        <v>2Y3M13D</v>
      </c>
      <c r="BE65" s="102" t="str">
        <f t="shared" si="28"/>
        <v>2Y1M8D</v>
      </c>
      <c r="BF65" s="102">
        <f t="shared" si="29"/>
        <v>2.106849315068493</v>
      </c>
      <c r="BG65" s="99">
        <v>2</v>
      </c>
      <c r="BH65" s="99">
        <v>1</v>
      </c>
    </row>
    <row r="66" spans="1:60" s="193" customFormat="1" ht="16">
      <c r="A66" s="63" t="s">
        <v>306</v>
      </c>
      <c r="B66" s="63">
        <v>22107334</v>
      </c>
      <c r="C66" s="63" t="s">
        <v>307</v>
      </c>
      <c r="D66" s="43">
        <v>44287</v>
      </c>
      <c r="E66" s="43">
        <v>44357</v>
      </c>
      <c r="F66" s="43">
        <v>44357</v>
      </c>
      <c r="G66" s="63">
        <v>30</v>
      </c>
      <c r="H66" s="86">
        <v>45056</v>
      </c>
      <c r="I66" s="86">
        <v>45240</v>
      </c>
      <c r="J66" s="63"/>
      <c r="K66" s="63"/>
      <c r="L66" s="63" t="e">
        <f t="shared" si="15"/>
        <v>#NUM!</v>
      </c>
      <c r="M66" s="63" t="e">
        <f t="shared" si="16"/>
        <v>#NUM!</v>
      </c>
      <c r="N66" s="72">
        <f t="shared" si="17"/>
        <v>-121.52602739726028</v>
      </c>
      <c r="O66" s="63"/>
      <c r="P66" s="63"/>
      <c r="Q66" s="63"/>
      <c r="R66" s="63"/>
      <c r="S66" s="63"/>
      <c r="T66" s="63"/>
      <c r="U66" s="63"/>
      <c r="V66" s="63"/>
      <c r="W66" s="63"/>
      <c r="X66" s="63"/>
      <c r="Y66" s="63"/>
      <c r="Z66" s="63"/>
      <c r="AA66" s="63"/>
      <c r="AB66" s="63"/>
      <c r="AC66" s="63"/>
      <c r="AD66" s="63"/>
      <c r="AE66" s="63"/>
      <c r="AF66" s="63"/>
      <c r="AG66" s="63"/>
      <c r="AH66" s="63"/>
      <c r="AI66" s="63" t="e">
        <f t="shared" si="18"/>
        <v>#NUM!</v>
      </c>
      <c r="AJ66" s="63" t="e">
        <f t="shared" si="19"/>
        <v>#NUM!</v>
      </c>
      <c r="AK66" s="72">
        <f t="shared" si="20"/>
        <v>-121.52602739726028</v>
      </c>
      <c r="AL66" s="63"/>
      <c r="AM66" s="63"/>
      <c r="AN66" s="63"/>
      <c r="AO66" s="63"/>
      <c r="AP66" s="63"/>
      <c r="AQ66" s="63"/>
      <c r="AR66" s="63"/>
      <c r="AS66" s="63"/>
      <c r="AT66" s="63" t="e">
        <f t="shared" si="21"/>
        <v>#NUM!</v>
      </c>
      <c r="AU66" s="63" t="e">
        <f t="shared" si="22"/>
        <v>#NUM!</v>
      </c>
      <c r="AV66" s="72">
        <f t="shared" si="23"/>
        <v>-121.52602739726028</v>
      </c>
      <c r="AW66" s="63"/>
      <c r="AX66" s="63"/>
      <c r="AY66" s="63" t="e">
        <f t="shared" si="24"/>
        <v>#NUM!</v>
      </c>
      <c r="AZ66" s="72" t="e">
        <f t="shared" si="25"/>
        <v>#NUM!</v>
      </c>
      <c r="BA66" s="72">
        <f t="shared" si="26"/>
        <v>-121.52602739726028</v>
      </c>
      <c r="BB66" s="63"/>
      <c r="BC66" s="63"/>
      <c r="BD66" s="63" t="e">
        <f t="shared" si="27"/>
        <v>#NUM!</v>
      </c>
      <c r="BE66" s="72" t="e">
        <f t="shared" si="28"/>
        <v>#NUM!</v>
      </c>
      <c r="BF66" s="72">
        <f t="shared" si="29"/>
        <v>-121.52602739726028</v>
      </c>
      <c r="BG66" s="63"/>
      <c r="BH66" s="63">
        <v>1</v>
      </c>
    </row>
    <row r="67" spans="1:60" s="193" customFormat="1" ht="16">
      <c r="A67" s="63" t="s">
        <v>309</v>
      </c>
      <c r="B67" s="63">
        <v>22107336</v>
      </c>
      <c r="C67" s="63" t="s">
        <v>310</v>
      </c>
      <c r="D67" s="43">
        <v>44287</v>
      </c>
      <c r="E67" s="43">
        <v>44357</v>
      </c>
      <c r="F67" s="43">
        <v>44357</v>
      </c>
      <c r="G67" s="63">
        <v>30</v>
      </c>
      <c r="H67" s="86">
        <v>45056</v>
      </c>
      <c r="I67" s="86">
        <v>45240</v>
      </c>
      <c r="J67" s="63"/>
      <c r="K67" s="63"/>
      <c r="L67" s="63" t="e">
        <f t="shared" si="15"/>
        <v>#NUM!</v>
      </c>
      <c r="M67" s="63" t="e">
        <f t="shared" si="16"/>
        <v>#NUM!</v>
      </c>
      <c r="N67" s="72">
        <f t="shared" si="17"/>
        <v>-121.52602739726028</v>
      </c>
      <c r="O67" s="63"/>
      <c r="P67" s="63"/>
      <c r="Q67" s="63"/>
      <c r="R67" s="63"/>
      <c r="S67" s="63"/>
      <c r="T67" s="63"/>
      <c r="U67" s="63"/>
      <c r="V67" s="63"/>
      <c r="W67" s="63"/>
      <c r="X67" s="63"/>
      <c r="Y67" s="63"/>
      <c r="Z67" s="63"/>
      <c r="AA67" s="63"/>
      <c r="AB67" s="63"/>
      <c r="AC67" s="63"/>
      <c r="AD67" s="63"/>
      <c r="AE67" s="63"/>
      <c r="AF67" s="63"/>
      <c r="AG67" s="63"/>
      <c r="AH67" s="63"/>
      <c r="AI67" s="63" t="e">
        <f t="shared" si="18"/>
        <v>#NUM!</v>
      </c>
      <c r="AJ67" s="63" t="e">
        <f t="shared" si="19"/>
        <v>#NUM!</v>
      </c>
      <c r="AK67" s="72">
        <f t="shared" si="20"/>
        <v>-121.52602739726028</v>
      </c>
      <c r="AL67" s="63"/>
      <c r="AM67" s="63"/>
      <c r="AN67" s="63"/>
      <c r="AO67" s="63"/>
      <c r="AP67" s="63"/>
      <c r="AQ67" s="63"/>
      <c r="AR67" s="63"/>
      <c r="AS67" s="63"/>
      <c r="AT67" s="63" t="e">
        <f t="shared" si="21"/>
        <v>#NUM!</v>
      </c>
      <c r="AU67" s="63" t="e">
        <f t="shared" si="22"/>
        <v>#NUM!</v>
      </c>
      <c r="AV67" s="72">
        <f t="shared" si="23"/>
        <v>-121.52602739726028</v>
      </c>
      <c r="AW67" s="63"/>
      <c r="AX67" s="63"/>
      <c r="AY67" s="63" t="e">
        <f t="shared" si="24"/>
        <v>#NUM!</v>
      </c>
      <c r="AZ67" s="72" t="e">
        <f t="shared" si="25"/>
        <v>#NUM!</v>
      </c>
      <c r="BA67" s="72">
        <f t="shared" si="26"/>
        <v>-121.52602739726028</v>
      </c>
      <c r="BB67" s="63"/>
      <c r="BC67" s="63"/>
      <c r="BD67" s="63" t="e">
        <f t="shared" si="27"/>
        <v>#NUM!</v>
      </c>
      <c r="BE67" s="72" t="e">
        <f t="shared" si="28"/>
        <v>#NUM!</v>
      </c>
      <c r="BF67" s="72">
        <f t="shared" si="29"/>
        <v>-121.52602739726028</v>
      </c>
      <c r="BG67" s="63"/>
      <c r="BH67" s="63">
        <v>1</v>
      </c>
    </row>
    <row r="68" spans="1:60" s="189" customFormat="1" ht="16">
      <c r="A68" s="99" t="s">
        <v>312</v>
      </c>
      <c r="B68" s="99">
        <v>22106885</v>
      </c>
      <c r="C68" s="99" t="s">
        <v>313</v>
      </c>
      <c r="D68" s="95">
        <v>44246</v>
      </c>
      <c r="E68" s="95">
        <v>44356</v>
      </c>
      <c r="F68" s="95">
        <v>44356</v>
      </c>
      <c r="G68" s="99" t="s">
        <v>314</v>
      </c>
      <c r="H68" s="101">
        <v>45055</v>
      </c>
      <c r="I68" s="101">
        <v>45239</v>
      </c>
      <c r="J68" s="95">
        <v>45079</v>
      </c>
      <c r="K68" s="95">
        <v>45079</v>
      </c>
      <c r="L68" s="95" t="str">
        <f t="shared" si="15"/>
        <v>2Y3M14D</v>
      </c>
      <c r="M68" s="95" t="str">
        <f t="shared" si="16"/>
        <v>1Y11M24D</v>
      </c>
      <c r="N68" s="102">
        <f t="shared" si="17"/>
        <v>1.9808219178082191</v>
      </c>
      <c r="O68" s="99">
        <v>2</v>
      </c>
      <c r="P68" s="99">
        <v>3</v>
      </c>
      <c r="Q68" s="99"/>
      <c r="R68" s="99">
        <v>2</v>
      </c>
      <c r="S68" s="99">
        <v>1</v>
      </c>
      <c r="T68" s="99">
        <v>1</v>
      </c>
      <c r="U68" s="99" t="s">
        <v>1673</v>
      </c>
      <c r="V68" s="99" t="s">
        <v>1661</v>
      </c>
      <c r="W68" s="99">
        <v>1</v>
      </c>
      <c r="X68" s="99">
        <v>1</v>
      </c>
      <c r="Y68" s="99">
        <v>1</v>
      </c>
      <c r="Z68" s="99">
        <v>1</v>
      </c>
      <c r="AA68" s="99">
        <v>1</v>
      </c>
      <c r="AB68" s="99">
        <v>1</v>
      </c>
      <c r="AC68" s="99" t="s">
        <v>1709</v>
      </c>
      <c r="AD68" s="99">
        <v>1</v>
      </c>
      <c r="AE68" s="99">
        <v>1</v>
      </c>
      <c r="AF68" s="99">
        <v>1</v>
      </c>
      <c r="AG68" s="99">
        <v>1</v>
      </c>
      <c r="AH68" s="95">
        <v>45079</v>
      </c>
      <c r="AI68" s="95" t="str">
        <f t="shared" si="18"/>
        <v>2Y3M14D</v>
      </c>
      <c r="AJ68" s="95" t="str">
        <f t="shared" si="19"/>
        <v>1Y11M24D</v>
      </c>
      <c r="AK68" s="102">
        <f t="shared" si="20"/>
        <v>1.9808219178082191</v>
      </c>
      <c r="AL68" s="99">
        <v>1</v>
      </c>
      <c r="AM68" s="99">
        <v>1</v>
      </c>
      <c r="AN68" s="99">
        <v>1</v>
      </c>
      <c r="AO68" s="99">
        <v>1</v>
      </c>
      <c r="AP68" s="99">
        <v>1</v>
      </c>
      <c r="AQ68" s="99">
        <v>3</v>
      </c>
      <c r="AR68" s="99"/>
      <c r="AS68" s="95">
        <v>45075</v>
      </c>
      <c r="AT68" s="95" t="str">
        <f t="shared" si="21"/>
        <v>2Y3M10D</v>
      </c>
      <c r="AU68" s="95" t="str">
        <f t="shared" si="22"/>
        <v>1Y11M20D</v>
      </c>
      <c r="AV68" s="102">
        <f t="shared" si="23"/>
        <v>1.9698630136986301</v>
      </c>
      <c r="AW68" s="99">
        <v>4</v>
      </c>
      <c r="AX68" s="95">
        <v>45078</v>
      </c>
      <c r="AY68" s="95" t="str">
        <f t="shared" si="24"/>
        <v>2Y3M13D</v>
      </c>
      <c r="AZ68" s="102" t="str">
        <f t="shared" si="25"/>
        <v>1Y11M23D</v>
      </c>
      <c r="BA68" s="102">
        <f t="shared" si="26"/>
        <v>1.978082191780822</v>
      </c>
      <c r="BB68" s="99">
        <v>4</v>
      </c>
      <c r="BC68" s="95">
        <v>45079</v>
      </c>
      <c r="BD68" s="95" t="str">
        <f t="shared" si="27"/>
        <v>2Y3M14D</v>
      </c>
      <c r="BE68" s="102" t="str">
        <f t="shared" si="28"/>
        <v>1Y11M24D</v>
      </c>
      <c r="BF68" s="102">
        <f t="shared" si="29"/>
        <v>1.9808219178082191</v>
      </c>
      <c r="BG68" s="99">
        <v>2</v>
      </c>
      <c r="BH68" s="99">
        <v>1</v>
      </c>
    </row>
    <row r="69" spans="1:60" s="189" customFormat="1" ht="16">
      <c r="A69" s="99" t="s">
        <v>316</v>
      </c>
      <c r="B69" s="99">
        <v>22106005</v>
      </c>
      <c r="C69" s="99" t="s">
        <v>317</v>
      </c>
      <c r="D69" s="95">
        <v>44164</v>
      </c>
      <c r="E69" s="95">
        <v>44259</v>
      </c>
      <c r="F69" s="95">
        <v>44259</v>
      </c>
      <c r="G69" s="99" t="s">
        <v>276</v>
      </c>
      <c r="H69" s="101">
        <v>44961</v>
      </c>
      <c r="I69" s="101">
        <v>45142</v>
      </c>
      <c r="J69" s="95">
        <v>44995</v>
      </c>
      <c r="K69" s="95">
        <v>44995</v>
      </c>
      <c r="L69" s="95" t="str">
        <f t="shared" si="15"/>
        <v>2Y3M9D</v>
      </c>
      <c r="M69" s="95" t="str">
        <f t="shared" si="16"/>
        <v>2Y0M6D</v>
      </c>
      <c r="N69" s="102">
        <f t="shared" si="17"/>
        <v>2.0164383561643837</v>
      </c>
      <c r="O69" s="99">
        <v>2</v>
      </c>
      <c r="P69" s="99">
        <v>3</v>
      </c>
      <c r="Q69" s="99"/>
      <c r="R69" s="99">
        <v>2</v>
      </c>
      <c r="S69" s="99">
        <v>1</v>
      </c>
      <c r="T69" s="99">
        <v>1</v>
      </c>
      <c r="U69" s="99"/>
      <c r="V69" s="99" t="s">
        <v>2192</v>
      </c>
      <c r="W69" s="99">
        <v>1</v>
      </c>
      <c r="X69" s="99">
        <v>1</v>
      </c>
      <c r="Y69" s="99">
        <v>1</v>
      </c>
      <c r="Z69" s="99">
        <v>1</v>
      </c>
      <c r="AA69" s="99">
        <v>1</v>
      </c>
      <c r="AB69" s="99">
        <v>1</v>
      </c>
      <c r="AC69" s="99" t="s">
        <v>2204</v>
      </c>
      <c r="AD69" s="99">
        <v>1</v>
      </c>
      <c r="AE69" s="99">
        <v>1</v>
      </c>
      <c r="AF69" s="99">
        <v>1</v>
      </c>
      <c r="AG69" s="99">
        <v>1</v>
      </c>
      <c r="AH69" s="95">
        <v>44995</v>
      </c>
      <c r="AI69" s="95" t="str">
        <f t="shared" si="18"/>
        <v>2Y3M9D</v>
      </c>
      <c r="AJ69" s="95" t="str">
        <f t="shared" si="19"/>
        <v>2Y0M6D</v>
      </c>
      <c r="AK69" s="102">
        <f t="shared" si="20"/>
        <v>2.0164383561643837</v>
      </c>
      <c r="AL69" s="99">
        <v>1</v>
      </c>
      <c r="AM69" s="99">
        <v>1</v>
      </c>
      <c r="AN69" s="99">
        <v>1</v>
      </c>
      <c r="AO69" s="99">
        <v>1</v>
      </c>
      <c r="AP69" s="99">
        <v>1</v>
      </c>
      <c r="AQ69" s="99">
        <v>3</v>
      </c>
      <c r="AR69" s="99"/>
      <c r="AS69" s="95">
        <v>44994</v>
      </c>
      <c r="AT69" s="95" t="str">
        <f t="shared" si="21"/>
        <v>2Y3M8D</v>
      </c>
      <c r="AU69" s="95" t="str">
        <f t="shared" si="22"/>
        <v>2Y0M5D</v>
      </c>
      <c r="AV69" s="102">
        <f t="shared" si="23"/>
        <v>2.0136986301369864</v>
      </c>
      <c r="AW69" s="99">
        <v>3</v>
      </c>
      <c r="AX69" s="95">
        <v>44994</v>
      </c>
      <c r="AY69" s="95" t="str">
        <f t="shared" si="24"/>
        <v>2Y3M8D</v>
      </c>
      <c r="AZ69" s="102" t="str">
        <f t="shared" si="25"/>
        <v>2Y0M5D</v>
      </c>
      <c r="BA69" s="102">
        <f t="shared" si="26"/>
        <v>2.0136986301369864</v>
      </c>
      <c r="BB69" s="99">
        <v>3</v>
      </c>
      <c r="BC69" s="95">
        <v>44995</v>
      </c>
      <c r="BD69" s="95" t="str">
        <f t="shared" si="27"/>
        <v>2Y3M9D</v>
      </c>
      <c r="BE69" s="102" t="str">
        <f t="shared" si="28"/>
        <v>2Y0M6D</v>
      </c>
      <c r="BF69" s="102">
        <f t="shared" si="29"/>
        <v>2.0164383561643837</v>
      </c>
      <c r="BG69" s="99">
        <v>1</v>
      </c>
      <c r="BH69" s="99">
        <v>1</v>
      </c>
    </row>
    <row r="70" spans="1:60" s="110" customFormat="1" ht="16">
      <c r="A70" s="17" t="s">
        <v>320</v>
      </c>
      <c r="B70" s="17">
        <v>22108151</v>
      </c>
      <c r="C70" s="17" t="s">
        <v>321</v>
      </c>
      <c r="D70" s="40">
        <v>44374</v>
      </c>
      <c r="E70" s="40">
        <v>44436</v>
      </c>
      <c r="F70" s="40">
        <v>44436</v>
      </c>
      <c r="G70" s="17" t="s">
        <v>323</v>
      </c>
      <c r="H70" s="75">
        <v>45135</v>
      </c>
      <c r="I70" s="75">
        <v>45319</v>
      </c>
      <c r="J70" s="17"/>
      <c r="K70" s="17"/>
      <c r="L70" s="17" t="e">
        <f t="shared" si="15"/>
        <v>#NUM!</v>
      </c>
      <c r="M70" s="17" t="e">
        <f t="shared" si="16"/>
        <v>#NUM!</v>
      </c>
      <c r="N70" s="21">
        <f t="shared" si="17"/>
        <v>-121.74246575342465</v>
      </c>
      <c r="O70" s="17"/>
      <c r="P70" s="17"/>
      <c r="Q70" s="17"/>
      <c r="R70" s="17"/>
      <c r="S70" s="17"/>
      <c r="T70" s="17"/>
      <c r="U70" s="17"/>
      <c r="V70" s="17"/>
      <c r="W70" s="17"/>
      <c r="X70" s="17"/>
      <c r="Y70" s="17"/>
      <c r="Z70" s="17"/>
      <c r="AA70" s="17"/>
      <c r="AB70" s="17"/>
      <c r="AC70" s="17"/>
      <c r="AD70" s="17"/>
      <c r="AE70" s="17"/>
      <c r="AF70" s="17"/>
      <c r="AG70" s="17"/>
      <c r="AH70" s="40">
        <v>45283</v>
      </c>
      <c r="AI70" s="17" t="str">
        <f t="shared" si="18"/>
        <v>2Y5M26D</v>
      </c>
      <c r="AJ70" s="17" t="str">
        <f t="shared" si="19"/>
        <v>2Y3M25D</v>
      </c>
      <c r="AK70" s="21">
        <f t="shared" si="20"/>
        <v>2.3205479452054796</v>
      </c>
      <c r="AL70" s="17">
        <v>1</v>
      </c>
      <c r="AM70" s="17">
        <v>1</v>
      </c>
      <c r="AN70" s="17">
        <v>2</v>
      </c>
      <c r="AO70" s="17">
        <v>1</v>
      </c>
      <c r="AP70" s="17">
        <v>3</v>
      </c>
      <c r="AQ70" s="17">
        <v>3</v>
      </c>
      <c r="AR70" s="17"/>
      <c r="AS70" s="40">
        <v>45271</v>
      </c>
      <c r="AT70" s="17" t="str">
        <f t="shared" si="21"/>
        <v>2Y5M14D</v>
      </c>
      <c r="AU70" s="17" t="str">
        <f t="shared" si="22"/>
        <v>2Y3M13D</v>
      </c>
      <c r="AV70" s="21">
        <f t="shared" si="23"/>
        <v>2.2876712328767121</v>
      </c>
      <c r="AW70" s="17" t="s">
        <v>2613</v>
      </c>
      <c r="AX70" s="40">
        <v>45277</v>
      </c>
      <c r="AY70" s="17" t="str">
        <f t="shared" si="24"/>
        <v>2Y5M20D</v>
      </c>
      <c r="AZ70" s="21" t="str">
        <f t="shared" si="25"/>
        <v>2Y3M19D</v>
      </c>
      <c r="BA70" s="21">
        <f t="shared" si="26"/>
        <v>2.3041095890410959</v>
      </c>
      <c r="BB70" s="17">
        <v>7</v>
      </c>
      <c r="BC70" s="17"/>
      <c r="BD70" s="17" t="e">
        <f t="shared" si="27"/>
        <v>#NUM!</v>
      </c>
      <c r="BE70" s="21" t="e">
        <f t="shared" si="28"/>
        <v>#NUM!</v>
      </c>
      <c r="BF70" s="21">
        <f t="shared" si="29"/>
        <v>-121.74246575342465</v>
      </c>
      <c r="BG70" s="17"/>
      <c r="BH70" s="17">
        <v>1</v>
      </c>
    </row>
    <row r="71" spans="1:60" s="193" customFormat="1" ht="16">
      <c r="A71" s="25" t="s">
        <v>325</v>
      </c>
      <c r="B71" s="25">
        <v>22108143</v>
      </c>
      <c r="C71" s="25" t="s">
        <v>326</v>
      </c>
      <c r="D71" s="32">
        <v>44373</v>
      </c>
      <c r="E71" s="32">
        <v>44433</v>
      </c>
      <c r="F71" s="32">
        <v>44433</v>
      </c>
      <c r="G71" s="25" t="s">
        <v>105</v>
      </c>
      <c r="H71" s="86">
        <v>45132</v>
      </c>
      <c r="I71" s="86">
        <v>45316</v>
      </c>
      <c r="J71" s="32">
        <v>44875</v>
      </c>
      <c r="K71" s="25"/>
      <c r="L71" s="25" t="e">
        <f t="shared" si="15"/>
        <v>#NUM!</v>
      </c>
      <c r="M71" s="25" t="e">
        <f t="shared" si="16"/>
        <v>#NUM!</v>
      </c>
      <c r="N71" s="64">
        <f t="shared" si="17"/>
        <v>-121.73424657534247</v>
      </c>
      <c r="O71" s="25"/>
      <c r="P71" s="25"/>
      <c r="Q71" s="25"/>
      <c r="R71" s="25"/>
      <c r="S71" s="25"/>
      <c r="T71" s="25"/>
      <c r="U71" s="25"/>
      <c r="V71" s="25"/>
      <c r="W71" s="25"/>
      <c r="X71" s="25"/>
      <c r="Y71" s="25"/>
      <c r="Z71" s="25"/>
      <c r="AA71" s="25"/>
      <c r="AB71" s="25"/>
      <c r="AC71" s="25"/>
      <c r="AD71" s="25"/>
      <c r="AE71" s="25"/>
      <c r="AF71" s="25"/>
      <c r="AG71" s="25"/>
      <c r="AH71" s="25"/>
      <c r="AI71" s="25" t="e">
        <f t="shared" si="18"/>
        <v>#NUM!</v>
      </c>
      <c r="AJ71" s="25" t="e">
        <f t="shared" si="19"/>
        <v>#NUM!</v>
      </c>
      <c r="AK71" s="64">
        <f t="shared" si="20"/>
        <v>-121.73424657534247</v>
      </c>
      <c r="AL71" s="25"/>
      <c r="AM71" s="25"/>
      <c r="AN71" s="25"/>
      <c r="AO71" s="25"/>
      <c r="AP71" s="25"/>
      <c r="AQ71" s="25"/>
      <c r="AR71" s="25"/>
      <c r="AS71" s="25"/>
      <c r="AT71" s="25" t="e">
        <f t="shared" si="21"/>
        <v>#NUM!</v>
      </c>
      <c r="AU71" s="25" t="e">
        <f t="shared" si="22"/>
        <v>#NUM!</v>
      </c>
      <c r="AV71" s="64">
        <f t="shared" si="23"/>
        <v>-121.73424657534247</v>
      </c>
      <c r="AW71" s="25"/>
      <c r="AX71" s="25"/>
      <c r="AY71" s="25" t="e">
        <f t="shared" si="24"/>
        <v>#NUM!</v>
      </c>
      <c r="AZ71" s="64" t="e">
        <f t="shared" si="25"/>
        <v>#NUM!</v>
      </c>
      <c r="BA71" s="64">
        <f t="shared" si="26"/>
        <v>-121.73424657534247</v>
      </c>
      <c r="BB71" s="25"/>
      <c r="BC71" s="25"/>
      <c r="BD71" s="25" t="e">
        <f t="shared" si="27"/>
        <v>#NUM!</v>
      </c>
      <c r="BE71" s="64" t="e">
        <f t="shared" si="28"/>
        <v>#NUM!</v>
      </c>
      <c r="BF71" s="64">
        <f t="shared" si="29"/>
        <v>-121.73424657534247</v>
      </c>
      <c r="BG71" s="25"/>
      <c r="BH71" s="25">
        <v>1</v>
      </c>
    </row>
    <row r="72" spans="1:60" s="110" customFormat="1" ht="16">
      <c r="A72" s="17" t="s">
        <v>329</v>
      </c>
      <c r="B72" s="17">
        <v>22107452</v>
      </c>
      <c r="C72" s="17" t="s">
        <v>330</v>
      </c>
      <c r="D72" s="40">
        <v>44301</v>
      </c>
      <c r="E72" s="40">
        <v>44393</v>
      </c>
      <c r="F72" s="40">
        <v>44393</v>
      </c>
      <c r="G72" s="17" t="s">
        <v>165</v>
      </c>
      <c r="H72" s="75">
        <v>45093</v>
      </c>
      <c r="I72" s="75">
        <v>45276</v>
      </c>
      <c r="J72" s="17"/>
      <c r="K72" s="17"/>
      <c r="L72" s="17" t="e">
        <f t="shared" si="15"/>
        <v>#NUM!</v>
      </c>
      <c r="M72" s="17" t="e">
        <f t="shared" si="16"/>
        <v>#NUM!</v>
      </c>
      <c r="N72" s="21">
        <f t="shared" si="17"/>
        <v>-121.62465753424658</v>
      </c>
      <c r="O72" s="17"/>
      <c r="P72" s="17"/>
      <c r="Q72" s="17"/>
      <c r="R72" s="17"/>
      <c r="S72" s="17"/>
      <c r="T72" s="17"/>
      <c r="U72" s="17"/>
      <c r="V72" s="17"/>
      <c r="W72" s="17"/>
      <c r="X72" s="17"/>
      <c r="Y72" s="17"/>
      <c r="Z72" s="17"/>
      <c r="AA72" s="17"/>
      <c r="AB72" s="17"/>
      <c r="AC72" s="17"/>
      <c r="AD72" s="17"/>
      <c r="AE72" s="17"/>
      <c r="AF72" s="17"/>
      <c r="AG72" s="17"/>
      <c r="AH72" s="40">
        <v>45148</v>
      </c>
      <c r="AI72" s="17" t="str">
        <f t="shared" si="18"/>
        <v>2Y3M26D</v>
      </c>
      <c r="AJ72" s="17" t="str">
        <f t="shared" si="19"/>
        <v>2Y0M25D</v>
      </c>
      <c r="AK72" s="21">
        <f t="shared" si="20"/>
        <v>2.0684931506849313</v>
      </c>
      <c r="AL72" s="17">
        <v>1</v>
      </c>
      <c r="AM72" s="17">
        <v>1</v>
      </c>
      <c r="AN72" s="17">
        <v>1</v>
      </c>
      <c r="AO72" s="17">
        <v>1</v>
      </c>
      <c r="AP72" s="17">
        <v>2</v>
      </c>
      <c r="AQ72" s="17">
        <v>3</v>
      </c>
      <c r="AR72" s="17"/>
      <c r="AS72" s="40">
        <v>45152</v>
      </c>
      <c r="AT72" s="17" t="str">
        <f t="shared" si="21"/>
        <v>2Y3M30D</v>
      </c>
      <c r="AU72" s="17" t="str">
        <f t="shared" si="22"/>
        <v>2Y0M29D</v>
      </c>
      <c r="AV72" s="21">
        <f t="shared" si="23"/>
        <v>2.0794520547945203</v>
      </c>
      <c r="AW72" s="17">
        <v>5</v>
      </c>
      <c r="AX72" s="40">
        <v>45170</v>
      </c>
      <c r="AY72" s="17" t="str">
        <f t="shared" si="24"/>
        <v>2Y4M17D</v>
      </c>
      <c r="AZ72" s="21" t="str">
        <f t="shared" si="25"/>
        <v>2Y1M16D</v>
      </c>
      <c r="BA72" s="21">
        <f t="shared" si="26"/>
        <v>2.128767123287671</v>
      </c>
      <c r="BB72" s="17">
        <v>5</v>
      </c>
      <c r="BC72" s="17"/>
      <c r="BD72" s="17" t="e">
        <f t="shared" si="27"/>
        <v>#NUM!</v>
      </c>
      <c r="BE72" s="21" t="e">
        <f t="shared" si="28"/>
        <v>#NUM!</v>
      </c>
      <c r="BF72" s="21">
        <f t="shared" si="29"/>
        <v>-121.62465753424658</v>
      </c>
      <c r="BG72" s="17"/>
      <c r="BH72" s="17">
        <v>1</v>
      </c>
    </row>
    <row r="73" spans="1:60" s="110" customFormat="1" ht="16">
      <c r="A73" s="17" t="s">
        <v>333</v>
      </c>
      <c r="B73" s="17">
        <v>22105672</v>
      </c>
      <c r="C73" s="17" t="s">
        <v>334</v>
      </c>
      <c r="D73" s="40">
        <v>44131</v>
      </c>
      <c r="E73" s="40">
        <v>44215</v>
      </c>
      <c r="F73" s="40">
        <v>44215</v>
      </c>
      <c r="G73" s="17">
        <v>28</v>
      </c>
      <c r="H73" s="75">
        <v>44914</v>
      </c>
      <c r="I73" s="75">
        <v>45096</v>
      </c>
      <c r="J73" s="40"/>
      <c r="K73" s="40"/>
      <c r="L73" s="40" t="e">
        <f t="shared" si="15"/>
        <v>#NUM!</v>
      </c>
      <c r="M73" s="40" t="e">
        <f t="shared" si="16"/>
        <v>#NUM!</v>
      </c>
      <c r="N73" s="21">
        <f t="shared" si="17"/>
        <v>-121.13698630136986</v>
      </c>
      <c r="O73" s="17"/>
      <c r="P73" s="17"/>
      <c r="Q73" s="17"/>
      <c r="R73" s="17"/>
      <c r="S73" s="17"/>
      <c r="T73" s="17"/>
      <c r="U73" s="17"/>
      <c r="V73" s="17"/>
      <c r="W73" s="17"/>
      <c r="X73" s="17"/>
      <c r="Y73" s="17"/>
      <c r="Z73" s="17"/>
      <c r="AA73" s="17"/>
      <c r="AB73" s="17"/>
      <c r="AC73" s="17"/>
      <c r="AD73" s="17"/>
      <c r="AE73" s="17"/>
      <c r="AF73" s="17"/>
      <c r="AG73" s="17"/>
      <c r="AH73" s="40"/>
      <c r="AI73" s="40" t="e">
        <f t="shared" si="18"/>
        <v>#NUM!</v>
      </c>
      <c r="AJ73" s="40" t="e">
        <f t="shared" si="19"/>
        <v>#NUM!</v>
      </c>
      <c r="AK73" s="21">
        <f t="shared" si="20"/>
        <v>-121.13698630136986</v>
      </c>
      <c r="AL73" s="17"/>
      <c r="AM73" s="17"/>
      <c r="AN73" s="17"/>
      <c r="AO73" s="17"/>
      <c r="AP73" s="17"/>
      <c r="AQ73" s="17"/>
      <c r="AR73" s="17"/>
      <c r="AS73" s="40">
        <v>45230</v>
      </c>
      <c r="AT73" s="40" t="str">
        <f t="shared" si="21"/>
        <v>3Y0M4D</v>
      </c>
      <c r="AU73" s="40" t="str">
        <f t="shared" si="22"/>
        <v>2Y9M12D</v>
      </c>
      <c r="AV73" s="21">
        <f t="shared" si="23"/>
        <v>2.7808219178082192</v>
      </c>
      <c r="AW73" s="17">
        <v>6</v>
      </c>
      <c r="AX73" s="40">
        <v>45230</v>
      </c>
      <c r="AY73" s="40" t="str">
        <f t="shared" si="24"/>
        <v>3Y0M4D</v>
      </c>
      <c r="AZ73" s="21" t="str">
        <f t="shared" si="25"/>
        <v>2Y9M12D</v>
      </c>
      <c r="BA73" s="21">
        <f t="shared" si="26"/>
        <v>2.7808219178082192</v>
      </c>
      <c r="BB73" s="17">
        <v>6</v>
      </c>
      <c r="BC73" s="40"/>
      <c r="BD73" s="40" t="e">
        <f t="shared" si="27"/>
        <v>#NUM!</v>
      </c>
      <c r="BE73" s="21" t="e">
        <f t="shared" si="28"/>
        <v>#NUM!</v>
      </c>
      <c r="BF73" s="21">
        <f t="shared" si="29"/>
        <v>-121.13698630136986</v>
      </c>
      <c r="BG73" s="17"/>
      <c r="BH73" s="17">
        <v>1</v>
      </c>
    </row>
    <row r="74" spans="1:60" s="193" customFormat="1" ht="16">
      <c r="A74" s="63" t="s">
        <v>337</v>
      </c>
      <c r="B74" s="63">
        <v>22108394</v>
      </c>
      <c r="C74" s="63" t="s">
        <v>338</v>
      </c>
      <c r="D74" s="43">
        <v>44398</v>
      </c>
      <c r="E74" s="43">
        <v>44461</v>
      </c>
      <c r="F74" s="43">
        <v>44461</v>
      </c>
      <c r="G74" s="63">
        <v>31</v>
      </c>
      <c r="H74" s="86">
        <v>45160</v>
      </c>
      <c r="I74" s="86">
        <v>45344</v>
      </c>
      <c r="J74" s="63"/>
      <c r="K74" s="63"/>
      <c r="L74" s="63" t="e">
        <f t="shared" si="15"/>
        <v>#NUM!</v>
      </c>
      <c r="M74" s="63" t="e">
        <f t="shared" si="16"/>
        <v>#NUM!</v>
      </c>
      <c r="N74" s="72">
        <f t="shared" si="17"/>
        <v>-121.81095890410958</v>
      </c>
      <c r="O74" s="25"/>
      <c r="P74" s="25"/>
      <c r="Q74" s="25"/>
      <c r="R74" s="25"/>
      <c r="S74" s="25"/>
      <c r="T74" s="25"/>
      <c r="U74" s="25"/>
      <c r="V74" s="25"/>
      <c r="W74" s="25"/>
      <c r="X74" s="25"/>
      <c r="Y74" s="25"/>
      <c r="Z74" s="25"/>
      <c r="AA74" s="25"/>
      <c r="AB74" s="25"/>
      <c r="AC74" s="25"/>
      <c r="AD74" s="25"/>
      <c r="AE74" s="25"/>
      <c r="AF74" s="25"/>
      <c r="AG74" s="25"/>
      <c r="AH74" s="63"/>
      <c r="AI74" s="63" t="e">
        <f t="shared" si="18"/>
        <v>#NUM!</v>
      </c>
      <c r="AJ74" s="63" t="e">
        <f t="shared" si="19"/>
        <v>#NUM!</v>
      </c>
      <c r="AK74" s="72">
        <f t="shared" si="20"/>
        <v>-121.81095890410958</v>
      </c>
      <c r="AL74" s="25"/>
      <c r="AM74" s="25"/>
      <c r="AN74" s="25"/>
      <c r="AO74" s="25"/>
      <c r="AP74" s="25"/>
      <c r="AQ74" s="25"/>
      <c r="AR74" s="25"/>
      <c r="AS74" s="63"/>
      <c r="AT74" s="63" t="e">
        <f t="shared" si="21"/>
        <v>#NUM!</v>
      </c>
      <c r="AU74" s="63" t="e">
        <f t="shared" si="22"/>
        <v>#NUM!</v>
      </c>
      <c r="AV74" s="72">
        <f t="shared" si="23"/>
        <v>-121.81095890410958</v>
      </c>
      <c r="AW74" s="25"/>
      <c r="AX74" s="63"/>
      <c r="AY74" s="63" t="e">
        <f t="shared" si="24"/>
        <v>#NUM!</v>
      </c>
      <c r="AZ74" s="72" t="e">
        <f t="shared" si="25"/>
        <v>#NUM!</v>
      </c>
      <c r="BA74" s="72">
        <f t="shared" si="26"/>
        <v>-121.81095890410958</v>
      </c>
      <c r="BB74" s="25"/>
      <c r="BC74" s="63"/>
      <c r="BD74" s="63" t="e">
        <f t="shared" si="27"/>
        <v>#NUM!</v>
      </c>
      <c r="BE74" s="72" t="e">
        <f t="shared" si="28"/>
        <v>#NUM!</v>
      </c>
      <c r="BF74" s="72">
        <f t="shared" si="29"/>
        <v>-121.81095890410958</v>
      </c>
      <c r="BG74" s="25"/>
      <c r="BH74" s="63">
        <v>1</v>
      </c>
    </row>
    <row r="75" spans="1:60" s="193" customFormat="1" ht="16">
      <c r="A75" s="63" t="s">
        <v>341</v>
      </c>
      <c r="B75" s="63">
        <v>22108395</v>
      </c>
      <c r="C75" s="63" t="s">
        <v>342</v>
      </c>
      <c r="D75" s="43">
        <v>44398</v>
      </c>
      <c r="E75" s="43">
        <v>44461</v>
      </c>
      <c r="F75" s="43">
        <v>44461</v>
      </c>
      <c r="G75" s="63">
        <v>31</v>
      </c>
      <c r="H75" s="86">
        <v>45160</v>
      </c>
      <c r="I75" s="86">
        <v>45344</v>
      </c>
      <c r="J75" s="63"/>
      <c r="K75" s="63"/>
      <c r="L75" s="63" t="e">
        <f t="shared" si="15"/>
        <v>#NUM!</v>
      </c>
      <c r="M75" s="63" t="e">
        <f t="shared" si="16"/>
        <v>#NUM!</v>
      </c>
      <c r="N75" s="72">
        <f t="shared" si="17"/>
        <v>-121.81095890410958</v>
      </c>
      <c r="O75" s="25"/>
      <c r="P75" s="25"/>
      <c r="Q75" s="25"/>
      <c r="R75" s="25"/>
      <c r="S75" s="25"/>
      <c r="T75" s="25"/>
      <c r="U75" s="25"/>
      <c r="V75" s="25"/>
      <c r="W75" s="25"/>
      <c r="X75" s="25"/>
      <c r="Y75" s="25"/>
      <c r="Z75" s="25"/>
      <c r="AA75" s="25"/>
      <c r="AB75" s="25"/>
      <c r="AC75" s="25"/>
      <c r="AD75" s="25"/>
      <c r="AE75" s="25"/>
      <c r="AF75" s="25"/>
      <c r="AG75" s="25"/>
      <c r="AH75" s="63"/>
      <c r="AI75" s="63" t="e">
        <f t="shared" si="18"/>
        <v>#NUM!</v>
      </c>
      <c r="AJ75" s="63" t="e">
        <f t="shared" si="19"/>
        <v>#NUM!</v>
      </c>
      <c r="AK75" s="72">
        <f t="shared" si="20"/>
        <v>-121.81095890410958</v>
      </c>
      <c r="AL75" s="25"/>
      <c r="AM75" s="25"/>
      <c r="AN75" s="25"/>
      <c r="AO75" s="25"/>
      <c r="AP75" s="25"/>
      <c r="AQ75" s="25"/>
      <c r="AR75" s="25"/>
      <c r="AS75" s="63"/>
      <c r="AT75" s="63" t="e">
        <f t="shared" si="21"/>
        <v>#NUM!</v>
      </c>
      <c r="AU75" s="63" t="e">
        <f t="shared" si="22"/>
        <v>#NUM!</v>
      </c>
      <c r="AV75" s="72">
        <f t="shared" si="23"/>
        <v>-121.81095890410958</v>
      </c>
      <c r="AW75" s="25"/>
      <c r="AX75" s="63"/>
      <c r="AY75" s="63" t="e">
        <f t="shared" si="24"/>
        <v>#NUM!</v>
      </c>
      <c r="AZ75" s="72" t="e">
        <f t="shared" si="25"/>
        <v>#NUM!</v>
      </c>
      <c r="BA75" s="72">
        <f t="shared" si="26"/>
        <v>-121.81095890410958</v>
      </c>
      <c r="BB75" s="25"/>
      <c r="BC75" s="63"/>
      <c r="BD75" s="63" t="e">
        <f t="shared" si="27"/>
        <v>#NUM!</v>
      </c>
      <c r="BE75" s="72" t="e">
        <f t="shared" si="28"/>
        <v>#NUM!</v>
      </c>
      <c r="BF75" s="72">
        <f t="shared" si="29"/>
        <v>-121.81095890410958</v>
      </c>
      <c r="BG75" s="25"/>
      <c r="BH75" s="63">
        <v>1</v>
      </c>
    </row>
    <row r="76" spans="1:60" s="189" customFormat="1" ht="16">
      <c r="A76" s="99" t="s">
        <v>344</v>
      </c>
      <c r="B76" s="99">
        <v>21929897</v>
      </c>
      <c r="C76" s="99" t="s">
        <v>345</v>
      </c>
      <c r="D76" s="95">
        <v>43598</v>
      </c>
      <c r="E76" s="95">
        <v>43687</v>
      </c>
      <c r="F76" s="95">
        <v>43687</v>
      </c>
      <c r="G76" s="99" t="s">
        <v>347</v>
      </c>
      <c r="H76" s="101">
        <v>44387</v>
      </c>
      <c r="I76" s="101">
        <v>44571</v>
      </c>
      <c r="J76" s="95">
        <v>44585</v>
      </c>
      <c r="K76" s="95">
        <v>44585</v>
      </c>
      <c r="L76" s="95" t="str">
        <f t="shared" si="15"/>
        <v>2Y8M11D</v>
      </c>
      <c r="M76" s="95" t="str">
        <f t="shared" si="16"/>
        <v>2Y5M14D</v>
      </c>
      <c r="N76" s="102">
        <f t="shared" si="17"/>
        <v>2.4602739726027396</v>
      </c>
      <c r="O76" s="99">
        <v>2</v>
      </c>
      <c r="P76" s="99">
        <v>2</v>
      </c>
      <c r="Q76" s="99" t="s">
        <v>1709</v>
      </c>
      <c r="R76" s="98">
        <v>2</v>
      </c>
      <c r="S76" s="99">
        <v>1</v>
      </c>
      <c r="T76" s="99">
        <v>1</v>
      </c>
      <c r="U76" s="99" t="s">
        <v>1724</v>
      </c>
      <c r="V76" s="99" t="s">
        <v>1661</v>
      </c>
      <c r="W76" s="99">
        <v>1</v>
      </c>
      <c r="X76" s="99">
        <v>1</v>
      </c>
      <c r="Y76" s="99">
        <v>1</v>
      </c>
      <c r="Z76" s="99">
        <v>1</v>
      </c>
      <c r="AA76" s="99">
        <v>1</v>
      </c>
      <c r="AB76" s="99">
        <v>1</v>
      </c>
      <c r="AC76" s="99" t="s">
        <v>1689</v>
      </c>
      <c r="AD76" s="99">
        <v>1</v>
      </c>
      <c r="AE76" s="99">
        <v>1</v>
      </c>
      <c r="AF76" s="99">
        <v>1</v>
      </c>
      <c r="AG76" s="99">
        <v>1</v>
      </c>
      <c r="AH76" s="95">
        <v>44585</v>
      </c>
      <c r="AI76" s="95" t="str">
        <f t="shared" si="18"/>
        <v>2Y8M11D</v>
      </c>
      <c r="AJ76" s="95" t="str">
        <f t="shared" si="19"/>
        <v>2Y5M14D</v>
      </c>
      <c r="AK76" s="102">
        <f t="shared" si="20"/>
        <v>2.4602739726027396</v>
      </c>
      <c r="AL76" s="99"/>
      <c r="AM76" s="99">
        <v>1</v>
      </c>
      <c r="AN76" s="99">
        <v>1</v>
      </c>
      <c r="AO76" s="99">
        <v>1</v>
      </c>
      <c r="AP76" s="99">
        <v>1</v>
      </c>
      <c r="AQ76" s="99">
        <v>3</v>
      </c>
      <c r="AR76" s="99"/>
      <c r="AS76" s="95">
        <v>44581</v>
      </c>
      <c r="AT76" s="95" t="str">
        <f t="shared" si="21"/>
        <v>2Y8M7D</v>
      </c>
      <c r="AU76" s="95" t="str">
        <f t="shared" si="22"/>
        <v>2Y5M10D</v>
      </c>
      <c r="AV76" s="102">
        <f t="shared" si="23"/>
        <v>2.4493150684931506</v>
      </c>
      <c r="AW76" s="99">
        <v>2</v>
      </c>
      <c r="AX76" s="95">
        <v>44585</v>
      </c>
      <c r="AY76" s="95" t="str">
        <f t="shared" si="24"/>
        <v>2Y8M11D</v>
      </c>
      <c r="AZ76" s="102" t="str">
        <f t="shared" si="25"/>
        <v>2Y5M14D</v>
      </c>
      <c r="BA76" s="102">
        <f t="shared" si="26"/>
        <v>2.4602739726027396</v>
      </c>
      <c r="BB76" s="99">
        <v>2</v>
      </c>
      <c r="BC76" s="95">
        <v>44442</v>
      </c>
      <c r="BD76" s="95" t="str">
        <f t="shared" si="27"/>
        <v>2Y3M21D</v>
      </c>
      <c r="BE76" s="102" t="str">
        <f t="shared" si="28"/>
        <v>2Y0M24D</v>
      </c>
      <c r="BF76" s="102">
        <f t="shared" si="29"/>
        <v>2.0684931506849313</v>
      </c>
      <c r="BG76" s="99">
        <v>1</v>
      </c>
      <c r="BH76" s="99">
        <v>1</v>
      </c>
    </row>
    <row r="77" spans="1:60" s="189" customFormat="1" ht="16">
      <c r="A77" s="99" t="s">
        <v>349</v>
      </c>
      <c r="B77" s="99">
        <v>22102403</v>
      </c>
      <c r="C77" s="99" t="s">
        <v>350</v>
      </c>
      <c r="D77" s="95">
        <v>43811</v>
      </c>
      <c r="E77" s="95">
        <v>43880</v>
      </c>
      <c r="F77" s="95">
        <v>43880</v>
      </c>
      <c r="G77" s="99" t="s">
        <v>100</v>
      </c>
      <c r="H77" s="101">
        <v>44580</v>
      </c>
      <c r="I77" s="101">
        <v>44761</v>
      </c>
      <c r="J77" s="95">
        <v>44634</v>
      </c>
      <c r="K77" s="95">
        <v>44634</v>
      </c>
      <c r="L77" s="95" t="str">
        <f t="shared" si="15"/>
        <v>2Y3M2D</v>
      </c>
      <c r="M77" s="95" t="str">
        <f t="shared" si="16"/>
        <v>2Y0M23D</v>
      </c>
      <c r="N77" s="102">
        <f t="shared" si="17"/>
        <v>2.0657534246575344</v>
      </c>
      <c r="O77" s="99">
        <v>2</v>
      </c>
      <c r="P77" s="99">
        <v>3</v>
      </c>
      <c r="Q77" s="99" t="s">
        <v>1747</v>
      </c>
      <c r="R77" s="98">
        <v>2</v>
      </c>
      <c r="S77" s="99">
        <v>1</v>
      </c>
      <c r="T77" s="99">
        <v>1</v>
      </c>
      <c r="U77" s="99" t="s">
        <v>1712</v>
      </c>
      <c r="V77" s="99" t="s">
        <v>1661</v>
      </c>
      <c r="W77" s="99">
        <v>1</v>
      </c>
      <c r="X77" s="99">
        <v>1</v>
      </c>
      <c r="Y77" s="99">
        <v>1</v>
      </c>
      <c r="Z77" s="99">
        <v>1</v>
      </c>
      <c r="AA77" s="99">
        <v>1</v>
      </c>
      <c r="AB77" s="99"/>
      <c r="AC77" s="99" t="s">
        <v>1962</v>
      </c>
      <c r="AD77" s="99">
        <v>1</v>
      </c>
      <c r="AE77" s="99">
        <v>1</v>
      </c>
      <c r="AF77" s="99">
        <v>1</v>
      </c>
      <c r="AG77" s="99">
        <v>1</v>
      </c>
      <c r="AH77" s="95">
        <v>44634</v>
      </c>
      <c r="AI77" s="95" t="str">
        <f t="shared" si="18"/>
        <v>2Y3M2D</v>
      </c>
      <c r="AJ77" s="95" t="str">
        <f t="shared" si="19"/>
        <v>2Y0M23D</v>
      </c>
      <c r="AK77" s="102">
        <f t="shared" si="20"/>
        <v>2.0657534246575344</v>
      </c>
      <c r="AL77" s="99"/>
      <c r="AM77" s="99">
        <v>1</v>
      </c>
      <c r="AN77" s="99">
        <v>1</v>
      </c>
      <c r="AO77" s="99">
        <v>1</v>
      </c>
      <c r="AP77" s="99">
        <v>1</v>
      </c>
      <c r="AQ77" s="99"/>
      <c r="AR77" s="99" t="s">
        <v>1689</v>
      </c>
      <c r="AS77" s="95">
        <v>44633</v>
      </c>
      <c r="AT77" s="95" t="str">
        <f t="shared" si="21"/>
        <v>2Y3M1D</v>
      </c>
      <c r="AU77" s="95" t="str">
        <f t="shared" si="22"/>
        <v>2Y0M22D</v>
      </c>
      <c r="AV77" s="102">
        <f t="shared" si="23"/>
        <v>2.0630136986301371</v>
      </c>
      <c r="AW77" s="99">
        <v>2</v>
      </c>
      <c r="AX77" s="95">
        <v>44633</v>
      </c>
      <c r="AY77" s="95" t="str">
        <f t="shared" si="24"/>
        <v>2Y3M1D</v>
      </c>
      <c r="AZ77" s="102" t="str">
        <f t="shared" si="25"/>
        <v>2Y0M22D</v>
      </c>
      <c r="BA77" s="102">
        <f t="shared" si="26"/>
        <v>2.0630136986301371</v>
      </c>
      <c r="BB77" s="99">
        <v>2</v>
      </c>
      <c r="BC77" s="95">
        <v>44634</v>
      </c>
      <c r="BD77" s="95" t="str">
        <f t="shared" si="27"/>
        <v>2Y3M2D</v>
      </c>
      <c r="BE77" s="102" t="str">
        <f t="shared" si="28"/>
        <v>2Y0M23D</v>
      </c>
      <c r="BF77" s="102">
        <f t="shared" si="29"/>
        <v>2.0657534246575344</v>
      </c>
      <c r="BG77" s="99">
        <v>1</v>
      </c>
      <c r="BH77" s="99">
        <v>1</v>
      </c>
    </row>
    <row r="78" spans="1:60" s="110" customFormat="1" ht="16">
      <c r="A78" s="17" t="s">
        <v>353</v>
      </c>
      <c r="B78" s="17">
        <v>22107823</v>
      </c>
      <c r="C78" s="17" t="s">
        <v>354</v>
      </c>
      <c r="D78" s="40">
        <v>44339</v>
      </c>
      <c r="E78" s="40">
        <v>44404</v>
      </c>
      <c r="F78" s="40">
        <v>44404</v>
      </c>
      <c r="G78" s="17" t="s">
        <v>134</v>
      </c>
      <c r="H78" s="75">
        <v>45104</v>
      </c>
      <c r="I78" s="75">
        <v>45287</v>
      </c>
      <c r="J78" s="40">
        <v>45174</v>
      </c>
      <c r="K78" s="40">
        <v>45174</v>
      </c>
      <c r="L78" s="17" t="str">
        <f t="shared" si="15"/>
        <v>2Y3M13D</v>
      </c>
      <c r="M78" s="17" t="str">
        <f t="shared" si="16"/>
        <v>2Y1M9D</v>
      </c>
      <c r="N78" s="21">
        <f t="shared" si="17"/>
        <v>2.1095890410958904</v>
      </c>
      <c r="O78" s="17">
        <v>2</v>
      </c>
      <c r="P78" s="17">
        <v>3</v>
      </c>
      <c r="Q78" s="17"/>
      <c r="R78" s="17">
        <v>2</v>
      </c>
      <c r="S78" s="17">
        <v>1</v>
      </c>
      <c r="T78" s="17">
        <v>1</v>
      </c>
      <c r="U78" s="17"/>
      <c r="V78" s="17" t="s">
        <v>1661</v>
      </c>
      <c r="W78" s="17">
        <v>1</v>
      </c>
      <c r="X78" s="17">
        <v>1</v>
      </c>
      <c r="Y78" s="17">
        <v>1</v>
      </c>
      <c r="Z78" s="17">
        <v>1</v>
      </c>
      <c r="AA78" s="17">
        <v>1</v>
      </c>
      <c r="AB78" s="17">
        <v>1</v>
      </c>
      <c r="AC78" s="17" t="s">
        <v>1665</v>
      </c>
      <c r="AD78" s="17">
        <v>1</v>
      </c>
      <c r="AE78" s="17">
        <v>1</v>
      </c>
      <c r="AF78" s="17">
        <v>1</v>
      </c>
      <c r="AG78" s="17">
        <v>1</v>
      </c>
      <c r="AH78" s="40">
        <v>45188</v>
      </c>
      <c r="AI78" s="17" t="str">
        <f t="shared" si="18"/>
        <v>2Y3M27D</v>
      </c>
      <c r="AJ78" s="17" t="str">
        <f t="shared" si="19"/>
        <v>2Y1M23D</v>
      </c>
      <c r="AK78" s="21">
        <f t="shared" si="20"/>
        <v>2.1479452054794521</v>
      </c>
      <c r="AL78" s="17">
        <v>1</v>
      </c>
      <c r="AM78" s="17">
        <v>1</v>
      </c>
      <c r="AN78" s="17">
        <v>1</v>
      </c>
      <c r="AO78" s="17">
        <v>1</v>
      </c>
      <c r="AP78" s="17">
        <v>3</v>
      </c>
      <c r="AQ78" s="17">
        <v>3</v>
      </c>
      <c r="AR78" s="17"/>
      <c r="AS78" s="40">
        <v>45182</v>
      </c>
      <c r="AT78" s="17" t="str">
        <f t="shared" si="21"/>
        <v>2Y3M21D</v>
      </c>
      <c r="AU78" s="17" t="str">
        <f t="shared" si="22"/>
        <v>2Y1M17D</v>
      </c>
      <c r="AV78" s="21">
        <f t="shared" si="23"/>
        <v>2.1315068493150684</v>
      </c>
      <c r="AW78" s="17">
        <v>5</v>
      </c>
      <c r="AX78" s="40">
        <v>45186</v>
      </c>
      <c r="AY78" s="17" t="str">
        <f t="shared" si="24"/>
        <v>2Y3M25D</v>
      </c>
      <c r="AZ78" s="21" t="str">
        <f t="shared" si="25"/>
        <v>2Y1M21D</v>
      </c>
      <c r="BA78" s="21">
        <f t="shared" si="26"/>
        <v>2.1424657534246574</v>
      </c>
      <c r="BB78" s="17">
        <v>5</v>
      </c>
      <c r="BC78" s="17"/>
      <c r="BD78" s="17" t="e">
        <f t="shared" si="27"/>
        <v>#NUM!</v>
      </c>
      <c r="BE78" s="21" t="e">
        <f t="shared" si="28"/>
        <v>#NUM!</v>
      </c>
      <c r="BF78" s="21">
        <f t="shared" si="29"/>
        <v>-121.65479452054795</v>
      </c>
      <c r="BG78" s="17"/>
      <c r="BH78" s="17">
        <v>1</v>
      </c>
    </row>
    <row r="79" spans="1:60" s="193" customFormat="1" ht="16">
      <c r="A79" s="25" t="s">
        <v>357</v>
      </c>
      <c r="B79" s="25">
        <v>4998396</v>
      </c>
      <c r="C79" s="25" t="s">
        <v>358</v>
      </c>
      <c r="D79" s="32">
        <v>44263</v>
      </c>
      <c r="E79" s="32">
        <v>44271</v>
      </c>
      <c r="F79" s="32">
        <v>44263</v>
      </c>
      <c r="G79" s="25" t="s">
        <v>90</v>
      </c>
      <c r="H79" s="86">
        <v>44973</v>
      </c>
      <c r="I79" s="86">
        <v>45154</v>
      </c>
      <c r="J79" s="32" t="s">
        <v>1955</v>
      </c>
      <c r="K79" s="32" t="s">
        <v>1955</v>
      </c>
      <c r="L79" s="32" t="e">
        <f t="shared" si="15"/>
        <v>#VALUE!</v>
      </c>
      <c r="M79" s="32" t="e">
        <f t="shared" si="16"/>
        <v>#VALUE!</v>
      </c>
      <c r="N79" s="64" t="e">
        <f t="shared" si="17"/>
        <v>#VALUE!</v>
      </c>
      <c r="O79" s="32"/>
      <c r="P79" s="32" t="s">
        <v>1955</v>
      </c>
      <c r="Q79" s="32" t="s">
        <v>1955</v>
      </c>
      <c r="R79" s="32"/>
      <c r="S79" s="32" t="s">
        <v>1955</v>
      </c>
      <c r="T79" s="32" t="s">
        <v>1955</v>
      </c>
      <c r="U79" s="32" t="s">
        <v>1955</v>
      </c>
      <c r="V79" s="32" t="s">
        <v>1955</v>
      </c>
      <c r="W79" s="32"/>
      <c r="X79" s="32" t="s">
        <v>1955</v>
      </c>
      <c r="Y79" s="32" t="s">
        <v>1955</v>
      </c>
      <c r="Z79" s="32" t="s">
        <v>1955</v>
      </c>
      <c r="AA79" s="32" t="s">
        <v>1955</v>
      </c>
      <c r="AB79" s="32" t="s">
        <v>1955</v>
      </c>
      <c r="AC79" s="32" t="s">
        <v>1955</v>
      </c>
      <c r="AD79" s="32"/>
      <c r="AE79" s="32" t="s">
        <v>1955</v>
      </c>
      <c r="AF79" s="32"/>
      <c r="AG79" s="32" t="s">
        <v>1955</v>
      </c>
      <c r="AH79" s="32" t="s">
        <v>1955</v>
      </c>
      <c r="AI79" s="32" t="e">
        <f t="shared" si="18"/>
        <v>#VALUE!</v>
      </c>
      <c r="AJ79" s="32" t="e">
        <f t="shared" si="19"/>
        <v>#VALUE!</v>
      </c>
      <c r="AK79" s="64" t="e">
        <f t="shared" si="20"/>
        <v>#VALUE!</v>
      </c>
      <c r="AL79" s="32" t="s">
        <v>1955</v>
      </c>
      <c r="AM79" s="32" t="s">
        <v>1955</v>
      </c>
      <c r="AN79" s="32" t="s">
        <v>1955</v>
      </c>
      <c r="AO79" s="32" t="s">
        <v>1955</v>
      </c>
      <c r="AP79" s="32" t="s">
        <v>1955</v>
      </c>
      <c r="AQ79" s="32" t="s">
        <v>1955</v>
      </c>
      <c r="AR79" s="32" t="s">
        <v>1955</v>
      </c>
      <c r="AS79" s="32" t="s">
        <v>1955</v>
      </c>
      <c r="AT79" s="32" t="e">
        <f t="shared" si="21"/>
        <v>#VALUE!</v>
      </c>
      <c r="AU79" s="32" t="e">
        <f t="shared" si="22"/>
        <v>#VALUE!</v>
      </c>
      <c r="AV79" s="64" t="e">
        <f t="shared" si="23"/>
        <v>#VALUE!</v>
      </c>
      <c r="AW79" s="32" t="s">
        <v>1955</v>
      </c>
      <c r="AX79" s="32" t="s">
        <v>1955</v>
      </c>
      <c r="AY79" s="32" t="e">
        <f t="shared" si="24"/>
        <v>#VALUE!</v>
      </c>
      <c r="AZ79" s="64" t="e">
        <f t="shared" si="25"/>
        <v>#VALUE!</v>
      </c>
      <c r="BA79" s="64" t="e">
        <f t="shared" si="26"/>
        <v>#VALUE!</v>
      </c>
      <c r="BB79" s="32" t="s">
        <v>1955</v>
      </c>
      <c r="BC79" s="32" t="s">
        <v>1955</v>
      </c>
      <c r="BD79" s="32" t="e">
        <f t="shared" si="27"/>
        <v>#VALUE!</v>
      </c>
      <c r="BE79" s="64" t="e">
        <f t="shared" si="28"/>
        <v>#VALUE!</v>
      </c>
      <c r="BF79" s="64" t="e">
        <f t="shared" si="29"/>
        <v>#VALUE!</v>
      </c>
      <c r="BG79" s="32" t="s">
        <v>1955</v>
      </c>
      <c r="BH79" s="25">
        <v>0</v>
      </c>
    </row>
    <row r="80" spans="1:60" s="189" customFormat="1" ht="16">
      <c r="A80" s="99" t="s">
        <v>359</v>
      </c>
      <c r="B80" s="99">
        <v>22270695</v>
      </c>
      <c r="C80" s="99" t="s">
        <v>360</v>
      </c>
      <c r="D80" s="95">
        <v>44227</v>
      </c>
      <c r="E80" s="95">
        <v>44324</v>
      </c>
      <c r="F80" s="95">
        <v>44324</v>
      </c>
      <c r="G80" s="99">
        <v>26</v>
      </c>
      <c r="H80" s="101">
        <v>45024</v>
      </c>
      <c r="I80" s="101">
        <v>45207</v>
      </c>
      <c r="J80" s="95">
        <v>45080</v>
      </c>
      <c r="K80" s="95">
        <v>45080</v>
      </c>
      <c r="L80" s="95" t="str">
        <f t="shared" si="15"/>
        <v>2Y4M3D</v>
      </c>
      <c r="M80" s="95" t="str">
        <f t="shared" si="16"/>
        <v>2Y0M26D</v>
      </c>
      <c r="N80" s="102">
        <f t="shared" si="17"/>
        <v>2.0712328767123287</v>
      </c>
      <c r="O80" s="99">
        <v>2</v>
      </c>
      <c r="P80" s="99">
        <v>3</v>
      </c>
      <c r="Q80" s="99"/>
      <c r="R80" s="99">
        <v>2</v>
      </c>
      <c r="S80" s="99">
        <v>1</v>
      </c>
      <c r="T80" s="99">
        <v>1</v>
      </c>
      <c r="U80" s="99" t="s">
        <v>1701</v>
      </c>
      <c r="V80" s="99" t="s">
        <v>1661</v>
      </c>
      <c r="W80" s="99">
        <v>1</v>
      </c>
      <c r="X80" s="99">
        <v>1</v>
      </c>
      <c r="Y80" s="99">
        <v>1</v>
      </c>
      <c r="Z80" s="99">
        <v>1</v>
      </c>
      <c r="AA80" s="99">
        <v>1</v>
      </c>
      <c r="AB80" s="99">
        <v>1</v>
      </c>
      <c r="AC80" s="99"/>
      <c r="AD80" s="99">
        <v>1</v>
      </c>
      <c r="AE80" s="99">
        <v>1</v>
      </c>
      <c r="AF80" s="99">
        <v>1</v>
      </c>
      <c r="AG80" s="99">
        <v>1</v>
      </c>
      <c r="AH80" s="95">
        <v>45080</v>
      </c>
      <c r="AI80" s="95" t="str">
        <f t="shared" si="18"/>
        <v>2Y4M3D</v>
      </c>
      <c r="AJ80" s="95" t="str">
        <f t="shared" si="19"/>
        <v>2Y0M26D</v>
      </c>
      <c r="AK80" s="102">
        <f t="shared" si="20"/>
        <v>2.0712328767123287</v>
      </c>
      <c r="AL80" s="99">
        <v>1</v>
      </c>
      <c r="AM80" s="99">
        <v>1</v>
      </c>
      <c r="AN80" s="99">
        <v>1</v>
      </c>
      <c r="AO80" s="99">
        <v>1</v>
      </c>
      <c r="AP80" s="99">
        <v>1</v>
      </c>
      <c r="AQ80" s="99">
        <v>3</v>
      </c>
      <c r="AR80" s="99"/>
      <c r="AS80" s="95">
        <v>45077</v>
      </c>
      <c r="AT80" s="95" t="str">
        <f t="shared" si="21"/>
        <v>2Y4M0D</v>
      </c>
      <c r="AU80" s="95" t="str">
        <f t="shared" si="22"/>
        <v>2Y0M23D</v>
      </c>
      <c r="AV80" s="102">
        <f t="shared" si="23"/>
        <v>2.0630136986301371</v>
      </c>
      <c r="AW80" s="99">
        <v>4</v>
      </c>
      <c r="AX80" s="95">
        <v>45080</v>
      </c>
      <c r="AY80" s="95" t="str">
        <f t="shared" si="24"/>
        <v>2Y4M3D</v>
      </c>
      <c r="AZ80" s="102" t="str">
        <f t="shared" si="25"/>
        <v>2Y0M26D</v>
      </c>
      <c r="BA80" s="102">
        <f t="shared" si="26"/>
        <v>2.0712328767123287</v>
      </c>
      <c r="BB80" s="95">
        <v>45080</v>
      </c>
      <c r="BC80" s="95">
        <v>45080</v>
      </c>
      <c r="BD80" s="95" t="str">
        <f t="shared" si="27"/>
        <v>2Y4M3D</v>
      </c>
      <c r="BE80" s="102" t="str">
        <f t="shared" si="28"/>
        <v>2Y0M26D</v>
      </c>
      <c r="BF80" s="102">
        <f t="shared" si="29"/>
        <v>2.0712328767123287</v>
      </c>
      <c r="BG80" s="99">
        <v>2</v>
      </c>
      <c r="BH80" s="99">
        <v>1</v>
      </c>
    </row>
    <row r="81" spans="1:60" s="110" customFormat="1" ht="16">
      <c r="A81" s="17" t="s">
        <v>363</v>
      </c>
      <c r="B81" s="17">
        <v>22107485</v>
      </c>
      <c r="C81" s="17" t="s">
        <v>364</v>
      </c>
      <c r="D81" s="40">
        <v>44304</v>
      </c>
      <c r="E81" s="40">
        <v>44368</v>
      </c>
      <c r="F81" s="40">
        <v>44368</v>
      </c>
      <c r="G81" s="17" t="s">
        <v>242</v>
      </c>
      <c r="H81" s="75">
        <v>45067</v>
      </c>
      <c r="I81" s="75">
        <v>45251</v>
      </c>
      <c r="J81" s="40"/>
      <c r="K81" s="40"/>
      <c r="L81" s="40" t="e">
        <f t="shared" si="15"/>
        <v>#NUM!</v>
      </c>
      <c r="M81" s="40" t="e">
        <f t="shared" si="16"/>
        <v>#NUM!</v>
      </c>
      <c r="N81" s="21">
        <f t="shared" si="17"/>
        <v>-121.55616438356165</v>
      </c>
      <c r="O81" s="17"/>
      <c r="P81" s="17"/>
      <c r="Q81" s="17"/>
      <c r="R81" s="17"/>
      <c r="S81" s="17"/>
      <c r="T81" s="17"/>
      <c r="U81" s="17"/>
      <c r="V81" s="17"/>
      <c r="W81" s="17"/>
      <c r="X81" s="17"/>
      <c r="Y81" s="17"/>
      <c r="Z81" s="17"/>
      <c r="AA81" s="17"/>
      <c r="AB81" s="17"/>
      <c r="AC81" s="17"/>
      <c r="AD81" s="17"/>
      <c r="AE81" s="17"/>
      <c r="AF81" s="17"/>
      <c r="AG81" s="17"/>
      <c r="AH81" s="40"/>
      <c r="AI81" s="40" t="e">
        <f t="shared" si="18"/>
        <v>#NUM!</v>
      </c>
      <c r="AJ81" s="40" t="e">
        <f t="shared" si="19"/>
        <v>#NUM!</v>
      </c>
      <c r="AK81" s="21">
        <f t="shared" si="20"/>
        <v>-121.55616438356165</v>
      </c>
      <c r="AL81" s="17"/>
      <c r="AM81" s="17"/>
      <c r="AN81" s="17"/>
      <c r="AO81" s="17"/>
      <c r="AP81" s="17"/>
      <c r="AQ81" s="17"/>
      <c r="AR81" s="17"/>
      <c r="AS81" s="40">
        <v>45124</v>
      </c>
      <c r="AT81" s="40" t="str">
        <f t="shared" si="21"/>
        <v>2Y2M29D</v>
      </c>
      <c r="AU81" s="40" t="str">
        <f t="shared" si="22"/>
        <v>2Y0M26D</v>
      </c>
      <c r="AV81" s="21">
        <f t="shared" si="23"/>
        <v>2.0712328767123287</v>
      </c>
      <c r="AW81" s="17">
        <v>4</v>
      </c>
      <c r="AX81" s="40">
        <v>45125</v>
      </c>
      <c r="AY81" s="17" t="str">
        <f t="shared" si="24"/>
        <v>2Y3M0D</v>
      </c>
      <c r="AZ81" s="21" t="str">
        <f t="shared" si="25"/>
        <v>2Y0M27D</v>
      </c>
      <c r="BA81" s="21">
        <f t="shared" si="26"/>
        <v>2.0739726027397261</v>
      </c>
      <c r="BB81" s="17">
        <v>4</v>
      </c>
      <c r="BC81" s="40"/>
      <c r="BD81" s="40" t="e">
        <f t="shared" si="27"/>
        <v>#NUM!</v>
      </c>
      <c r="BE81" s="21" t="e">
        <f t="shared" si="28"/>
        <v>#NUM!</v>
      </c>
      <c r="BF81" s="21">
        <f t="shared" si="29"/>
        <v>-121.55616438356165</v>
      </c>
      <c r="BG81" s="17"/>
      <c r="BH81" s="17">
        <v>1</v>
      </c>
    </row>
    <row r="82" spans="1:60" s="110" customFormat="1" ht="16">
      <c r="A82" s="17" t="s">
        <v>367</v>
      </c>
      <c r="B82" s="17">
        <v>22107486</v>
      </c>
      <c r="C82" s="17" t="s">
        <v>368</v>
      </c>
      <c r="D82" s="40">
        <v>44304</v>
      </c>
      <c r="E82" s="40">
        <v>44368</v>
      </c>
      <c r="F82" s="40">
        <v>44368</v>
      </c>
      <c r="G82" s="17" t="s">
        <v>242</v>
      </c>
      <c r="H82" s="75">
        <v>45067</v>
      </c>
      <c r="I82" s="75">
        <v>45251</v>
      </c>
      <c r="J82" s="40"/>
      <c r="K82" s="40"/>
      <c r="L82" s="40" t="e">
        <f t="shared" si="15"/>
        <v>#NUM!</v>
      </c>
      <c r="M82" s="40" t="e">
        <f t="shared" si="16"/>
        <v>#NUM!</v>
      </c>
      <c r="N82" s="21">
        <f t="shared" si="17"/>
        <v>-121.55616438356165</v>
      </c>
      <c r="O82" s="17"/>
      <c r="Q82" s="17"/>
      <c r="R82" s="17"/>
      <c r="S82" s="17"/>
      <c r="T82" s="17"/>
      <c r="U82" s="17"/>
      <c r="V82" s="17"/>
      <c r="W82" s="17"/>
      <c r="X82" s="17"/>
      <c r="Y82" s="17"/>
      <c r="Z82" s="17"/>
      <c r="AA82" s="17"/>
      <c r="AB82" s="17"/>
      <c r="AC82" s="17"/>
      <c r="AD82" s="17"/>
      <c r="AE82" s="17"/>
      <c r="AF82" s="17"/>
      <c r="AG82" s="17"/>
      <c r="AH82" s="40"/>
      <c r="AI82" s="40" t="e">
        <f t="shared" si="18"/>
        <v>#NUM!</v>
      </c>
      <c r="AJ82" s="40" t="e">
        <f t="shared" si="19"/>
        <v>#NUM!</v>
      </c>
      <c r="AK82" s="21">
        <f t="shared" si="20"/>
        <v>-121.55616438356165</v>
      </c>
      <c r="AL82" s="17"/>
      <c r="AM82" s="17"/>
      <c r="AN82" s="17"/>
      <c r="AO82" s="17"/>
      <c r="AP82" s="17"/>
      <c r="AQ82" s="17"/>
      <c r="AR82" s="17"/>
      <c r="AS82" s="40">
        <v>45124</v>
      </c>
      <c r="AT82" s="40" t="str">
        <f t="shared" si="21"/>
        <v>2Y2M29D</v>
      </c>
      <c r="AU82" s="40" t="str">
        <f t="shared" si="22"/>
        <v>2Y0M26D</v>
      </c>
      <c r="AV82" s="21">
        <f t="shared" si="23"/>
        <v>2.0712328767123287</v>
      </c>
      <c r="AW82" s="17">
        <v>4</v>
      </c>
      <c r="AX82" s="40">
        <v>45125</v>
      </c>
      <c r="AY82" s="17" t="str">
        <f t="shared" si="24"/>
        <v>2Y3M0D</v>
      </c>
      <c r="AZ82" s="21" t="str">
        <f t="shared" si="25"/>
        <v>2Y0M27D</v>
      </c>
      <c r="BA82" s="21">
        <f t="shared" si="26"/>
        <v>2.0739726027397261</v>
      </c>
      <c r="BB82" s="17">
        <v>4</v>
      </c>
      <c r="BC82" s="40"/>
      <c r="BD82" s="40" t="e">
        <f t="shared" si="27"/>
        <v>#NUM!</v>
      </c>
      <c r="BE82" s="21" t="e">
        <f t="shared" si="28"/>
        <v>#NUM!</v>
      </c>
      <c r="BF82" s="21">
        <f t="shared" si="29"/>
        <v>-121.55616438356165</v>
      </c>
      <c r="BG82" s="17"/>
      <c r="BH82" s="17">
        <v>1</v>
      </c>
    </row>
    <row r="83" spans="1:60" s="203" customFormat="1" ht="16">
      <c r="A83" s="60" t="s">
        <v>370</v>
      </c>
      <c r="B83" s="60">
        <v>22108150</v>
      </c>
      <c r="C83" s="60" t="s">
        <v>371</v>
      </c>
      <c r="D83" s="90">
        <v>44374</v>
      </c>
      <c r="E83" s="90">
        <v>44436</v>
      </c>
      <c r="F83" s="90">
        <v>44436</v>
      </c>
      <c r="G83" s="60" t="s">
        <v>323</v>
      </c>
      <c r="H83" s="91">
        <v>45135</v>
      </c>
      <c r="I83" s="91">
        <v>45319</v>
      </c>
      <c r="J83" s="60"/>
      <c r="K83" s="60"/>
      <c r="L83" s="60" t="e">
        <f t="shared" si="15"/>
        <v>#NUM!</v>
      </c>
      <c r="M83" s="60" t="e">
        <f t="shared" si="16"/>
        <v>#NUM!</v>
      </c>
      <c r="N83" s="73">
        <f t="shared" si="17"/>
        <v>-121.74246575342465</v>
      </c>
      <c r="O83" s="60"/>
      <c r="P83" s="60"/>
      <c r="Q83" s="60"/>
      <c r="R83" s="60"/>
      <c r="S83" s="60"/>
      <c r="T83" s="60"/>
      <c r="U83" s="60"/>
      <c r="V83" s="60"/>
      <c r="W83" s="60"/>
      <c r="X83" s="60"/>
      <c r="Y83" s="60"/>
      <c r="Z83" s="60"/>
      <c r="AA83" s="60"/>
      <c r="AB83" s="60"/>
      <c r="AC83" s="60"/>
      <c r="AD83" s="60"/>
      <c r="AE83" s="60"/>
      <c r="AF83" s="60"/>
      <c r="AG83" s="60"/>
      <c r="AH83" s="60"/>
      <c r="AI83" s="60" t="e">
        <f t="shared" si="18"/>
        <v>#NUM!</v>
      </c>
      <c r="AJ83" s="60" t="e">
        <f t="shared" si="19"/>
        <v>#NUM!</v>
      </c>
      <c r="AK83" s="73">
        <f t="shared" si="20"/>
        <v>-121.74246575342465</v>
      </c>
      <c r="AL83" s="60"/>
      <c r="AM83" s="60"/>
      <c r="AN83" s="60"/>
      <c r="AO83" s="60"/>
      <c r="AP83" s="60"/>
      <c r="AQ83" s="60"/>
      <c r="AR83" s="60"/>
      <c r="AS83" s="60"/>
      <c r="AT83" s="60" t="e">
        <f t="shared" si="21"/>
        <v>#NUM!</v>
      </c>
      <c r="AU83" s="60" t="e">
        <f t="shared" si="22"/>
        <v>#NUM!</v>
      </c>
      <c r="AV83" s="73">
        <f t="shared" si="23"/>
        <v>-121.74246575342465</v>
      </c>
      <c r="AW83" s="60"/>
      <c r="AX83" s="60"/>
      <c r="AY83" s="60" t="e">
        <f t="shared" si="24"/>
        <v>#NUM!</v>
      </c>
      <c r="AZ83" s="73" t="e">
        <f t="shared" si="25"/>
        <v>#NUM!</v>
      </c>
      <c r="BA83" s="73">
        <f t="shared" si="26"/>
        <v>-121.74246575342465</v>
      </c>
      <c r="BB83" s="60"/>
      <c r="BC83" s="60"/>
      <c r="BD83" s="60" t="e">
        <f t="shared" si="27"/>
        <v>#NUM!</v>
      </c>
      <c r="BE83" s="73" t="e">
        <f t="shared" si="28"/>
        <v>#NUM!</v>
      </c>
      <c r="BF83" s="73">
        <f t="shared" si="29"/>
        <v>-121.74246575342465</v>
      </c>
      <c r="BG83" s="60"/>
      <c r="BH83" s="60">
        <v>1</v>
      </c>
    </row>
    <row r="84" spans="1:60" s="193" customFormat="1" ht="16">
      <c r="A84" s="25" t="s">
        <v>373</v>
      </c>
      <c r="B84" s="25">
        <v>22107133</v>
      </c>
      <c r="C84" s="25" t="s">
        <v>374</v>
      </c>
      <c r="D84" s="32">
        <v>44268</v>
      </c>
      <c r="E84" s="32">
        <v>44360</v>
      </c>
      <c r="F84" s="32">
        <v>44360</v>
      </c>
      <c r="G84" s="25" t="s">
        <v>165</v>
      </c>
      <c r="H84" s="86">
        <v>45059</v>
      </c>
      <c r="I84" s="86">
        <v>45243</v>
      </c>
      <c r="J84" s="25"/>
      <c r="K84" s="25"/>
      <c r="L84" s="25" t="e">
        <f t="shared" si="15"/>
        <v>#NUM!</v>
      </c>
      <c r="M84" s="25" t="e">
        <f t="shared" si="16"/>
        <v>#NUM!</v>
      </c>
      <c r="N84" s="64">
        <f t="shared" si="17"/>
        <v>-121.53424657534246</v>
      </c>
      <c r="O84" s="25"/>
      <c r="P84" s="25"/>
      <c r="Q84" s="25"/>
      <c r="R84" s="25"/>
      <c r="S84" s="25"/>
      <c r="T84" s="25"/>
      <c r="U84" s="25"/>
      <c r="V84" s="25"/>
      <c r="W84" s="25"/>
      <c r="X84" s="25"/>
      <c r="Y84" s="25"/>
      <c r="Z84" s="25"/>
      <c r="AA84" s="25"/>
      <c r="AB84" s="25"/>
      <c r="AC84" s="25"/>
      <c r="AD84" s="25"/>
      <c r="AE84" s="25"/>
      <c r="AF84" s="25"/>
      <c r="AG84" s="25"/>
      <c r="AH84" s="25"/>
      <c r="AI84" s="25" t="e">
        <f t="shared" si="18"/>
        <v>#NUM!</v>
      </c>
      <c r="AJ84" s="25" t="e">
        <f t="shared" si="19"/>
        <v>#NUM!</v>
      </c>
      <c r="AK84" s="64">
        <f t="shared" si="20"/>
        <v>-121.53424657534246</v>
      </c>
      <c r="AL84" s="25"/>
      <c r="AM84" s="25"/>
      <c r="AN84" s="25"/>
      <c r="AO84" s="25"/>
      <c r="AP84" s="25"/>
      <c r="AQ84" s="25"/>
      <c r="AR84" s="25"/>
      <c r="AS84" s="25"/>
      <c r="AT84" s="25" t="e">
        <f t="shared" si="21"/>
        <v>#NUM!</v>
      </c>
      <c r="AU84" s="25" t="e">
        <f t="shared" si="22"/>
        <v>#NUM!</v>
      </c>
      <c r="AV84" s="64">
        <f t="shared" si="23"/>
        <v>-121.53424657534246</v>
      </c>
      <c r="AW84" s="25"/>
      <c r="AX84" s="25"/>
      <c r="AY84" s="25" t="e">
        <f t="shared" si="24"/>
        <v>#NUM!</v>
      </c>
      <c r="AZ84" s="64" t="e">
        <f t="shared" si="25"/>
        <v>#NUM!</v>
      </c>
      <c r="BA84" s="64">
        <f t="shared" si="26"/>
        <v>-121.53424657534246</v>
      </c>
      <c r="BB84" s="25"/>
      <c r="BC84" s="25"/>
      <c r="BD84" s="25" t="e">
        <f t="shared" si="27"/>
        <v>#NUM!</v>
      </c>
      <c r="BE84" s="64" t="e">
        <f t="shared" si="28"/>
        <v>#NUM!</v>
      </c>
      <c r="BF84" s="64">
        <f t="shared" si="29"/>
        <v>-121.53424657534246</v>
      </c>
      <c r="BG84" s="25"/>
      <c r="BH84" s="25">
        <v>1</v>
      </c>
    </row>
    <row r="85" spans="1:60" s="110" customFormat="1" ht="16">
      <c r="A85" s="17" t="s">
        <v>377</v>
      </c>
      <c r="B85" s="2">
        <v>22108726</v>
      </c>
      <c r="C85" s="2" t="s">
        <v>378</v>
      </c>
      <c r="D85" s="23">
        <v>44437</v>
      </c>
      <c r="E85" s="23">
        <v>44799</v>
      </c>
      <c r="F85" s="23">
        <v>44437</v>
      </c>
      <c r="G85" s="2" t="s">
        <v>226</v>
      </c>
      <c r="H85" s="38">
        <v>45133</v>
      </c>
      <c r="I85" s="38">
        <v>45317</v>
      </c>
      <c r="J85" s="17"/>
      <c r="K85" s="17"/>
      <c r="L85" s="17" t="e">
        <f t="shared" si="15"/>
        <v>#NUM!</v>
      </c>
      <c r="M85" s="17" t="e">
        <f t="shared" si="16"/>
        <v>#NUM!</v>
      </c>
      <c r="N85" s="21">
        <f t="shared" si="17"/>
        <v>-121.74520547945205</v>
      </c>
      <c r="O85" s="17"/>
      <c r="P85" s="17"/>
      <c r="Q85" s="17"/>
      <c r="R85" s="17"/>
      <c r="S85" s="17"/>
      <c r="T85" s="17"/>
      <c r="U85" s="17"/>
      <c r="V85" s="17"/>
      <c r="W85" s="17"/>
      <c r="X85" s="17"/>
      <c r="Y85" s="17"/>
      <c r="Z85" s="17"/>
      <c r="AA85" s="17"/>
      <c r="AB85" s="17"/>
      <c r="AC85" s="17"/>
      <c r="AD85" s="17"/>
      <c r="AE85" s="17"/>
      <c r="AF85" s="17"/>
      <c r="AG85" s="17"/>
      <c r="AH85" s="17"/>
      <c r="AI85" s="17" t="e">
        <f t="shared" si="18"/>
        <v>#NUM!</v>
      </c>
      <c r="AJ85" s="17" t="e">
        <f t="shared" si="19"/>
        <v>#NUM!</v>
      </c>
      <c r="AK85" s="21">
        <f t="shared" si="20"/>
        <v>-121.74520547945205</v>
      </c>
      <c r="AL85" s="17"/>
      <c r="AM85" s="17"/>
      <c r="AN85" s="17"/>
      <c r="AO85" s="17"/>
      <c r="AP85" s="17"/>
      <c r="AQ85" s="17"/>
      <c r="AR85" s="17"/>
      <c r="AS85" s="40">
        <v>45339</v>
      </c>
      <c r="AT85" s="17" t="str">
        <f t="shared" si="21"/>
        <v>2Y5M19D</v>
      </c>
      <c r="AU85" s="17" t="str">
        <f t="shared" si="22"/>
        <v>1Y5M22D</v>
      </c>
      <c r="AV85" s="21">
        <f t="shared" si="23"/>
        <v>2.4712328767123286</v>
      </c>
      <c r="AW85" s="17">
        <v>7</v>
      </c>
      <c r="AX85" s="40">
        <v>45340</v>
      </c>
      <c r="AY85" s="17" t="str">
        <f t="shared" si="24"/>
        <v>2Y5M20D</v>
      </c>
      <c r="AZ85" s="21" t="str">
        <f t="shared" si="25"/>
        <v>1Y5M23D</v>
      </c>
      <c r="BA85" s="21">
        <f t="shared" si="26"/>
        <v>2.473972602739726</v>
      </c>
      <c r="BB85" s="17">
        <v>7</v>
      </c>
      <c r="BC85" s="17"/>
      <c r="BD85" s="17" t="e">
        <f t="shared" si="27"/>
        <v>#NUM!</v>
      </c>
      <c r="BE85" s="21" t="e">
        <f t="shared" si="28"/>
        <v>#NUM!</v>
      </c>
      <c r="BF85" s="21">
        <f t="shared" si="29"/>
        <v>-121.74520547945205</v>
      </c>
      <c r="BG85" s="17"/>
      <c r="BH85" s="17">
        <v>0</v>
      </c>
    </row>
    <row r="86" spans="1:60" s="189" customFormat="1" ht="16">
      <c r="A86" s="99" t="s">
        <v>381</v>
      </c>
      <c r="B86" s="99">
        <v>22104406</v>
      </c>
      <c r="C86" s="99" t="s">
        <v>382</v>
      </c>
      <c r="D86" s="95">
        <v>44008</v>
      </c>
      <c r="E86" s="95">
        <v>44099</v>
      </c>
      <c r="F86" s="95">
        <v>44099</v>
      </c>
      <c r="G86" s="99">
        <v>27</v>
      </c>
      <c r="H86" s="101">
        <v>44798</v>
      </c>
      <c r="I86" s="101">
        <v>44982</v>
      </c>
      <c r="J86" s="95">
        <v>44909</v>
      </c>
      <c r="K86" s="95">
        <v>44909</v>
      </c>
      <c r="L86" s="95" t="str">
        <f t="shared" si="15"/>
        <v>2Y5M18D</v>
      </c>
      <c r="M86" s="95" t="str">
        <f t="shared" si="16"/>
        <v>2Y2M19D</v>
      </c>
      <c r="N86" s="102">
        <f t="shared" si="17"/>
        <v>2.2191780821917808</v>
      </c>
      <c r="O86" s="99">
        <v>2</v>
      </c>
      <c r="P86" s="99">
        <v>3</v>
      </c>
      <c r="Q86" s="99"/>
      <c r="R86" s="99">
        <v>2</v>
      </c>
      <c r="S86" s="99">
        <v>1</v>
      </c>
      <c r="T86" s="99">
        <v>1</v>
      </c>
      <c r="U86" s="99"/>
      <c r="V86" s="99" t="s">
        <v>2216</v>
      </c>
      <c r="W86" s="99">
        <v>1</v>
      </c>
      <c r="X86" s="99">
        <v>1</v>
      </c>
      <c r="Y86" s="99">
        <v>1</v>
      </c>
      <c r="Z86" s="99">
        <v>1</v>
      </c>
      <c r="AA86" s="99">
        <v>1</v>
      </c>
      <c r="AB86" s="99"/>
      <c r="AC86" s="99" t="s">
        <v>2218</v>
      </c>
      <c r="AD86" s="99">
        <v>1</v>
      </c>
      <c r="AE86" s="99">
        <v>1</v>
      </c>
      <c r="AF86" s="99">
        <v>1</v>
      </c>
      <c r="AG86" s="99">
        <v>1</v>
      </c>
      <c r="AH86" s="101">
        <v>44909</v>
      </c>
      <c r="AI86" s="101" t="str">
        <f t="shared" si="18"/>
        <v>2Y5M18D</v>
      </c>
      <c r="AJ86" s="101" t="str">
        <f t="shared" si="19"/>
        <v>2Y2M19D</v>
      </c>
      <c r="AK86" s="256">
        <f t="shared" si="20"/>
        <v>2.2191780821917808</v>
      </c>
      <c r="AL86" s="99">
        <v>1</v>
      </c>
      <c r="AM86" s="99">
        <v>1</v>
      </c>
      <c r="AN86" s="99">
        <v>1</v>
      </c>
      <c r="AO86" s="99">
        <v>1</v>
      </c>
      <c r="AP86" s="99">
        <v>1</v>
      </c>
      <c r="AQ86" s="99">
        <v>3</v>
      </c>
      <c r="AR86" s="99"/>
      <c r="AS86" s="101">
        <v>44908</v>
      </c>
      <c r="AT86" s="101" t="str">
        <f t="shared" si="21"/>
        <v>2Y5M17D</v>
      </c>
      <c r="AU86" s="101" t="str">
        <f t="shared" si="22"/>
        <v>2Y2M18D</v>
      </c>
      <c r="AV86" s="256">
        <f t="shared" si="23"/>
        <v>2.2164383561643834</v>
      </c>
      <c r="AW86" s="99">
        <v>3</v>
      </c>
      <c r="AX86" s="99"/>
      <c r="AY86" s="99" t="e">
        <f t="shared" si="24"/>
        <v>#NUM!</v>
      </c>
      <c r="AZ86" s="102" t="e">
        <f t="shared" si="25"/>
        <v>#NUM!</v>
      </c>
      <c r="BA86" s="102">
        <f t="shared" si="26"/>
        <v>-120.81917808219178</v>
      </c>
      <c r="BB86" s="99"/>
      <c r="BC86" s="95">
        <v>44909</v>
      </c>
      <c r="BD86" s="95" t="str">
        <f t="shared" si="27"/>
        <v>2Y5M18D</v>
      </c>
      <c r="BE86" s="102" t="str">
        <f t="shared" si="28"/>
        <v>2Y2M19D</v>
      </c>
      <c r="BF86" s="102">
        <f t="shared" si="29"/>
        <v>2.2191780821917808</v>
      </c>
      <c r="BG86" s="99">
        <v>1</v>
      </c>
      <c r="BH86" s="99">
        <v>1</v>
      </c>
    </row>
    <row r="87" spans="1:60" s="193" customFormat="1" ht="16">
      <c r="A87" s="25" t="s">
        <v>384</v>
      </c>
      <c r="B87" s="2">
        <v>22108755</v>
      </c>
      <c r="C87" s="2" t="s">
        <v>385</v>
      </c>
      <c r="D87" s="23">
        <v>44440</v>
      </c>
      <c r="E87" s="23">
        <v>44449</v>
      </c>
      <c r="F87" s="23">
        <v>44440</v>
      </c>
      <c r="G87" s="2" t="s">
        <v>155</v>
      </c>
      <c r="H87" s="38">
        <v>45148</v>
      </c>
      <c r="I87" s="38">
        <v>45332</v>
      </c>
      <c r="J87" s="25"/>
      <c r="K87" s="25"/>
      <c r="L87" s="25" t="e">
        <f t="shared" si="15"/>
        <v>#NUM!</v>
      </c>
      <c r="M87" s="25" t="e">
        <f t="shared" si="16"/>
        <v>#NUM!</v>
      </c>
      <c r="N87" s="64">
        <f t="shared" si="17"/>
        <v>-121.75342465753425</v>
      </c>
      <c r="O87" s="25"/>
      <c r="P87" s="25"/>
      <c r="Q87" s="25"/>
      <c r="R87" s="25"/>
      <c r="S87" s="25"/>
      <c r="T87" s="25"/>
      <c r="U87" s="25"/>
      <c r="V87" s="25"/>
      <c r="W87" s="25"/>
      <c r="X87" s="25"/>
      <c r="Y87" s="25"/>
      <c r="Z87" s="25"/>
      <c r="AA87" s="25"/>
      <c r="AB87" s="25"/>
      <c r="AC87" s="25"/>
      <c r="AD87" s="25"/>
      <c r="AE87" s="25"/>
      <c r="AF87" s="25"/>
      <c r="AG87" s="25"/>
      <c r="AH87" s="25"/>
      <c r="AI87" s="25" t="e">
        <f t="shared" si="18"/>
        <v>#NUM!</v>
      </c>
      <c r="AJ87" s="25" t="e">
        <f t="shared" si="19"/>
        <v>#NUM!</v>
      </c>
      <c r="AK87" s="64">
        <f t="shared" si="20"/>
        <v>-121.75342465753425</v>
      </c>
      <c r="AL87" s="25"/>
      <c r="AM87" s="25"/>
      <c r="AN87" s="25"/>
      <c r="AO87" s="25"/>
      <c r="AP87" s="25"/>
      <c r="AQ87" s="25"/>
      <c r="AR87" s="25"/>
      <c r="AS87" s="25"/>
      <c r="AT87" s="25" t="e">
        <f t="shared" si="21"/>
        <v>#NUM!</v>
      </c>
      <c r="AU87" s="25" t="e">
        <f t="shared" si="22"/>
        <v>#NUM!</v>
      </c>
      <c r="AV87" s="64">
        <f t="shared" si="23"/>
        <v>-121.75342465753425</v>
      </c>
      <c r="AW87" s="25"/>
      <c r="AX87" s="25"/>
      <c r="AY87" s="25" t="e">
        <f t="shared" si="24"/>
        <v>#NUM!</v>
      </c>
      <c r="AZ87" s="64" t="e">
        <f t="shared" si="25"/>
        <v>#NUM!</v>
      </c>
      <c r="BA87" s="64">
        <f t="shared" si="26"/>
        <v>-121.75342465753425</v>
      </c>
      <c r="BB87" s="25"/>
      <c r="BC87" s="25"/>
      <c r="BD87" s="25" t="e">
        <f t="shared" si="27"/>
        <v>#NUM!</v>
      </c>
      <c r="BE87" s="64" t="e">
        <f t="shared" si="28"/>
        <v>#NUM!</v>
      </c>
      <c r="BF87" s="64">
        <f t="shared" si="29"/>
        <v>-121.75342465753425</v>
      </c>
      <c r="BG87" s="25"/>
      <c r="BH87" s="25">
        <v>0</v>
      </c>
    </row>
    <row r="88" spans="1:60" s="193" customFormat="1" ht="16">
      <c r="A88" s="25" t="s">
        <v>388</v>
      </c>
      <c r="B88" s="2">
        <v>22108762</v>
      </c>
      <c r="C88" s="2" t="s">
        <v>389</v>
      </c>
      <c r="D88" s="23">
        <v>44441</v>
      </c>
      <c r="E88" s="23">
        <v>44451</v>
      </c>
      <c r="F88" s="23">
        <v>44441</v>
      </c>
      <c r="G88" s="2" t="s">
        <v>391</v>
      </c>
      <c r="H88" s="38">
        <v>45150</v>
      </c>
      <c r="I88" s="38">
        <v>45334</v>
      </c>
      <c r="J88" s="25"/>
      <c r="K88" s="25"/>
      <c r="L88" s="25" t="e">
        <f t="shared" si="15"/>
        <v>#NUM!</v>
      </c>
      <c r="M88" s="25" t="e">
        <f t="shared" si="16"/>
        <v>#NUM!</v>
      </c>
      <c r="N88" s="64">
        <f t="shared" si="17"/>
        <v>-121.75616438356164</v>
      </c>
      <c r="O88" s="25"/>
      <c r="P88" s="25"/>
      <c r="Q88" s="25"/>
      <c r="R88" s="25"/>
      <c r="S88" s="25"/>
      <c r="T88" s="25"/>
      <c r="U88" s="25"/>
      <c r="V88" s="25"/>
      <c r="W88" s="25"/>
      <c r="X88" s="25"/>
      <c r="Y88" s="25"/>
      <c r="Z88" s="25"/>
      <c r="AA88" s="25"/>
      <c r="AB88" s="25"/>
      <c r="AC88" s="25"/>
      <c r="AD88" s="25"/>
      <c r="AE88" s="25"/>
      <c r="AF88" s="25"/>
      <c r="AG88" s="25"/>
      <c r="AH88" s="25"/>
      <c r="AI88" s="25" t="e">
        <f t="shared" si="18"/>
        <v>#NUM!</v>
      </c>
      <c r="AJ88" s="25" t="e">
        <f t="shared" si="19"/>
        <v>#NUM!</v>
      </c>
      <c r="AK88" s="64">
        <f t="shared" si="20"/>
        <v>-121.75616438356164</v>
      </c>
      <c r="AL88" s="25"/>
      <c r="AM88" s="25"/>
      <c r="AN88" s="25"/>
      <c r="AO88" s="25"/>
      <c r="AP88" s="25"/>
      <c r="AQ88" s="25"/>
      <c r="AR88" s="25"/>
      <c r="AS88" s="25"/>
      <c r="AT88" s="25" t="e">
        <f t="shared" si="21"/>
        <v>#NUM!</v>
      </c>
      <c r="AU88" s="25" t="e">
        <f t="shared" si="22"/>
        <v>#NUM!</v>
      </c>
      <c r="AV88" s="64">
        <f t="shared" si="23"/>
        <v>-121.75616438356164</v>
      </c>
      <c r="AW88" s="25"/>
      <c r="AX88" s="25"/>
      <c r="AY88" s="25" t="e">
        <f t="shared" si="24"/>
        <v>#NUM!</v>
      </c>
      <c r="AZ88" s="64" t="e">
        <f t="shared" si="25"/>
        <v>#NUM!</v>
      </c>
      <c r="BA88" s="64">
        <f t="shared" si="26"/>
        <v>-121.75616438356164</v>
      </c>
      <c r="BB88" s="25"/>
      <c r="BC88" s="25"/>
      <c r="BD88" s="25" t="e">
        <f t="shared" si="27"/>
        <v>#NUM!</v>
      </c>
      <c r="BE88" s="64" t="e">
        <f t="shared" si="28"/>
        <v>#NUM!</v>
      </c>
      <c r="BF88" s="64">
        <f t="shared" si="29"/>
        <v>-121.75616438356164</v>
      </c>
      <c r="BG88" s="25"/>
      <c r="BH88" s="25">
        <v>0</v>
      </c>
    </row>
    <row r="89" spans="1:60" s="193" customFormat="1" ht="16">
      <c r="A89" s="25" t="s">
        <v>393</v>
      </c>
      <c r="B89" s="25">
        <v>22105932</v>
      </c>
      <c r="C89" s="25" t="s">
        <v>394</v>
      </c>
      <c r="D89" s="32">
        <v>44155</v>
      </c>
      <c r="E89" s="32">
        <v>44256</v>
      </c>
      <c r="F89" s="32">
        <v>44256</v>
      </c>
      <c r="G89" s="25" t="s">
        <v>217</v>
      </c>
      <c r="H89" s="86">
        <v>44958</v>
      </c>
      <c r="I89" s="86">
        <v>45139</v>
      </c>
      <c r="J89" s="25"/>
      <c r="K89" s="25"/>
      <c r="L89" s="25" t="e">
        <f t="shared" si="15"/>
        <v>#NUM!</v>
      </c>
      <c r="M89" s="25" t="e">
        <f t="shared" si="16"/>
        <v>#NUM!</v>
      </c>
      <c r="N89" s="64">
        <f t="shared" si="17"/>
        <v>-121.24931506849315</v>
      </c>
      <c r="O89" s="25"/>
      <c r="P89" s="25"/>
      <c r="Q89" s="25"/>
      <c r="R89" s="25"/>
      <c r="S89" s="25"/>
      <c r="T89" s="25"/>
      <c r="U89" s="25"/>
      <c r="V89" s="25"/>
      <c r="W89" s="25"/>
      <c r="X89" s="25"/>
      <c r="Y89" s="25"/>
      <c r="Z89" s="25"/>
      <c r="AA89" s="25"/>
      <c r="AB89" s="25"/>
      <c r="AC89" s="25"/>
      <c r="AD89" s="25"/>
      <c r="AE89" s="25"/>
      <c r="AF89" s="25"/>
      <c r="AG89" s="25"/>
      <c r="AH89" s="32"/>
      <c r="AI89" s="32" t="e">
        <f t="shared" si="18"/>
        <v>#NUM!</v>
      </c>
      <c r="AJ89" s="32" t="e">
        <f t="shared" si="19"/>
        <v>#NUM!</v>
      </c>
      <c r="AK89" s="64">
        <f t="shared" si="20"/>
        <v>-121.24931506849315</v>
      </c>
      <c r="AL89" s="25"/>
      <c r="AM89" s="25"/>
      <c r="AN89" s="25"/>
      <c r="AO89" s="25"/>
      <c r="AP89" s="25"/>
      <c r="AQ89" s="25"/>
      <c r="AR89" s="25"/>
      <c r="AS89" s="32"/>
      <c r="AT89" s="32" t="e">
        <f t="shared" si="21"/>
        <v>#NUM!</v>
      </c>
      <c r="AU89" s="32" t="e">
        <f t="shared" si="22"/>
        <v>#NUM!</v>
      </c>
      <c r="AV89" s="64">
        <f t="shared" si="23"/>
        <v>-121.24931506849315</v>
      </c>
      <c r="AW89" s="25"/>
      <c r="AX89" s="32"/>
      <c r="AY89" s="32" t="e">
        <f t="shared" si="24"/>
        <v>#NUM!</v>
      </c>
      <c r="AZ89" s="64" t="e">
        <f t="shared" si="25"/>
        <v>#NUM!</v>
      </c>
      <c r="BA89" s="64">
        <f t="shared" si="26"/>
        <v>-121.24931506849315</v>
      </c>
      <c r="BB89" s="25"/>
      <c r="BC89" s="25"/>
      <c r="BD89" s="25" t="e">
        <f t="shared" si="27"/>
        <v>#NUM!</v>
      </c>
      <c r="BE89" s="64" t="e">
        <f t="shared" si="28"/>
        <v>#NUM!</v>
      </c>
      <c r="BF89" s="64">
        <f t="shared" si="29"/>
        <v>-121.24931506849315</v>
      </c>
      <c r="BG89" s="25"/>
      <c r="BH89" s="25">
        <v>1</v>
      </c>
    </row>
    <row r="90" spans="1:60" s="193" customFormat="1" ht="16">
      <c r="A90" s="25" t="s">
        <v>397</v>
      </c>
      <c r="B90" s="25">
        <v>22105933</v>
      </c>
      <c r="C90" s="25" t="s">
        <v>398</v>
      </c>
      <c r="D90" s="32">
        <v>44155</v>
      </c>
      <c r="E90" s="32">
        <v>44256</v>
      </c>
      <c r="F90" s="32">
        <v>44256</v>
      </c>
      <c r="G90" s="25" t="s">
        <v>217</v>
      </c>
      <c r="H90" s="86">
        <v>44958</v>
      </c>
      <c r="I90" s="86">
        <v>45139</v>
      </c>
      <c r="J90" s="25"/>
      <c r="K90" s="25"/>
      <c r="L90" s="25" t="e">
        <f t="shared" si="15"/>
        <v>#NUM!</v>
      </c>
      <c r="M90" s="25" t="e">
        <f t="shared" si="16"/>
        <v>#NUM!</v>
      </c>
      <c r="N90" s="64">
        <f t="shared" si="17"/>
        <v>-121.24931506849315</v>
      </c>
      <c r="O90" s="25"/>
      <c r="P90" s="25"/>
      <c r="Q90" s="25"/>
      <c r="R90" s="25"/>
      <c r="S90" s="25"/>
      <c r="T90" s="25"/>
      <c r="U90" s="25"/>
      <c r="V90" s="25"/>
      <c r="W90" s="25"/>
      <c r="X90" s="25"/>
      <c r="Y90" s="25"/>
      <c r="Z90" s="25"/>
      <c r="AA90" s="25"/>
      <c r="AB90" s="25"/>
      <c r="AC90" s="25"/>
      <c r="AD90" s="25"/>
      <c r="AE90" s="25"/>
      <c r="AF90" s="25"/>
      <c r="AG90" s="25"/>
      <c r="AH90" s="32"/>
      <c r="AI90" s="32" t="e">
        <f t="shared" si="18"/>
        <v>#NUM!</v>
      </c>
      <c r="AJ90" s="32" t="e">
        <f t="shared" si="19"/>
        <v>#NUM!</v>
      </c>
      <c r="AK90" s="64">
        <f t="shared" si="20"/>
        <v>-121.24931506849315</v>
      </c>
      <c r="AL90" s="25"/>
      <c r="AM90" s="25"/>
      <c r="AN90" s="25"/>
      <c r="AO90" s="25"/>
      <c r="AP90" s="25"/>
      <c r="AQ90" s="25"/>
      <c r="AR90" s="25"/>
      <c r="AS90" s="32"/>
      <c r="AT90" s="32" t="e">
        <f t="shared" si="21"/>
        <v>#NUM!</v>
      </c>
      <c r="AU90" s="32" t="e">
        <f t="shared" si="22"/>
        <v>#NUM!</v>
      </c>
      <c r="AV90" s="64">
        <f t="shared" si="23"/>
        <v>-121.24931506849315</v>
      </c>
      <c r="AW90" s="25"/>
      <c r="AX90" s="25"/>
      <c r="AY90" s="25" t="e">
        <f t="shared" si="24"/>
        <v>#NUM!</v>
      </c>
      <c r="AZ90" s="64" t="e">
        <f t="shared" si="25"/>
        <v>#NUM!</v>
      </c>
      <c r="BA90" s="64">
        <f t="shared" si="26"/>
        <v>-121.24931506849315</v>
      </c>
      <c r="BB90" s="25"/>
      <c r="BC90" s="25"/>
      <c r="BD90" s="25" t="e">
        <f t="shared" si="27"/>
        <v>#NUM!</v>
      </c>
      <c r="BE90" s="64" t="e">
        <f t="shared" si="28"/>
        <v>#NUM!</v>
      </c>
      <c r="BF90" s="64">
        <f t="shared" si="29"/>
        <v>-121.24931506849315</v>
      </c>
      <c r="BG90" s="25"/>
      <c r="BH90" s="25">
        <v>1</v>
      </c>
    </row>
    <row r="91" spans="1:60" s="189" customFormat="1" ht="16">
      <c r="A91" s="99" t="s">
        <v>399</v>
      </c>
      <c r="B91" s="99">
        <v>22107573</v>
      </c>
      <c r="C91" s="99" t="s">
        <v>400</v>
      </c>
      <c r="D91" s="95">
        <v>44313</v>
      </c>
      <c r="E91" s="95">
        <v>44378</v>
      </c>
      <c r="F91" s="95">
        <v>44378</v>
      </c>
      <c r="G91" s="99" t="s">
        <v>134</v>
      </c>
      <c r="H91" s="101">
        <v>45078</v>
      </c>
      <c r="I91" s="101">
        <v>45261</v>
      </c>
      <c r="J91" s="95">
        <v>45161</v>
      </c>
      <c r="K91" s="95">
        <v>45161</v>
      </c>
      <c r="L91" s="95" t="str">
        <f t="shared" si="15"/>
        <v>2Y3M27D</v>
      </c>
      <c r="M91" s="95" t="str">
        <f t="shared" si="16"/>
        <v>2Y1M22D</v>
      </c>
      <c r="N91" s="102">
        <f t="shared" si="17"/>
        <v>2.1452054794520548</v>
      </c>
      <c r="O91" s="99">
        <v>2</v>
      </c>
      <c r="P91" s="99">
        <v>3</v>
      </c>
      <c r="Q91" s="99"/>
      <c r="R91" s="99">
        <v>2</v>
      </c>
      <c r="S91" s="99">
        <v>1</v>
      </c>
      <c r="T91" s="99">
        <v>1</v>
      </c>
      <c r="U91" s="99"/>
      <c r="V91" s="99" t="s">
        <v>1661</v>
      </c>
      <c r="W91" s="99">
        <v>1</v>
      </c>
      <c r="X91" s="99">
        <v>1</v>
      </c>
      <c r="Y91" s="99">
        <v>1</v>
      </c>
      <c r="Z91" s="99">
        <v>1</v>
      </c>
      <c r="AA91" s="99">
        <v>1</v>
      </c>
      <c r="AB91" s="99"/>
      <c r="AC91" s="99" t="s">
        <v>2527</v>
      </c>
      <c r="AD91" s="99">
        <v>1</v>
      </c>
      <c r="AE91" s="99">
        <v>1</v>
      </c>
      <c r="AF91" s="99">
        <v>1</v>
      </c>
      <c r="AG91" s="99">
        <v>1</v>
      </c>
      <c r="AH91" s="95">
        <v>45161</v>
      </c>
      <c r="AI91" s="95" t="str">
        <f t="shared" si="18"/>
        <v>2Y3M27D</v>
      </c>
      <c r="AJ91" s="95" t="str">
        <f t="shared" si="19"/>
        <v>2Y1M22D</v>
      </c>
      <c r="AK91" s="102">
        <f t="shared" si="20"/>
        <v>2.1452054794520548</v>
      </c>
      <c r="AL91" s="99">
        <v>1</v>
      </c>
      <c r="AM91" s="99">
        <v>1</v>
      </c>
      <c r="AN91" s="99">
        <v>1</v>
      </c>
      <c r="AO91" s="99">
        <v>1</v>
      </c>
      <c r="AP91" s="99">
        <v>2</v>
      </c>
      <c r="AQ91" s="99">
        <v>3</v>
      </c>
      <c r="AR91" s="99"/>
      <c r="AS91" s="95">
        <v>45154</v>
      </c>
      <c r="AT91" s="95" t="str">
        <f t="shared" si="21"/>
        <v>2Y3M20D</v>
      </c>
      <c r="AU91" s="95" t="str">
        <f t="shared" si="22"/>
        <v>2Y1M15D</v>
      </c>
      <c r="AV91" s="102">
        <f t="shared" si="23"/>
        <v>2.1260273972602741</v>
      </c>
      <c r="AW91" s="99">
        <v>5</v>
      </c>
      <c r="AX91" s="95">
        <v>45158</v>
      </c>
      <c r="AY91" s="95" t="str">
        <f t="shared" si="24"/>
        <v>2Y3M24D</v>
      </c>
      <c r="AZ91" s="102" t="str">
        <f t="shared" si="25"/>
        <v>2Y1M19D</v>
      </c>
      <c r="BA91" s="102">
        <f t="shared" si="26"/>
        <v>2.1369863013698631</v>
      </c>
      <c r="BB91" s="99">
        <v>5</v>
      </c>
      <c r="BC91" s="95">
        <v>45161</v>
      </c>
      <c r="BD91" s="95" t="str">
        <f t="shared" si="27"/>
        <v>2Y3M27D</v>
      </c>
      <c r="BE91" s="102" t="str">
        <f t="shared" si="28"/>
        <v>2Y1M22D</v>
      </c>
      <c r="BF91" s="102">
        <f t="shared" si="29"/>
        <v>2.1452054794520548</v>
      </c>
      <c r="BG91" s="99">
        <v>2</v>
      </c>
      <c r="BH91" s="99">
        <v>1</v>
      </c>
    </row>
    <row r="92" spans="1:60" s="189" customFormat="1" ht="16">
      <c r="A92" s="99" t="s">
        <v>403</v>
      </c>
      <c r="B92" s="99">
        <v>22105890</v>
      </c>
      <c r="C92" s="99" t="s">
        <v>404</v>
      </c>
      <c r="D92" s="95">
        <v>44152</v>
      </c>
      <c r="E92" s="95">
        <v>44256</v>
      </c>
      <c r="F92" s="95">
        <v>44256</v>
      </c>
      <c r="G92" s="99" t="s">
        <v>405</v>
      </c>
      <c r="H92" s="101">
        <v>44958</v>
      </c>
      <c r="I92" s="101">
        <v>45139</v>
      </c>
      <c r="J92" s="95">
        <v>44960</v>
      </c>
      <c r="K92" s="95">
        <v>44960</v>
      </c>
      <c r="L92" s="95" t="str">
        <f t="shared" si="15"/>
        <v>2Y2M17D</v>
      </c>
      <c r="M92" s="95" t="str">
        <f t="shared" si="16"/>
        <v>1Y11M2D</v>
      </c>
      <c r="N92" s="102">
        <f t="shared" si="17"/>
        <v>1.9287671232876713</v>
      </c>
      <c r="O92" s="99">
        <v>2</v>
      </c>
      <c r="P92" s="99">
        <v>3</v>
      </c>
      <c r="Q92" s="99"/>
      <c r="R92" s="99">
        <v>2</v>
      </c>
      <c r="S92" s="99">
        <v>1</v>
      </c>
      <c r="T92" s="99"/>
      <c r="U92" s="99" t="s">
        <v>2416</v>
      </c>
      <c r="V92" s="99" t="s">
        <v>1661</v>
      </c>
      <c r="W92" s="99">
        <v>1</v>
      </c>
      <c r="X92" s="99">
        <v>1</v>
      </c>
      <c r="Y92" s="99">
        <v>1</v>
      </c>
      <c r="Z92" s="99">
        <v>1</v>
      </c>
      <c r="AA92" s="99">
        <v>1</v>
      </c>
      <c r="AB92" s="99"/>
      <c r="AC92" s="99" t="s">
        <v>2415</v>
      </c>
      <c r="AD92" s="99">
        <v>1</v>
      </c>
      <c r="AE92" s="99">
        <v>1</v>
      </c>
      <c r="AF92" s="99">
        <v>1</v>
      </c>
      <c r="AG92" s="99">
        <v>1</v>
      </c>
      <c r="AH92" s="95">
        <v>44994</v>
      </c>
      <c r="AI92" s="95" t="str">
        <f t="shared" si="18"/>
        <v>2Y3M20D</v>
      </c>
      <c r="AJ92" s="95" t="str">
        <f t="shared" si="19"/>
        <v>2Y0M8D</v>
      </c>
      <c r="AK92" s="102">
        <f t="shared" si="20"/>
        <v>2.021917808219178</v>
      </c>
      <c r="AL92" s="99">
        <v>1</v>
      </c>
      <c r="AM92" s="99">
        <v>1</v>
      </c>
      <c r="AN92" s="99">
        <v>1</v>
      </c>
      <c r="AO92" s="99">
        <v>1</v>
      </c>
      <c r="AP92" s="99">
        <v>1</v>
      </c>
      <c r="AQ92" s="99">
        <v>3</v>
      </c>
      <c r="AR92" s="99"/>
      <c r="AS92" s="95">
        <v>44957</v>
      </c>
      <c r="AT92" s="95" t="str">
        <f t="shared" si="21"/>
        <v>2Y2M14D</v>
      </c>
      <c r="AU92" s="95" t="str">
        <f t="shared" si="22"/>
        <v>1Y10M30D</v>
      </c>
      <c r="AV92" s="102">
        <f t="shared" si="23"/>
        <v>1.9205479452054794</v>
      </c>
      <c r="AW92" s="99">
        <v>1</v>
      </c>
      <c r="AX92" s="95">
        <v>44994</v>
      </c>
      <c r="AY92" s="95" t="str">
        <f t="shared" si="24"/>
        <v>2Y3M20D</v>
      </c>
      <c r="AZ92" s="102" t="str">
        <f t="shared" si="25"/>
        <v>2Y0M8D</v>
      </c>
      <c r="BA92" s="102">
        <f t="shared" si="26"/>
        <v>2.021917808219178</v>
      </c>
      <c r="BB92" s="99">
        <v>2</v>
      </c>
      <c r="BC92" s="95">
        <v>44960</v>
      </c>
      <c r="BD92" s="95" t="str">
        <f t="shared" si="27"/>
        <v>2Y2M17D</v>
      </c>
      <c r="BE92" s="102" t="str">
        <f t="shared" si="28"/>
        <v>1Y11M2D</v>
      </c>
      <c r="BF92" s="102">
        <f t="shared" si="29"/>
        <v>1.9287671232876713</v>
      </c>
      <c r="BG92" s="99">
        <v>1</v>
      </c>
      <c r="BH92" s="99">
        <v>1</v>
      </c>
    </row>
    <row r="93" spans="1:60" s="110" customFormat="1" ht="16">
      <c r="A93" s="17" t="s">
        <v>407</v>
      </c>
      <c r="B93" s="17">
        <v>22108642</v>
      </c>
      <c r="C93" s="17" t="s">
        <v>408</v>
      </c>
      <c r="D93" s="40">
        <v>44426</v>
      </c>
      <c r="E93" s="40">
        <v>44488</v>
      </c>
      <c r="F93" s="40">
        <v>44488</v>
      </c>
      <c r="G93" s="17" t="s">
        <v>323</v>
      </c>
      <c r="H93" s="75">
        <v>45188</v>
      </c>
      <c r="I93" s="75">
        <v>45370</v>
      </c>
      <c r="J93" s="261"/>
      <c r="K93" s="261"/>
      <c r="L93" s="261" t="e">
        <f t="shared" si="15"/>
        <v>#NUM!</v>
      </c>
      <c r="M93" s="261" t="e">
        <f t="shared" si="16"/>
        <v>#NUM!</v>
      </c>
      <c r="N93" s="286">
        <f t="shared" si="17"/>
        <v>-121.88493150684931</v>
      </c>
      <c r="O93" s="261"/>
      <c r="P93" s="261"/>
      <c r="Q93" s="261"/>
      <c r="R93" s="261"/>
      <c r="S93" s="261"/>
      <c r="T93" s="261"/>
      <c r="U93" s="261"/>
      <c r="V93" s="261"/>
      <c r="W93" s="261"/>
      <c r="X93" s="261"/>
      <c r="Y93" s="261"/>
      <c r="Z93" s="261"/>
      <c r="AA93" s="261"/>
      <c r="AB93" s="261"/>
      <c r="AC93" s="261"/>
      <c r="AD93" s="261"/>
      <c r="AE93" s="261"/>
      <c r="AF93" s="261"/>
      <c r="AG93" s="261"/>
      <c r="AH93" s="262">
        <v>45272</v>
      </c>
      <c r="AI93" s="261" t="str">
        <f t="shared" si="18"/>
        <v>2Y3M24D</v>
      </c>
      <c r="AJ93" s="261" t="str">
        <f t="shared" si="19"/>
        <v>2Y1M23D</v>
      </c>
      <c r="AK93" s="286">
        <f t="shared" si="20"/>
        <v>2.1479452054794521</v>
      </c>
      <c r="AL93" s="261">
        <v>1</v>
      </c>
      <c r="AM93" s="261">
        <v>1</v>
      </c>
      <c r="AN93" s="261">
        <v>1</v>
      </c>
      <c r="AO93" s="261">
        <v>1</v>
      </c>
      <c r="AP93" s="261"/>
      <c r="AQ93" s="261"/>
      <c r="AR93" s="261"/>
      <c r="AS93" s="262">
        <v>45322</v>
      </c>
      <c r="AT93" s="261" t="str">
        <f>DATEDIF(D93,AS93,"y")&amp;"Y"&amp;DATEDIF(D93,AS93,"ym")&amp;"M"&amp;DATEDIF(D93,AS93,"md")&amp;"D"</f>
        <v>2Y5M13D</v>
      </c>
      <c r="AU93" s="286" t="str">
        <f>DATEDIF(E93,AS93,"y")&amp;"Y"&amp;DATEDIF(E93,AS93,"ym")&amp;"M"&amp;DATEDIF(E93,AS93,"md")&amp;"D"</f>
        <v>2Y3M12D</v>
      </c>
      <c r="AV93" s="286">
        <f>(AS93-F93)/365</f>
        <v>2.2849315068493152</v>
      </c>
      <c r="AW93" s="261">
        <v>7</v>
      </c>
      <c r="BB93" s="261"/>
      <c r="BC93" s="262">
        <v>45272</v>
      </c>
      <c r="BD93" s="261" t="str">
        <f t="shared" si="27"/>
        <v>2Y3M24D</v>
      </c>
      <c r="BE93" s="286" t="str">
        <f t="shared" si="28"/>
        <v>2Y1M23D</v>
      </c>
      <c r="BF93" s="286">
        <f t="shared" si="29"/>
        <v>2.1479452054794521</v>
      </c>
      <c r="BG93" s="261">
        <v>2</v>
      </c>
      <c r="BH93" s="17">
        <v>1</v>
      </c>
    </row>
    <row r="94" spans="1:60" s="110" customFormat="1" ht="16">
      <c r="A94" s="17" t="s">
        <v>411</v>
      </c>
      <c r="B94" s="17">
        <v>22102895</v>
      </c>
      <c r="C94" s="17" t="s">
        <v>412</v>
      </c>
      <c r="D94" s="40">
        <v>43853</v>
      </c>
      <c r="E94" s="40">
        <v>43916</v>
      </c>
      <c r="F94" s="40">
        <v>43916</v>
      </c>
      <c r="G94" s="17">
        <v>31</v>
      </c>
      <c r="H94" s="75">
        <v>44618</v>
      </c>
      <c r="I94" s="75">
        <v>44799</v>
      </c>
      <c r="J94" s="17"/>
      <c r="K94" s="17" t="s">
        <v>1657</v>
      </c>
      <c r="L94" s="17" t="e">
        <f t="shared" ref="L94:L125" si="30">DATEDIF(D94,K94,"y")&amp;"Y"&amp;DATEDIF(D94,K94,"ym")&amp;"M"&amp;DATEDIF(D94,K94,"md")&amp;"D"</f>
        <v>#VALUE!</v>
      </c>
      <c r="M94" s="17" t="e">
        <f t="shared" ref="M94:M125" si="31">DATEDIF(E94,K94,"y")&amp;"Y"&amp;DATEDIF(E94,K94,"ym")&amp;"M"&amp;DATEDIF(E94,K94,"md")&amp;"D"</f>
        <v>#VALUE!</v>
      </c>
      <c r="N94" s="21" t="e">
        <f t="shared" ref="N94:N125" si="32">(K94-F94)/365</f>
        <v>#VALUE!</v>
      </c>
      <c r="O94" s="17"/>
      <c r="P94" s="17"/>
      <c r="Q94" s="17"/>
      <c r="R94" s="17"/>
      <c r="S94" s="17"/>
      <c r="T94" s="17"/>
      <c r="U94" s="17"/>
      <c r="V94" s="17"/>
      <c r="W94" s="17"/>
      <c r="X94" s="17"/>
      <c r="Y94" s="17"/>
      <c r="Z94" s="17"/>
      <c r="AA94" s="17"/>
      <c r="AB94" s="17"/>
      <c r="AC94" s="17"/>
      <c r="AD94" s="17"/>
      <c r="AE94" s="17"/>
      <c r="AF94" s="17"/>
      <c r="AG94" s="17"/>
      <c r="AH94" s="22" t="s">
        <v>1961</v>
      </c>
      <c r="AI94" s="22" t="e">
        <f t="shared" ref="AI94:AI125" si="33">DATEDIF(D94,AH94,"y")&amp;"Y"&amp;DATEDIF(D94,AH94,"ym")&amp;"M"&amp;DATEDIF(D94,AH94,"md")&amp;"D"</f>
        <v>#VALUE!</v>
      </c>
      <c r="AJ94" s="22" t="e">
        <f t="shared" ref="AJ94:AJ125" si="34">DATEDIF(E94,AH94,"y")&amp;"Y"&amp;DATEDIF(E94,AH94,"ym")&amp;"M"&amp;DATEDIF(E94,AH94,"md")&amp;"D"</f>
        <v>#VALUE!</v>
      </c>
      <c r="AK94" s="70" t="e">
        <f t="shared" ref="AK94:AK125" si="35">(AH94-F94)/365</f>
        <v>#VALUE!</v>
      </c>
      <c r="AL94" s="17"/>
      <c r="AM94" s="17"/>
      <c r="AN94" s="17"/>
      <c r="AO94" s="17"/>
      <c r="AP94" s="17"/>
      <c r="AQ94" s="17"/>
      <c r="AR94" s="17"/>
      <c r="AS94" s="40">
        <v>44690</v>
      </c>
      <c r="AT94" s="40" t="str">
        <f t="shared" ref="AT94:AT125" si="36">DATEDIF(D94,AS94,"y")&amp;"Y"&amp;DATEDIF(D94,AS94,"ym")&amp;"M"&amp;DATEDIF(D94,AS94,"md")&amp;"D"</f>
        <v>2Y3M16D</v>
      </c>
      <c r="AU94" s="40" t="str">
        <f t="shared" ref="AU94:AU125" si="37">DATEDIF(E94,AS94,"y")&amp;"Y"&amp;DATEDIF(E94,AS94,"ym")&amp;"M"&amp;DATEDIF(E94,AS94,"md")&amp;"D"</f>
        <v>2Y1M13D</v>
      </c>
      <c r="AV94" s="21">
        <f t="shared" ref="AV94:AV125" si="38">(AS94-F94)/365</f>
        <v>2.1205479452054794</v>
      </c>
      <c r="AW94" s="17">
        <v>2</v>
      </c>
      <c r="AX94" s="17"/>
      <c r="AY94" s="17" t="e">
        <f t="shared" ref="AY94:AY125" si="39">DATEDIF(D94,AX94,"y")&amp;"Y"&amp;DATEDIF(D94,AX94,"ym")&amp;"M"&amp;DATEDIF(D94,AX94,"md")&amp;"D"</f>
        <v>#NUM!</v>
      </c>
      <c r="AZ94" s="21" t="e">
        <f t="shared" ref="AZ94:AZ125" si="40">DATEDIF(E94,AX94,"y")&amp;"Y"&amp;DATEDIF(E94,AX94,"ym")&amp;"M"&amp;DATEDIF(E94,AX94,"md")&amp;"D"</f>
        <v>#NUM!</v>
      </c>
      <c r="BA94" s="21">
        <f t="shared" ref="BA94:BA125" si="41">(AX94-F94)/365</f>
        <v>-120.31780821917808</v>
      </c>
      <c r="BB94" s="17"/>
      <c r="BC94" s="40">
        <v>44694</v>
      </c>
      <c r="BD94" s="40" t="str">
        <f t="shared" ref="BD94:BD125" si="42">DATEDIF(D94,BC94,"y")&amp;"Y"&amp;DATEDIF(D94,BC94,"ym")&amp;"M"&amp;DATEDIF(D94,BC94,"md")&amp;"D"</f>
        <v>2Y3M20D</v>
      </c>
      <c r="BE94" s="21" t="str">
        <f t="shared" ref="BE94:BE125" si="43">DATEDIF(E94,BC94,"y")&amp;"Y"&amp;DATEDIF(E94,BC94,"ym")&amp;"M"&amp;DATEDIF(E94,BC94,"md")&amp;"D"</f>
        <v>2Y1M17D</v>
      </c>
      <c r="BF94" s="21">
        <f t="shared" ref="BF94:BF125" si="44">(BC94-F94)/365</f>
        <v>2.1315068493150684</v>
      </c>
      <c r="BG94" s="17">
        <v>1</v>
      </c>
      <c r="BH94" s="17">
        <v>1</v>
      </c>
    </row>
    <row r="95" spans="1:60" s="110" customFormat="1" ht="16">
      <c r="A95" s="17" t="s">
        <v>415</v>
      </c>
      <c r="B95" s="17">
        <v>22102896</v>
      </c>
      <c r="C95" s="17" t="s">
        <v>416</v>
      </c>
      <c r="D95" s="40">
        <v>43853</v>
      </c>
      <c r="E95" s="40">
        <v>43916</v>
      </c>
      <c r="F95" s="40">
        <v>43916</v>
      </c>
      <c r="G95" s="17">
        <v>31</v>
      </c>
      <c r="H95" s="75">
        <v>44618</v>
      </c>
      <c r="I95" s="75">
        <v>44799</v>
      </c>
      <c r="J95" s="17"/>
      <c r="K95" s="17" t="s">
        <v>1657</v>
      </c>
      <c r="L95" s="17" t="e">
        <f t="shared" si="30"/>
        <v>#VALUE!</v>
      </c>
      <c r="M95" s="17" t="e">
        <f t="shared" si="31"/>
        <v>#VALUE!</v>
      </c>
      <c r="N95" s="21" t="e">
        <f t="shared" si="32"/>
        <v>#VALUE!</v>
      </c>
      <c r="O95" s="17"/>
      <c r="P95" s="17"/>
      <c r="Q95" s="17"/>
      <c r="R95" s="17"/>
      <c r="S95" s="17"/>
      <c r="T95" s="17"/>
      <c r="U95" s="17"/>
      <c r="V95" s="17"/>
      <c r="W95" s="17"/>
      <c r="X95" s="17"/>
      <c r="Y95" s="17"/>
      <c r="Z95" s="17"/>
      <c r="AA95" s="17"/>
      <c r="AB95" s="17"/>
      <c r="AC95" s="17"/>
      <c r="AD95" s="17"/>
      <c r="AE95" s="17"/>
      <c r="AF95" s="17"/>
      <c r="AG95" s="17"/>
      <c r="AH95" s="22" t="s">
        <v>1961</v>
      </c>
      <c r="AI95" s="22" t="e">
        <f t="shared" si="33"/>
        <v>#VALUE!</v>
      </c>
      <c r="AJ95" s="22" t="e">
        <f t="shared" si="34"/>
        <v>#VALUE!</v>
      </c>
      <c r="AK95" s="70" t="e">
        <f t="shared" si="35"/>
        <v>#VALUE!</v>
      </c>
      <c r="AL95" s="17"/>
      <c r="AM95" s="17"/>
      <c r="AN95" s="17"/>
      <c r="AO95" s="17"/>
      <c r="AP95" s="17"/>
      <c r="AQ95" s="17"/>
      <c r="AR95" s="17"/>
      <c r="AS95" s="40">
        <v>44688</v>
      </c>
      <c r="AT95" s="40" t="str">
        <f t="shared" si="36"/>
        <v>2Y3M14D</v>
      </c>
      <c r="AU95" s="40" t="str">
        <f t="shared" si="37"/>
        <v>2Y1M11D</v>
      </c>
      <c r="AV95" s="21">
        <f t="shared" si="38"/>
        <v>2.1150684931506851</v>
      </c>
      <c r="AW95" s="17">
        <v>2</v>
      </c>
      <c r="AX95" s="17"/>
      <c r="AY95" s="17" t="e">
        <f t="shared" si="39"/>
        <v>#NUM!</v>
      </c>
      <c r="AZ95" s="21" t="e">
        <f t="shared" si="40"/>
        <v>#NUM!</v>
      </c>
      <c r="BA95" s="21">
        <f t="shared" si="41"/>
        <v>-120.31780821917808</v>
      </c>
      <c r="BB95" s="17"/>
      <c r="BC95" s="40">
        <v>44694</v>
      </c>
      <c r="BD95" s="40" t="str">
        <f t="shared" si="42"/>
        <v>2Y3M20D</v>
      </c>
      <c r="BE95" s="21" t="str">
        <f t="shared" si="43"/>
        <v>2Y1M17D</v>
      </c>
      <c r="BF95" s="21">
        <f t="shared" si="44"/>
        <v>2.1315068493150684</v>
      </c>
      <c r="BG95" s="17">
        <v>1</v>
      </c>
      <c r="BH95" s="17">
        <v>1</v>
      </c>
    </row>
    <row r="96" spans="1:60" s="193" customFormat="1" ht="16">
      <c r="A96" s="25" t="s">
        <v>418</v>
      </c>
      <c r="B96" s="25">
        <v>22104599</v>
      </c>
      <c r="C96" s="25" t="s">
        <v>419</v>
      </c>
      <c r="D96" s="32">
        <v>44026</v>
      </c>
      <c r="E96" s="32">
        <v>44094</v>
      </c>
      <c r="F96" s="32">
        <v>44094</v>
      </c>
      <c r="G96" s="25" t="s">
        <v>299</v>
      </c>
      <c r="H96" s="86">
        <v>44793</v>
      </c>
      <c r="I96" s="86">
        <v>44977</v>
      </c>
      <c r="J96" s="32" t="s">
        <v>1955</v>
      </c>
      <c r="K96" s="32" t="s">
        <v>1955</v>
      </c>
      <c r="L96" s="32" t="e">
        <f t="shared" si="30"/>
        <v>#VALUE!</v>
      </c>
      <c r="M96" s="32" t="e">
        <f t="shared" si="31"/>
        <v>#VALUE!</v>
      </c>
      <c r="N96" s="64" t="e">
        <f t="shared" si="32"/>
        <v>#VALUE!</v>
      </c>
      <c r="O96" s="32"/>
      <c r="P96" s="32" t="s">
        <v>1955</v>
      </c>
      <c r="Q96" s="32" t="s">
        <v>1955</v>
      </c>
      <c r="R96" s="32"/>
      <c r="S96" s="32" t="s">
        <v>1955</v>
      </c>
      <c r="T96" s="32" t="s">
        <v>1955</v>
      </c>
      <c r="U96" s="32" t="s">
        <v>1955</v>
      </c>
      <c r="V96" s="32" t="s">
        <v>1955</v>
      </c>
      <c r="W96" s="32"/>
      <c r="X96" s="32" t="s">
        <v>1955</v>
      </c>
      <c r="Y96" s="32" t="s">
        <v>1955</v>
      </c>
      <c r="Z96" s="32" t="s">
        <v>1955</v>
      </c>
      <c r="AA96" s="32" t="s">
        <v>1955</v>
      </c>
      <c r="AB96" s="32" t="s">
        <v>1955</v>
      </c>
      <c r="AC96" s="32" t="s">
        <v>1955</v>
      </c>
      <c r="AD96" s="32"/>
      <c r="AE96" s="32" t="s">
        <v>1955</v>
      </c>
      <c r="AF96" s="32"/>
      <c r="AG96" s="32" t="s">
        <v>1955</v>
      </c>
      <c r="AH96" s="32" t="s">
        <v>1955</v>
      </c>
      <c r="AI96" s="32" t="e">
        <f t="shared" si="33"/>
        <v>#VALUE!</v>
      </c>
      <c r="AJ96" s="32" t="e">
        <f t="shared" si="34"/>
        <v>#VALUE!</v>
      </c>
      <c r="AK96" s="64" t="e">
        <f t="shared" si="35"/>
        <v>#VALUE!</v>
      </c>
      <c r="AL96" s="32" t="s">
        <v>1955</v>
      </c>
      <c r="AM96" s="32" t="s">
        <v>1955</v>
      </c>
      <c r="AN96" s="32" t="s">
        <v>1955</v>
      </c>
      <c r="AO96" s="32" t="s">
        <v>1955</v>
      </c>
      <c r="AP96" s="32" t="s">
        <v>1955</v>
      </c>
      <c r="AQ96" s="32" t="s">
        <v>1955</v>
      </c>
      <c r="AR96" s="32" t="s">
        <v>1955</v>
      </c>
      <c r="AS96" s="32" t="s">
        <v>1955</v>
      </c>
      <c r="AT96" s="32" t="e">
        <f t="shared" si="36"/>
        <v>#VALUE!</v>
      </c>
      <c r="AU96" s="32" t="e">
        <f t="shared" si="37"/>
        <v>#VALUE!</v>
      </c>
      <c r="AV96" s="64" t="e">
        <f t="shared" si="38"/>
        <v>#VALUE!</v>
      </c>
      <c r="AW96" s="32" t="s">
        <v>1955</v>
      </c>
      <c r="AX96" s="32" t="s">
        <v>1955</v>
      </c>
      <c r="AY96" s="32" t="e">
        <f t="shared" si="39"/>
        <v>#VALUE!</v>
      </c>
      <c r="AZ96" s="64" t="e">
        <f t="shared" si="40"/>
        <v>#VALUE!</v>
      </c>
      <c r="BA96" s="64" t="e">
        <f t="shared" si="41"/>
        <v>#VALUE!</v>
      </c>
      <c r="BB96" s="32" t="s">
        <v>1955</v>
      </c>
      <c r="BC96" s="32" t="s">
        <v>1955</v>
      </c>
      <c r="BD96" s="32" t="e">
        <f t="shared" si="42"/>
        <v>#VALUE!</v>
      </c>
      <c r="BE96" s="64" t="e">
        <f t="shared" si="43"/>
        <v>#VALUE!</v>
      </c>
      <c r="BF96" s="64" t="e">
        <f t="shared" si="44"/>
        <v>#VALUE!</v>
      </c>
      <c r="BG96" s="32" t="s">
        <v>1955</v>
      </c>
      <c r="BH96" s="25">
        <v>1</v>
      </c>
    </row>
    <row r="97" spans="1:60" s="110" customFormat="1" ht="16">
      <c r="A97" s="17" t="s">
        <v>422</v>
      </c>
      <c r="B97" s="17">
        <v>5085718</v>
      </c>
      <c r="C97" s="17" t="s">
        <v>423</v>
      </c>
      <c r="D97" s="40">
        <v>44191</v>
      </c>
      <c r="E97" s="40">
        <v>44190</v>
      </c>
      <c r="F97" s="40">
        <v>44191</v>
      </c>
      <c r="G97" s="17" t="s">
        <v>39</v>
      </c>
      <c r="H97" s="75">
        <v>44890</v>
      </c>
      <c r="I97" s="75">
        <v>45071</v>
      </c>
      <c r="J97" s="40">
        <v>44977</v>
      </c>
      <c r="K97" s="40">
        <v>44915</v>
      </c>
      <c r="L97" s="40" t="str">
        <f t="shared" si="30"/>
        <v>1Y11M24D</v>
      </c>
      <c r="M97" s="40" t="str">
        <f t="shared" si="31"/>
        <v>1Y11M25D</v>
      </c>
      <c r="N97" s="21">
        <f t="shared" si="32"/>
        <v>1.9835616438356165</v>
      </c>
      <c r="O97" s="17">
        <v>2</v>
      </c>
      <c r="P97" s="17">
        <v>1</v>
      </c>
      <c r="Q97" s="17"/>
      <c r="R97" s="17">
        <v>2</v>
      </c>
      <c r="S97" s="17">
        <v>1</v>
      </c>
      <c r="T97" s="17">
        <v>1</v>
      </c>
      <c r="U97" s="17"/>
      <c r="V97" s="17" t="s">
        <v>2216</v>
      </c>
      <c r="W97" s="17">
        <v>1</v>
      </c>
      <c r="X97" s="17">
        <v>1</v>
      </c>
      <c r="Y97" s="17">
        <v>1</v>
      </c>
      <c r="Z97" s="17">
        <v>1</v>
      </c>
      <c r="AA97" s="17">
        <v>1</v>
      </c>
      <c r="AB97" s="17"/>
      <c r="AC97" s="17" t="s">
        <v>2223</v>
      </c>
      <c r="AD97" s="17">
        <v>1</v>
      </c>
      <c r="AE97" s="17">
        <v>1</v>
      </c>
      <c r="AF97" s="17">
        <v>1</v>
      </c>
      <c r="AG97" s="17">
        <v>1</v>
      </c>
      <c r="AH97" s="40"/>
      <c r="AI97" s="40" t="e">
        <f t="shared" si="33"/>
        <v>#NUM!</v>
      </c>
      <c r="AJ97" s="40" t="e">
        <f t="shared" si="34"/>
        <v>#NUM!</v>
      </c>
      <c r="AK97" s="21">
        <f t="shared" si="35"/>
        <v>-121.07123287671233</v>
      </c>
      <c r="AL97" s="17"/>
      <c r="AM97" s="17"/>
      <c r="AN97" s="17"/>
      <c r="AO97" s="17"/>
      <c r="AP97" s="17"/>
      <c r="AQ97" s="17"/>
      <c r="AR97" s="17"/>
      <c r="AS97" s="40"/>
      <c r="AT97" s="40" t="e">
        <f t="shared" si="36"/>
        <v>#NUM!</v>
      </c>
      <c r="AU97" s="40" t="e">
        <f t="shared" si="37"/>
        <v>#NUM!</v>
      </c>
      <c r="AV97" s="21">
        <f t="shared" si="38"/>
        <v>-121.07123287671233</v>
      </c>
      <c r="AW97" s="17"/>
      <c r="AX97" s="40"/>
      <c r="AY97" s="40" t="e">
        <f t="shared" si="39"/>
        <v>#NUM!</v>
      </c>
      <c r="AZ97" s="21" t="e">
        <f t="shared" si="40"/>
        <v>#NUM!</v>
      </c>
      <c r="BA97" s="21">
        <f t="shared" si="41"/>
        <v>-121.07123287671233</v>
      </c>
      <c r="BB97" s="17"/>
      <c r="BC97" s="40">
        <v>44915</v>
      </c>
      <c r="BD97" s="40" t="str">
        <f t="shared" si="42"/>
        <v>1Y11M24D</v>
      </c>
      <c r="BE97" s="21" t="str">
        <f t="shared" si="43"/>
        <v>1Y11M25D</v>
      </c>
      <c r="BF97" s="21">
        <f t="shared" si="44"/>
        <v>1.9835616438356165</v>
      </c>
      <c r="BG97" s="17">
        <v>1</v>
      </c>
      <c r="BH97" s="17">
        <v>0</v>
      </c>
    </row>
    <row r="98" spans="1:60" s="189" customFormat="1" ht="16">
      <c r="A98" s="99" t="s">
        <v>426</v>
      </c>
      <c r="B98" s="99">
        <v>22107919</v>
      </c>
      <c r="C98" s="99" t="s">
        <v>427</v>
      </c>
      <c r="D98" s="95">
        <v>44350</v>
      </c>
      <c r="E98" s="95">
        <v>44411</v>
      </c>
      <c r="F98" s="95">
        <v>44411</v>
      </c>
      <c r="G98" s="99" t="s">
        <v>66</v>
      </c>
      <c r="H98" s="101">
        <v>45110</v>
      </c>
      <c r="I98" s="101">
        <v>45294</v>
      </c>
      <c r="J98" s="95">
        <v>45138</v>
      </c>
      <c r="K98" s="95">
        <v>45138</v>
      </c>
      <c r="L98" s="95" t="str">
        <f t="shared" si="30"/>
        <v>2Y1M28D</v>
      </c>
      <c r="M98" s="95" t="str">
        <f t="shared" si="31"/>
        <v>1Y11M28D</v>
      </c>
      <c r="N98" s="102">
        <f t="shared" si="32"/>
        <v>1.9917808219178081</v>
      </c>
      <c r="O98" s="99">
        <v>2</v>
      </c>
      <c r="P98" s="99">
        <v>3</v>
      </c>
      <c r="Q98" s="99"/>
      <c r="R98" s="99">
        <v>2</v>
      </c>
      <c r="S98" s="99">
        <v>1</v>
      </c>
      <c r="T98" s="99">
        <v>1</v>
      </c>
      <c r="U98" s="99" t="s">
        <v>1673</v>
      </c>
      <c r="V98" s="99" t="s">
        <v>1661</v>
      </c>
      <c r="W98" s="99">
        <v>1</v>
      </c>
      <c r="X98" s="99">
        <v>1</v>
      </c>
      <c r="Y98" s="99">
        <v>1</v>
      </c>
      <c r="Z98" s="99">
        <v>1</v>
      </c>
      <c r="AA98" s="99">
        <v>1</v>
      </c>
      <c r="AB98" s="99">
        <v>1</v>
      </c>
      <c r="AC98" s="99"/>
      <c r="AD98" s="99">
        <v>1</v>
      </c>
      <c r="AE98" s="99">
        <v>1</v>
      </c>
      <c r="AF98" s="99">
        <v>1</v>
      </c>
      <c r="AG98" s="99">
        <v>1</v>
      </c>
      <c r="AH98" s="95">
        <v>45196</v>
      </c>
      <c r="AI98" s="95" t="str">
        <f t="shared" si="33"/>
        <v>2Y3M24D</v>
      </c>
      <c r="AJ98" s="95" t="str">
        <f t="shared" si="34"/>
        <v>2Y1M24D</v>
      </c>
      <c r="AK98" s="102">
        <f t="shared" si="35"/>
        <v>2.1506849315068495</v>
      </c>
      <c r="AL98" s="99">
        <v>1</v>
      </c>
      <c r="AM98" s="99">
        <v>1</v>
      </c>
      <c r="AN98" s="99">
        <v>1</v>
      </c>
      <c r="AO98" s="99"/>
      <c r="AP98" s="99">
        <v>3</v>
      </c>
      <c r="AQ98" s="99">
        <v>3</v>
      </c>
      <c r="AR98" s="99" t="s">
        <v>2547</v>
      </c>
      <c r="AS98" s="95">
        <v>45138</v>
      </c>
      <c r="AT98" s="95" t="str">
        <f t="shared" si="36"/>
        <v>2Y1M28D</v>
      </c>
      <c r="AU98" s="95" t="str">
        <f t="shared" si="37"/>
        <v>1Y11M28D</v>
      </c>
      <c r="AV98" s="102">
        <f t="shared" si="38"/>
        <v>1.9917808219178081</v>
      </c>
      <c r="AW98" s="99">
        <v>5</v>
      </c>
      <c r="AX98" s="95">
        <v>45138</v>
      </c>
      <c r="AY98" s="99" t="str">
        <f t="shared" si="39"/>
        <v>2Y1M28D</v>
      </c>
      <c r="AZ98" s="102" t="str">
        <f t="shared" si="40"/>
        <v>1Y11M28D</v>
      </c>
      <c r="BA98" s="102">
        <f t="shared" si="41"/>
        <v>1.9917808219178081</v>
      </c>
      <c r="BB98" s="99">
        <v>5</v>
      </c>
      <c r="BC98" s="95">
        <v>45138</v>
      </c>
      <c r="BD98" s="95" t="str">
        <f t="shared" si="42"/>
        <v>2Y1M28D</v>
      </c>
      <c r="BE98" s="102" t="str">
        <f t="shared" si="43"/>
        <v>1Y11M28D</v>
      </c>
      <c r="BF98" s="102">
        <f t="shared" si="44"/>
        <v>1.9917808219178081</v>
      </c>
      <c r="BG98" s="99">
        <v>2</v>
      </c>
      <c r="BH98" s="99">
        <v>1</v>
      </c>
    </row>
    <row r="99" spans="1:60" s="110" customFormat="1" ht="16">
      <c r="A99" s="17" t="s">
        <v>429</v>
      </c>
      <c r="B99" s="17">
        <v>22108733</v>
      </c>
      <c r="C99" s="17" t="s">
        <v>430</v>
      </c>
      <c r="D99" s="40">
        <v>44438</v>
      </c>
      <c r="E99" s="40">
        <v>44494</v>
      </c>
      <c r="F99" s="40">
        <v>44438</v>
      </c>
      <c r="G99" s="17">
        <v>32</v>
      </c>
      <c r="H99" s="75">
        <v>45194</v>
      </c>
      <c r="I99" s="75">
        <v>45376</v>
      </c>
      <c r="J99" s="40">
        <v>45224</v>
      </c>
      <c r="K99" s="40">
        <v>45224</v>
      </c>
      <c r="L99" s="17" t="str">
        <f t="shared" si="30"/>
        <v>2Y1M25D</v>
      </c>
      <c r="M99" s="17" t="str">
        <f t="shared" si="31"/>
        <v>2Y0M0D</v>
      </c>
      <c r="N99" s="21">
        <f t="shared" si="32"/>
        <v>2.1534246575342464</v>
      </c>
      <c r="O99" s="17">
        <v>2</v>
      </c>
      <c r="P99" s="17">
        <v>3</v>
      </c>
      <c r="Q99" s="17"/>
      <c r="R99" s="17">
        <v>2</v>
      </c>
      <c r="S99" s="17">
        <v>1</v>
      </c>
      <c r="T99" s="17"/>
      <c r="U99" s="17" t="s">
        <v>2415</v>
      </c>
      <c r="V99" s="17" t="s">
        <v>1661</v>
      </c>
      <c r="W99" s="17">
        <v>1</v>
      </c>
      <c r="X99" s="17">
        <v>1</v>
      </c>
      <c r="Y99" s="17">
        <v>1</v>
      </c>
      <c r="Z99" s="17">
        <v>1</v>
      </c>
      <c r="AA99" s="17">
        <v>1</v>
      </c>
      <c r="AB99" s="17"/>
      <c r="AC99" s="17" t="s">
        <v>2566</v>
      </c>
      <c r="AD99" s="17">
        <v>1</v>
      </c>
      <c r="AE99" s="17">
        <v>1</v>
      </c>
      <c r="AF99" s="17">
        <v>1</v>
      </c>
      <c r="AG99" s="17">
        <v>1</v>
      </c>
      <c r="AH99" s="40">
        <v>45224</v>
      </c>
      <c r="AI99" s="17" t="str">
        <f t="shared" si="33"/>
        <v>2Y1M25D</v>
      </c>
      <c r="AJ99" s="17" t="str">
        <f t="shared" si="34"/>
        <v>2Y0M0D</v>
      </c>
      <c r="AK99" s="21">
        <f t="shared" si="35"/>
        <v>2.1534246575342464</v>
      </c>
      <c r="AL99" s="17">
        <v>1</v>
      </c>
      <c r="AM99" s="17">
        <v>1</v>
      </c>
      <c r="AN99" s="17">
        <v>1</v>
      </c>
      <c r="AO99" s="17">
        <v>1</v>
      </c>
      <c r="AP99" s="17">
        <v>3</v>
      </c>
      <c r="AQ99" s="17">
        <v>3</v>
      </c>
      <c r="AR99" s="17"/>
      <c r="AS99" s="40">
        <v>45222</v>
      </c>
      <c r="AT99" s="17" t="str">
        <f t="shared" si="36"/>
        <v>2Y1M23D</v>
      </c>
      <c r="AU99" s="17" t="str">
        <f t="shared" si="37"/>
        <v>1Y11M28D</v>
      </c>
      <c r="AV99" s="21">
        <f t="shared" si="38"/>
        <v>2.1479452054794521</v>
      </c>
      <c r="AW99" s="17">
        <v>6</v>
      </c>
      <c r="AX99" s="40">
        <v>45223</v>
      </c>
      <c r="AY99" s="17" t="str">
        <f t="shared" si="39"/>
        <v>2Y1M24D</v>
      </c>
      <c r="AZ99" s="21" t="str">
        <f t="shared" si="40"/>
        <v>1Y11M29D</v>
      </c>
      <c r="BA99" s="21">
        <f t="shared" si="41"/>
        <v>2.1506849315068495</v>
      </c>
      <c r="BB99" s="17">
        <v>6</v>
      </c>
      <c r="BC99" s="17" t="s">
        <v>1955</v>
      </c>
      <c r="BD99" s="17" t="e">
        <f t="shared" si="42"/>
        <v>#VALUE!</v>
      </c>
      <c r="BE99" s="21" t="e">
        <f t="shared" si="43"/>
        <v>#VALUE!</v>
      </c>
      <c r="BF99" s="21" t="e">
        <f t="shared" si="44"/>
        <v>#VALUE!</v>
      </c>
      <c r="BG99" s="17"/>
      <c r="BH99" s="17">
        <v>1</v>
      </c>
    </row>
    <row r="100" spans="1:60" s="189" customFormat="1" ht="16">
      <c r="A100" s="99" t="s">
        <v>433</v>
      </c>
      <c r="B100" s="99">
        <v>22139029</v>
      </c>
      <c r="C100" s="99" t="s">
        <v>434</v>
      </c>
      <c r="D100" s="95">
        <v>43835</v>
      </c>
      <c r="E100" s="95">
        <v>43892</v>
      </c>
      <c r="F100" s="95">
        <v>43892</v>
      </c>
      <c r="G100" s="99" t="s">
        <v>435</v>
      </c>
      <c r="H100" s="101">
        <v>44594</v>
      </c>
      <c r="I100" s="101">
        <v>44775</v>
      </c>
      <c r="J100" s="95">
        <v>44648</v>
      </c>
      <c r="K100" s="95">
        <v>44648</v>
      </c>
      <c r="L100" s="95" t="str">
        <f t="shared" si="30"/>
        <v>2Y2M23D</v>
      </c>
      <c r="M100" s="95" t="str">
        <f t="shared" si="31"/>
        <v>2Y0M26D</v>
      </c>
      <c r="N100" s="102">
        <f t="shared" si="32"/>
        <v>2.0712328767123287</v>
      </c>
      <c r="O100" s="99">
        <v>2</v>
      </c>
      <c r="P100" s="99">
        <v>3</v>
      </c>
      <c r="Q100" s="99"/>
      <c r="R100" s="98">
        <v>2</v>
      </c>
      <c r="S100" s="99">
        <v>1</v>
      </c>
      <c r="T100" s="99">
        <v>1</v>
      </c>
      <c r="U100" s="99" t="s">
        <v>1760</v>
      </c>
      <c r="V100" s="99" t="s">
        <v>1664</v>
      </c>
      <c r="W100" s="99">
        <v>1</v>
      </c>
      <c r="X100" s="99">
        <v>1</v>
      </c>
      <c r="Y100" s="99">
        <v>1</v>
      </c>
      <c r="Z100" s="99">
        <v>1</v>
      </c>
      <c r="AA100" s="99">
        <v>1</v>
      </c>
      <c r="AB100" s="99">
        <v>1</v>
      </c>
      <c r="AC100" s="99" t="s">
        <v>1963</v>
      </c>
      <c r="AD100" s="99">
        <v>1</v>
      </c>
      <c r="AE100" s="99">
        <v>1</v>
      </c>
      <c r="AF100" s="99">
        <v>1</v>
      </c>
      <c r="AG100" s="99">
        <v>1</v>
      </c>
      <c r="AH100" s="95">
        <v>44648</v>
      </c>
      <c r="AI100" s="95" t="str">
        <f t="shared" si="33"/>
        <v>2Y2M23D</v>
      </c>
      <c r="AJ100" s="95" t="str">
        <f t="shared" si="34"/>
        <v>2Y0M26D</v>
      </c>
      <c r="AK100" s="102">
        <f t="shared" si="35"/>
        <v>2.0712328767123287</v>
      </c>
      <c r="AL100" s="99"/>
      <c r="AM100" s="264">
        <v>1</v>
      </c>
      <c r="AN100" s="99">
        <v>1</v>
      </c>
      <c r="AO100" s="99">
        <v>1</v>
      </c>
      <c r="AP100" s="99">
        <v>1</v>
      </c>
      <c r="AQ100" s="99">
        <v>3</v>
      </c>
      <c r="AR100" s="99"/>
      <c r="AS100" s="95">
        <v>44645</v>
      </c>
      <c r="AT100" s="95" t="str">
        <f t="shared" si="36"/>
        <v>2Y2M20D</v>
      </c>
      <c r="AU100" s="95" t="str">
        <f t="shared" si="37"/>
        <v>2Y0M23D</v>
      </c>
      <c r="AV100" s="102">
        <f t="shared" si="38"/>
        <v>2.0630136986301371</v>
      </c>
      <c r="AW100" s="99">
        <v>2</v>
      </c>
      <c r="AX100" s="95">
        <v>44647</v>
      </c>
      <c r="AY100" s="95" t="str">
        <f t="shared" si="39"/>
        <v>2Y2M22D</v>
      </c>
      <c r="AZ100" s="102" t="str">
        <f t="shared" si="40"/>
        <v>2Y0M25D</v>
      </c>
      <c r="BA100" s="102">
        <f t="shared" si="41"/>
        <v>2.0684931506849313</v>
      </c>
      <c r="BB100" s="99">
        <v>2</v>
      </c>
      <c r="BC100" s="95">
        <v>44648</v>
      </c>
      <c r="BD100" s="95" t="str">
        <f t="shared" si="42"/>
        <v>2Y2M23D</v>
      </c>
      <c r="BE100" s="102" t="str">
        <f t="shared" si="43"/>
        <v>2Y0M26D</v>
      </c>
      <c r="BF100" s="102">
        <f t="shared" si="44"/>
        <v>2.0712328767123287</v>
      </c>
      <c r="BG100" s="99">
        <v>1</v>
      </c>
      <c r="BH100" s="99">
        <v>1</v>
      </c>
    </row>
    <row r="101" spans="1:60" s="189" customFormat="1" ht="16">
      <c r="A101" s="99" t="s">
        <v>437</v>
      </c>
      <c r="B101" s="99">
        <v>22107875</v>
      </c>
      <c r="C101" s="99" t="s">
        <v>438</v>
      </c>
      <c r="D101" s="95">
        <v>44345</v>
      </c>
      <c r="E101" s="95">
        <v>44354</v>
      </c>
      <c r="F101" s="95">
        <v>44345</v>
      </c>
      <c r="G101" s="99" t="s">
        <v>155</v>
      </c>
      <c r="H101" s="101">
        <v>45053</v>
      </c>
      <c r="I101" s="101">
        <v>45237</v>
      </c>
      <c r="J101" s="95">
        <v>45051</v>
      </c>
      <c r="K101" s="95">
        <v>45051</v>
      </c>
      <c r="L101" s="95" t="str">
        <f t="shared" si="30"/>
        <v>1Y11M6D</v>
      </c>
      <c r="M101" s="95" t="str">
        <f t="shared" si="31"/>
        <v>1Y10M28D</v>
      </c>
      <c r="N101" s="102">
        <f t="shared" si="32"/>
        <v>1.9342465753424658</v>
      </c>
      <c r="O101" s="99">
        <v>2</v>
      </c>
      <c r="P101" s="99">
        <v>3</v>
      </c>
      <c r="Q101" s="99"/>
      <c r="R101" s="99">
        <v>2</v>
      </c>
      <c r="S101" s="99">
        <v>1</v>
      </c>
      <c r="T101" s="99">
        <v>1</v>
      </c>
      <c r="U101" s="99"/>
      <c r="V101" s="99" t="s">
        <v>1661</v>
      </c>
      <c r="W101" s="99">
        <v>1</v>
      </c>
      <c r="X101" s="99">
        <v>1</v>
      </c>
      <c r="Y101" s="99">
        <v>1</v>
      </c>
      <c r="Z101" s="99"/>
      <c r="AA101" s="99">
        <v>1</v>
      </c>
      <c r="AB101" s="99">
        <v>1</v>
      </c>
      <c r="AC101" s="99"/>
      <c r="AD101" s="99">
        <v>1</v>
      </c>
      <c r="AE101" s="99">
        <v>1</v>
      </c>
      <c r="AF101" s="99">
        <v>1</v>
      </c>
      <c r="AG101" s="99">
        <v>1</v>
      </c>
      <c r="AH101" s="95">
        <v>45050</v>
      </c>
      <c r="AI101" s="95" t="str">
        <f t="shared" si="33"/>
        <v>1Y11M5D</v>
      </c>
      <c r="AJ101" s="95" t="str">
        <f t="shared" si="34"/>
        <v>1Y10M27D</v>
      </c>
      <c r="AK101" s="102">
        <f t="shared" si="35"/>
        <v>1.9315068493150684</v>
      </c>
      <c r="AL101" s="99">
        <v>1</v>
      </c>
      <c r="AM101" s="99">
        <v>1</v>
      </c>
      <c r="AN101" s="99">
        <v>1</v>
      </c>
      <c r="AO101" s="99">
        <v>1</v>
      </c>
      <c r="AP101" s="99">
        <v>1</v>
      </c>
      <c r="AQ101" s="99">
        <v>3</v>
      </c>
      <c r="AR101" s="99"/>
      <c r="AS101" s="95">
        <v>45050</v>
      </c>
      <c r="AT101" s="95" t="str">
        <f t="shared" si="36"/>
        <v>1Y11M5D</v>
      </c>
      <c r="AU101" s="95" t="str">
        <f t="shared" si="37"/>
        <v>1Y10M27D</v>
      </c>
      <c r="AV101" s="102">
        <f t="shared" si="38"/>
        <v>1.9315068493150684</v>
      </c>
      <c r="AW101" s="99">
        <v>4</v>
      </c>
      <c r="AX101" s="95">
        <v>45050</v>
      </c>
      <c r="AY101" s="99" t="str">
        <f t="shared" si="39"/>
        <v>1Y11M5D</v>
      </c>
      <c r="AZ101" s="102" t="str">
        <f t="shared" si="40"/>
        <v>1Y10M27D</v>
      </c>
      <c r="BA101" s="102">
        <f t="shared" si="41"/>
        <v>1.9315068493150684</v>
      </c>
      <c r="BB101" s="99">
        <v>4</v>
      </c>
      <c r="BC101" s="95">
        <v>45051</v>
      </c>
      <c r="BD101" s="95" t="str">
        <f t="shared" si="42"/>
        <v>1Y11M6D</v>
      </c>
      <c r="BE101" s="102" t="str">
        <f t="shared" si="43"/>
        <v>1Y10M28D</v>
      </c>
      <c r="BF101" s="102">
        <f t="shared" si="44"/>
        <v>1.9342465753424658</v>
      </c>
      <c r="BG101" s="99"/>
      <c r="BH101" s="99">
        <v>0</v>
      </c>
    </row>
    <row r="102" spans="1:60" s="110" customFormat="1" ht="16">
      <c r="A102" s="17" t="s">
        <v>441</v>
      </c>
      <c r="B102" s="17">
        <v>22105502</v>
      </c>
      <c r="C102" s="17" t="s">
        <v>442</v>
      </c>
      <c r="D102" s="40">
        <v>44113</v>
      </c>
      <c r="E102" s="40">
        <v>44199</v>
      </c>
      <c r="F102" s="40">
        <v>44199</v>
      </c>
      <c r="G102" s="17" t="s">
        <v>443</v>
      </c>
      <c r="H102" s="75">
        <v>44898</v>
      </c>
      <c r="I102" s="75">
        <v>45080</v>
      </c>
      <c r="J102" s="40"/>
      <c r="K102" s="40" t="s">
        <v>1720</v>
      </c>
      <c r="L102" s="40" t="e">
        <f t="shared" si="30"/>
        <v>#VALUE!</v>
      </c>
      <c r="M102" s="40" t="e">
        <f t="shared" si="31"/>
        <v>#VALUE!</v>
      </c>
      <c r="N102" s="21" t="e">
        <f t="shared" si="32"/>
        <v>#VALUE!</v>
      </c>
      <c r="O102" s="17"/>
      <c r="P102" s="17"/>
      <c r="Q102" s="17"/>
      <c r="R102" s="17"/>
      <c r="S102" s="17"/>
      <c r="T102" s="17"/>
      <c r="U102" s="17"/>
      <c r="V102" s="17"/>
      <c r="W102" s="17"/>
      <c r="X102" s="17"/>
      <c r="Y102" s="17"/>
      <c r="Z102" s="17"/>
      <c r="AA102" s="17"/>
      <c r="AB102" s="17"/>
      <c r="AC102" s="17"/>
      <c r="AD102" s="17"/>
      <c r="AE102" s="17"/>
      <c r="AF102" s="17"/>
      <c r="AG102" s="17"/>
      <c r="AH102" s="40" t="s">
        <v>1720</v>
      </c>
      <c r="AI102" s="40" t="e">
        <f t="shared" si="33"/>
        <v>#VALUE!</v>
      </c>
      <c r="AJ102" s="40" t="e">
        <f t="shared" si="34"/>
        <v>#VALUE!</v>
      </c>
      <c r="AK102" s="21" t="e">
        <f t="shared" si="35"/>
        <v>#VALUE!</v>
      </c>
      <c r="AL102" s="17"/>
      <c r="AM102" s="17"/>
      <c r="AN102" s="17"/>
      <c r="AO102" s="17"/>
      <c r="AP102" s="17"/>
      <c r="AQ102" s="17"/>
      <c r="AR102" s="17"/>
      <c r="AS102" s="40">
        <v>44955</v>
      </c>
      <c r="AT102" s="40" t="str">
        <f t="shared" si="36"/>
        <v>2Y3M20D</v>
      </c>
      <c r="AU102" s="40" t="str">
        <f t="shared" si="37"/>
        <v>2Y0M26D</v>
      </c>
      <c r="AV102" s="21">
        <f t="shared" si="38"/>
        <v>2.0712328767123287</v>
      </c>
      <c r="AW102" s="17">
        <v>3</v>
      </c>
      <c r="AX102" s="40">
        <v>44955</v>
      </c>
      <c r="AY102" s="40" t="str">
        <f t="shared" si="39"/>
        <v>2Y3M20D</v>
      </c>
      <c r="AZ102" s="21" t="str">
        <f t="shared" si="40"/>
        <v>2Y0M26D</v>
      </c>
      <c r="BA102" s="21">
        <f t="shared" si="41"/>
        <v>2.0712328767123287</v>
      </c>
      <c r="BB102" s="17">
        <v>3</v>
      </c>
      <c r="BC102" s="40">
        <v>44957</v>
      </c>
      <c r="BD102" s="40" t="str">
        <f t="shared" si="42"/>
        <v>2Y3M22D</v>
      </c>
      <c r="BE102" s="21" t="str">
        <f t="shared" si="43"/>
        <v>2Y0M28D</v>
      </c>
      <c r="BF102" s="21">
        <f t="shared" si="44"/>
        <v>2.0767123287671234</v>
      </c>
      <c r="BG102" s="17">
        <v>1</v>
      </c>
      <c r="BH102" s="17">
        <v>1</v>
      </c>
    </row>
    <row r="103" spans="1:60" s="189" customFormat="1" ht="16">
      <c r="A103" s="99" t="s">
        <v>445</v>
      </c>
      <c r="B103" s="99">
        <v>22103078</v>
      </c>
      <c r="C103" s="99" t="s">
        <v>446</v>
      </c>
      <c r="D103" s="95">
        <v>43807</v>
      </c>
      <c r="E103" s="95">
        <v>43905</v>
      </c>
      <c r="F103" s="95">
        <v>43905</v>
      </c>
      <c r="G103" s="99">
        <v>26</v>
      </c>
      <c r="H103" s="101">
        <v>44607</v>
      </c>
      <c r="I103" s="101">
        <v>44788</v>
      </c>
      <c r="J103" s="95">
        <v>44643</v>
      </c>
      <c r="K103" s="95">
        <v>44643</v>
      </c>
      <c r="L103" s="95" t="str">
        <f t="shared" si="30"/>
        <v>2Y3M15D</v>
      </c>
      <c r="M103" s="95" t="str">
        <f t="shared" si="31"/>
        <v>2Y0M8D</v>
      </c>
      <c r="N103" s="102">
        <f t="shared" si="32"/>
        <v>2.021917808219178</v>
      </c>
      <c r="O103" s="99">
        <v>2</v>
      </c>
      <c r="P103" s="99">
        <v>2</v>
      </c>
      <c r="Q103" s="99" t="s">
        <v>1748</v>
      </c>
      <c r="R103" s="98">
        <v>2</v>
      </c>
      <c r="S103" s="99">
        <v>1</v>
      </c>
      <c r="T103" s="99">
        <v>1</v>
      </c>
      <c r="U103" s="99" t="s">
        <v>1698</v>
      </c>
      <c r="V103" s="99" t="s">
        <v>1664</v>
      </c>
      <c r="W103" s="99">
        <v>1</v>
      </c>
      <c r="X103" s="99">
        <v>1</v>
      </c>
      <c r="Y103" s="99">
        <v>1</v>
      </c>
      <c r="Z103" s="99">
        <v>1</v>
      </c>
      <c r="AA103" s="99">
        <v>1</v>
      </c>
      <c r="AB103" s="99">
        <v>1</v>
      </c>
      <c r="AC103" s="99" t="s">
        <v>1660</v>
      </c>
      <c r="AD103" s="99">
        <v>1</v>
      </c>
      <c r="AE103" s="99">
        <v>1</v>
      </c>
      <c r="AF103" s="99">
        <v>1</v>
      </c>
      <c r="AG103" s="99">
        <v>1</v>
      </c>
      <c r="AH103" s="95">
        <v>44643</v>
      </c>
      <c r="AI103" s="95" t="str">
        <f t="shared" si="33"/>
        <v>2Y3M15D</v>
      </c>
      <c r="AJ103" s="95" t="str">
        <f t="shared" si="34"/>
        <v>2Y0M8D</v>
      </c>
      <c r="AK103" s="102">
        <f t="shared" si="35"/>
        <v>2.021917808219178</v>
      </c>
      <c r="AL103" s="99"/>
      <c r="AM103" s="264">
        <v>1</v>
      </c>
      <c r="AN103" s="99">
        <v>1</v>
      </c>
      <c r="AO103" s="99">
        <v>1</v>
      </c>
      <c r="AP103" s="99">
        <v>1</v>
      </c>
      <c r="AQ103" s="99">
        <v>1</v>
      </c>
      <c r="AR103" s="99" t="s">
        <v>1658</v>
      </c>
      <c r="AS103" s="95">
        <v>44639</v>
      </c>
      <c r="AT103" s="95" t="str">
        <f t="shared" si="36"/>
        <v>2Y3M11D</v>
      </c>
      <c r="AU103" s="95" t="str">
        <f t="shared" si="37"/>
        <v>2Y0M4D</v>
      </c>
      <c r="AV103" s="102">
        <f t="shared" si="38"/>
        <v>2.010958904109589</v>
      </c>
      <c r="AW103" s="99">
        <v>2</v>
      </c>
      <c r="AX103" s="95">
        <v>44642</v>
      </c>
      <c r="AY103" s="95" t="str">
        <f t="shared" si="39"/>
        <v>2Y3M14D</v>
      </c>
      <c r="AZ103" s="102" t="str">
        <f t="shared" si="40"/>
        <v>2Y0M7D</v>
      </c>
      <c r="BA103" s="102">
        <f t="shared" si="41"/>
        <v>2.0191780821917806</v>
      </c>
      <c r="BB103" s="99">
        <v>2</v>
      </c>
      <c r="BC103" s="95">
        <v>44643</v>
      </c>
      <c r="BD103" s="95" t="str">
        <f t="shared" si="42"/>
        <v>2Y3M15D</v>
      </c>
      <c r="BE103" s="102" t="str">
        <f t="shared" si="43"/>
        <v>2Y0M8D</v>
      </c>
      <c r="BF103" s="102">
        <f t="shared" si="44"/>
        <v>2.021917808219178</v>
      </c>
      <c r="BG103" s="99">
        <v>1</v>
      </c>
      <c r="BH103" s="99">
        <v>1</v>
      </c>
    </row>
    <row r="104" spans="1:60" s="193" customFormat="1" ht="16">
      <c r="A104" s="25" t="s">
        <v>449</v>
      </c>
      <c r="B104" s="25">
        <v>22105498</v>
      </c>
      <c r="C104" s="25" t="s">
        <v>450</v>
      </c>
      <c r="D104" s="32">
        <v>44113</v>
      </c>
      <c r="E104" s="32">
        <v>44118</v>
      </c>
      <c r="F104" s="32">
        <v>44113</v>
      </c>
      <c r="G104" s="25" t="s">
        <v>452</v>
      </c>
      <c r="H104" s="86">
        <v>45183</v>
      </c>
      <c r="I104" s="86">
        <v>45365</v>
      </c>
      <c r="J104" s="32" t="s">
        <v>1955</v>
      </c>
      <c r="K104" s="32" t="s">
        <v>1955</v>
      </c>
      <c r="L104" s="32" t="e">
        <f t="shared" si="30"/>
        <v>#VALUE!</v>
      </c>
      <c r="M104" s="32" t="e">
        <f t="shared" si="31"/>
        <v>#VALUE!</v>
      </c>
      <c r="N104" s="64" t="e">
        <f t="shared" si="32"/>
        <v>#VALUE!</v>
      </c>
      <c r="O104" s="32"/>
      <c r="P104" s="32" t="s">
        <v>1955</v>
      </c>
      <c r="Q104" s="32" t="s">
        <v>1955</v>
      </c>
      <c r="R104" s="32"/>
      <c r="S104" s="32" t="s">
        <v>1955</v>
      </c>
      <c r="T104" s="32" t="s">
        <v>1955</v>
      </c>
      <c r="U104" s="32" t="s">
        <v>1955</v>
      </c>
      <c r="V104" s="32" t="s">
        <v>1955</v>
      </c>
      <c r="W104" s="32"/>
      <c r="X104" s="32" t="s">
        <v>1955</v>
      </c>
      <c r="Y104" s="32" t="s">
        <v>1955</v>
      </c>
      <c r="Z104" s="32" t="s">
        <v>1955</v>
      </c>
      <c r="AA104" s="32" t="s">
        <v>1955</v>
      </c>
      <c r="AB104" s="32" t="s">
        <v>1955</v>
      </c>
      <c r="AC104" s="32" t="s">
        <v>1955</v>
      </c>
      <c r="AD104" s="32"/>
      <c r="AE104" s="32" t="s">
        <v>1955</v>
      </c>
      <c r="AF104" s="32"/>
      <c r="AG104" s="32" t="s">
        <v>1955</v>
      </c>
      <c r="AH104" s="32" t="s">
        <v>1955</v>
      </c>
      <c r="AI104" s="32" t="e">
        <f t="shared" si="33"/>
        <v>#VALUE!</v>
      </c>
      <c r="AJ104" s="32" t="e">
        <f t="shared" si="34"/>
        <v>#VALUE!</v>
      </c>
      <c r="AK104" s="64" t="e">
        <f t="shared" si="35"/>
        <v>#VALUE!</v>
      </c>
      <c r="AL104" s="32" t="s">
        <v>1955</v>
      </c>
      <c r="AM104" s="32" t="s">
        <v>1955</v>
      </c>
      <c r="AN104" s="32" t="s">
        <v>1955</v>
      </c>
      <c r="AO104" s="32" t="s">
        <v>1955</v>
      </c>
      <c r="AP104" s="32" t="s">
        <v>1955</v>
      </c>
      <c r="AQ104" s="32" t="s">
        <v>1955</v>
      </c>
      <c r="AR104" s="32" t="s">
        <v>1955</v>
      </c>
      <c r="AS104" s="32" t="s">
        <v>1955</v>
      </c>
      <c r="AT104" s="32" t="e">
        <f t="shared" si="36"/>
        <v>#VALUE!</v>
      </c>
      <c r="AU104" s="32" t="e">
        <f t="shared" si="37"/>
        <v>#VALUE!</v>
      </c>
      <c r="AV104" s="64" t="e">
        <f t="shared" si="38"/>
        <v>#VALUE!</v>
      </c>
      <c r="AW104" s="32" t="s">
        <v>1955</v>
      </c>
      <c r="AX104" s="32" t="s">
        <v>1955</v>
      </c>
      <c r="AY104" s="32" t="e">
        <f t="shared" si="39"/>
        <v>#VALUE!</v>
      </c>
      <c r="AZ104" s="64" t="e">
        <f t="shared" si="40"/>
        <v>#VALUE!</v>
      </c>
      <c r="BA104" s="64" t="e">
        <f t="shared" si="41"/>
        <v>#VALUE!</v>
      </c>
      <c r="BB104" s="32" t="s">
        <v>1955</v>
      </c>
      <c r="BC104" s="32" t="s">
        <v>1955</v>
      </c>
      <c r="BD104" s="32" t="e">
        <f t="shared" si="42"/>
        <v>#VALUE!</v>
      </c>
      <c r="BE104" s="64" t="e">
        <f t="shared" si="43"/>
        <v>#VALUE!</v>
      </c>
      <c r="BF104" s="64" t="e">
        <f t="shared" si="44"/>
        <v>#VALUE!</v>
      </c>
      <c r="BG104" s="32" t="s">
        <v>1955</v>
      </c>
      <c r="BH104" s="25">
        <v>0</v>
      </c>
    </row>
    <row r="105" spans="1:60" s="193" customFormat="1" ht="16">
      <c r="A105" s="25" t="s">
        <v>454</v>
      </c>
      <c r="B105" s="25">
        <v>22107550</v>
      </c>
      <c r="C105" s="25" t="s">
        <v>455</v>
      </c>
      <c r="D105" s="32">
        <v>44310</v>
      </c>
      <c r="E105" s="32">
        <v>44420</v>
      </c>
      <c r="F105" s="32">
        <v>44420</v>
      </c>
      <c r="G105" s="25" t="s">
        <v>314</v>
      </c>
      <c r="H105" s="86">
        <v>45119</v>
      </c>
      <c r="I105" s="86">
        <v>45303</v>
      </c>
      <c r="J105" s="25"/>
      <c r="K105" s="25"/>
      <c r="L105" s="25" t="e">
        <f t="shared" si="30"/>
        <v>#NUM!</v>
      </c>
      <c r="M105" s="25" t="e">
        <f t="shared" si="31"/>
        <v>#NUM!</v>
      </c>
      <c r="N105" s="64">
        <f t="shared" si="32"/>
        <v>-121.6986301369863</v>
      </c>
      <c r="O105" s="25"/>
      <c r="P105" s="25"/>
      <c r="Q105" s="25"/>
      <c r="R105" s="25"/>
      <c r="S105" s="25"/>
      <c r="T105" s="25"/>
      <c r="U105" s="25"/>
      <c r="V105" s="25"/>
      <c r="W105" s="25"/>
      <c r="X105" s="25"/>
      <c r="Y105" s="25"/>
      <c r="Z105" s="25"/>
      <c r="AA105" s="25"/>
      <c r="AB105" s="25"/>
      <c r="AC105" s="25"/>
      <c r="AD105" s="25"/>
      <c r="AE105" s="25"/>
      <c r="AF105" s="25"/>
      <c r="AG105" s="25"/>
      <c r="AH105" s="25"/>
      <c r="AI105" s="25" t="e">
        <f t="shared" si="33"/>
        <v>#NUM!</v>
      </c>
      <c r="AJ105" s="25" t="e">
        <f t="shared" si="34"/>
        <v>#NUM!</v>
      </c>
      <c r="AK105" s="64">
        <f t="shared" si="35"/>
        <v>-121.6986301369863</v>
      </c>
      <c r="AL105" s="25"/>
      <c r="AM105" s="25"/>
      <c r="AN105" s="25"/>
      <c r="AO105" s="25"/>
      <c r="AP105" s="25"/>
      <c r="AQ105" s="25"/>
      <c r="AR105" s="25"/>
      <c r="AS105" s="25"/>
      <c r="AT105" s="25" t="e">
        <f t="shared" si="36"/>
        <v>#NUM!</v>
      </c>
      <c r="AU105" s="25" t="e">
        <f t="shared" si="37"/>
        <v>#NUM!</v>
      </c>
      <c r="AV105" s="64">
        <f t="shared" si="38"/>
        <v>-121.6986301369863</v>
      </c>
      <c r="AW105" s="25"/>
      <c r="AX105" s="25"/>
      <c r="AY105" s="25" t="e">
        <f t="shared" si="39"/>
        <v>#NUM!</v>
      </c>
      <c r="AZ105" s="64" t="e">
        <f t="shared" si="40"/>
        <v>#NUM!</v>
      </c>
      <c r="BA105" s="64">
        <f t="shared" si="41"/>
        <v>-121.6986301369863</v>
      </c>
      <c r="BB105" s="25"/>
      <c r="BC105" s="25"/>
      <c r="BD105" s="25" t="e">
        <f t="shared" si="42"/>
        <v>#NUM!</v>
      </c>
      <c r="BE105" s="64" t="e">
        <f t="shared" si="43"/>
        <v>#NUM!</v>
      </c>
      <c r="BF105" s="64">
        <f t="shared" si="44"/>
        <v>-121.6986301369863</v>
      </c>
      <c r="BG105" s="25"/>
      <c r="BH105" s="25">
        <v>1</v>
      </c>
    </row>
    <row r="106" spans="1:60" s="110" customFormat="1" ht="16">
      <c r="A106" s="17" t="s">
        <v>458</v>
      </c>
      <c r="B106" s="17">
        <v>22107191</v>
      </c>
      <c r="C106" s="17" t="s">
        <v>459</v>
      </c>
      <c r="D106" s="40">
        <v>44273</v>
      </c>
      <c r="E106" s="40">
        <v>44361</v>
      </c>
      <c r="F106" s="40">
        <v>44361</v>
      </c>
      <c r="G106" s="17" t="s">
        <v>461</v>
      </c>
      <c r="H106" s="75">
        <v>45060</v>
      </c>
      <c r="I106" s="75">
        <v>45244</v>
      </c>
      <c r="J106" s="40"/>
      <c r="K106" s="40"/>
      <c r="L106" s="40" t="e">
        <f t="shared" si="30"/>
        <v>#NUM!</v>
      </c>
      <c r="M106" s="40" t="e">
        <f t="shared" si="31"/>
        <v>#NUM!</v>
      </c>
      <c r="N106" s="21">
        <f t="shared" si="32"/>
        <v>-121.53698630136986</v>
      </c>
      <c r="O106" s="17"/>
      <c r="P106" s="17"/>
      <c r="Q106" s="17"/>
      <c r="R106" s="17"/>
      <c r="S106" s="17"/>
      <c r="T106" s="17"/>
      <c r="U106" s="17"/>
      <c r="V106" s="17"/>
      <c r="W106" s="17"/>
      <c r="X106" s="17"/>
      <c r="Y106" s="17"/>
      <c r="Z106" s="17"/>
      <c r="AA106" s="17"/>
      <c r="AB106" s="17"/>
      <c r="AC106" s="17"/>
      <c r="AD106" s="17"/>
      <c r="AE106" s="17"/>
      <c r="AF106" s="17"/>
      <c r="AG106" s="17"/>
      <c r="AH106" s="40">
        <v>45086</v>
      </c>
      <c r="AI106" s="40" t="str">
        <f t="shared" si="33"/>
        <v>2Y2M22D</v>
      </c>
      <c r="AJ106" s="40" t="str">
        <f t="shared" si="34"/>
        <v>1Y11M26D</v>
      </c>
      <c r="AK106" s="21">
        <f t="shared" si="35"/>
        <v>1.9863013698630136</v>
      </c>
      <c r="AL106" s="17">
        <v>1</v>
      </c>
      <c r="AM106" s="17">
        <v>1</v>
      </c>
      <c r="AN106" s="17">
        <v>1</v>
      </c>
      <c r="AO106" s="17">
        <v>1</v>
      </c>
      <c r="AP106" s="17">
        <v>2</v>
      </c>
      <c r="AQ106" s="17">
        <v>3</v>
      </c>
      <c r="AR106" s="17"/>
      <c r="AS106" s="40">
        <v>45085</v>
      </c>
      <c r="AT106" s="40" t="str">
        <f t="shared" si="36"/>
        <v>2Y2M21D</v>
      </c>
      <c r="AU106" s="40" t="str">
        <f t="shared" si="37"/>
        <v>1Y11M25D</v>
      </c>
      <c r="AV106" s="21">
        <f t="shared" si="38"/>
        <v>1.9835616438356165</v>
      </c>
      <c r="AW106" s="17">
        <v>4</v>
      </c>
      <c r="AX106" s="40"/>
      <c r="AY106" s="40" t="e">
        <f t="shared" si="39"/>
        <v>#NUM!</v>
      </c>
      <c r="AZ106" s="21" t="e">
        <f t="shared" si="40"/>
        <v>#NUM!</v>
      </c>
      <c r="BA106" s="21">
        <f t="shared" si="41"/>
        <v>-121.53698630136986</v>
      </c>
      <c r="BB106" s="17"/>
      <c r="BC106" s="40">
        <v>45086</v>
      </c>
      <c r="BD106" s="40" t="str">
        <f t="shared" si="42"/>
        <v>2Y2M22D</v>
      </c>
      <c r="BE106" s="21" t="str">
        <f t="shared" si="43"/>
        <v>1Y11M26D</v>
      </c>
      <c r="BF106" s="21">
        <f t="shared" si="44"/>
        <v>1.9863013698630136</v>
      </c>
      <c r="BG106" s="17">
        <v>2</v>
      </c>
      <c r="BH106" s="17">
        <v>1</v>
      </c>
    </row>
    <row r="107" spans="1:60" s="110" customFormat="1" ht="16">
      <c r="A107" s="17" t="s">
        <v>463</v>
      </c>
      <c r="B107" s="17">
        <v>22107192</v>
      </c>
      <c r="C107" s="17" t="s">
        <v>464</v>
      </c>
      <c r="D107" s="40">
        <v>44273</v>
      </c>
      <c r="E107" s="40">
        <v>44361</v>
      </c>
      <c r="F107" s="40">
        <v>44361</v>
      </c>
      <c r="G107" s="17" t="s">
        <v>461</v>
      </c>
      <c r="H107" s="75">
        <v>45060</v>
      </c>
      <c r="I107" s="75">
        <v>45244</v>
      </c>
      <c r="J107" s="40"/>
      <c r="K107" s="40"/>
      <c r="L107" s="40" t="e">
        <f t="shared" si="30"/>
        <v>#NUM!</v>
      </c>
      <c r="M107" s="40" t="e">
        <f t="shared" si="31"/>
        <v>#NUM!</v>
      </c>
      <c r="N107" s="21">
        <f t="shared" si="32"/>
        <v>-121.53698630136986</v>
      </c>
      <c r="O107" s="17"/>
      <c r="P107" s="17"/>
      <c r="Q107" s="17"/>
      <c r="R107" s="17"/>
      <c r="S107" s="17"/>
      <c r="T107" s="17"/>
      <c r="U107" s="17"/>
      <c r="V107" s="17"/>
      <c r="W107" s="17"/>
      <c r="X107" s="17"/>
      <c r="Y107" s="17"/>
      <c r="Z107" s="17"/>
      <c r="AA107" s="17"/>
      <c r="AB107" s="17"/>
      <c r="AC107" s="17"/>
      <c r="AD107" s="17"/>
      <c r="AE107" s="17"/>
      <c r="AF107" s="17"/>
      <c r="AG107" s="17"/>
      <c r="AH107" s="40">
        <v>45107</v>
      </c>
      <c r="AI107" s="40" t="str">
        <f t="shared" si="33"/>
        <v>2Y3M12D</v>
      </c>
      <c r="AJ107" s="40" t="str">
        <f t="shared" si="34"/>
        <v>2Y0M16D</v>
      </c>
      <c r="AK107" s="21">
        <f t="shared" si="35"/>
        <v>2.043835616438356</v>
      </c>
      <c r="AL107" s="17">
        <v>1</v>
      </c>
      <c r="AM107" s="17">
        <v>1</v>
      </c>
      <c r="AN107" s="17">
        <v>1</v>
      </c>
      <c r="AO107" s="17">
        <v>1</v>
      </c>
      <c r="AP107" s="17">
        <v>2</v>
      </c>
      <c r="AQ107" s="17">
        <v>3</v>
      </c>
      <c r="AR107" s="17"/>
      <c r="AS107" s="40">
        <v>45082</v>
      </c>
      <c r="AT107" s="40" t="str">
        <f t="shared" si="36"/>
        <v>2Y2M18D</v>
      </c>
      <c r="AU107" s="40" t="str">
        <f t="shared" si="37"/>
        <v>1Y11M22D</v>
      </c>
      <c r="AV107" s="21">
        <f t="shared" si="38"/>
        <v>1.9753424657534246</v>
      </c>
      <c r="AW107" s="17">
        <v>4</v>
      </c>
      <c r="AX107" s="40"/>
      <c r="AY107" s="40" t="e">
        <f t="shared" si="39"/>
        <v>#NUM!</v>
      </c>
      <c r="AZ107" s="21" t="e">
        <f t="shared" si="40"/>
        <v>#NUM!</v>
      </c>
      <c r="BA107" s="21">
        <f t="shared" si="41"/>
        <v>-121.53698630136986</v>
      </c>
      <c r="BB107" s="17"/>
      <c r="BC107" s="40">
        <v>45086</v>
      </c>
      <c r="BD107" s="40" t="str">
        <f t="shared" si="42"/>
        <v>2Y2M22D</v>
      </c>
      <c r="BE107" s="21" t="str">
        <f t="shared" si="43"/>
        <v>1Y11M26D</v>
      </c>
      <c r="BF107" s="21">
        <f t="shared" si="44"/>
        <v>1.9863013698630136</v>
      </c>
      <c r="BG107" s="17">
        <v>2</v>
      </c>
      <c r="BH107" s="17">
        <v>1</v>
      </c>
    </row>
    <row r="108" spans="1:60" s="193" customFormat="1" ht="16">
      <c r="A108" s="25" t="s">
        <v>466</v>
      </c>
      <c r="B108" s="25">
        <v>22108569</v>
      </c>
      <c r="C108" s="25" t="s">
        <v>467</v>
      </c>
      <c r="D108" s="32">
        <v>44418</v>
      </c>
      <c r="E108" s="32">
        <v>44418</v>
      </c>
      <c r="F108" s="32">
        <v>44418</v>
      </c>
      <c r="G108" s="25">
        <v>40</v>
      </c>
      <c r="H108" s="86">
        <v>45117</v>
      </c>
      <c r="I108" s="86">
        <v>45301</v>
      </c>
      <c r="J108" s="25"/>
      <c r="K108" s="25"/>
      <c r="L108" s="25" t="e">
        <f t="shared" si="30"/>
        <v>#NUM!</v>
      </c>
      <c r="M108" s="25" t="e">
        <f t="shared" si="31"/>
        <v>#NUM!</v>
      </c>
      <c r="N108" s="64">
        <f t="shared" si="32"/>
        <v>-121.69315068493151</v>
      </c>
      <c r="O108" s="25"/>
      <c r="P108" s="25"/>
      <c r="Q108" s="25"/>
      <c r="R108" s="25"/>
      <c r="S108" s="25"/>
      <c r="T108" s="25"/>
      <c r="U108" s="25"/>
      <c r="V108" s="25"/>
      <c r="W108" s="25"/>
      <c r="X108" s="25"/>
      <c r="Y108" s="25"/>
      <c r="Z108" s="25"/>
      <c r="AA108" s="25"/>
      <c r="AB108" s="25"/>
      <c r="AC108" s="25"/>
      <c r="AD108" s="25"/>
      <c r="AE108" s="25"/>
      <c r="AF108" s="25"/>
      <c r="AG108" s="25"/>
      <c r="AH108" s="25"/>
      <c r="AI108" s="25" t="e">
        <f t="shared" si="33"/>
        <v>#NUM!</v>
      </c>
      <c r="AJ108" s="25" t="e">
        <f t="shared" si="34"/>
        <v>#NUM!</v>
      </c>
      <c r="AK108" s="64">
        <f t="shared" si="35"/>
        <v>-121.69315068493151</v>
      </c>
      <c r="AL108" s="25"/>
      <c r="AM108" s="25"/>
      <c r="AN108" s="25"/>
      <c r="AO108" s="25"/>
      <c r="AP108" s="25"/>
      <c r="AQ108" s="25"/>
      <c r="AR108" s="25"/>
      <c r="AS108" s="25"/>
      <c r="AT108" s="25" t="e">
        <f t="shared" si="36"/>
        <v>#NUM!</v>
      </c>
      <c r="AU108" s="25" t="e">
        <f t="shared" si="37"/>
        <v>#NUM!</v>
      </c>
      <c r="AV108" s="64">
        <f t="shared" si="38"/>
        <v>-121.69315068493151</v>
      </c>
      <c r="AW108" s="25"/>
      <c r="AX108" s="25"/>
      <c r="AY108" s="25" t="e">
        <f t="shared" si="39"/>
        <v>#NUM!</v>
      </c>
      <c r="AZ108" s="64" t="e">
        <f t="shared" si="40"/>
        <v>#NUM!</v>
      </c>
      <c r="BA108" s="64">
        <f t="shared" si="41"/>
        <v>-121.69315068493151</v>
      </c>
      <c r="BB108" s="25"/>
      <c r="BC108" s="25"/>
      <c r="BD108" s="25" t="e">
        <f t="shared" si="42"/>
        <v>#NUM!</v>
      </c>
      <c r="BE108" s="64" t="e">
        <f t="shared" si="43"/>
        <v>#NUM!</v>
      </c>
      <c r="BF108" s="64">
        <f t="shared" si="44"/>
        <v>-121.69315068493151</v>
      </c>
      <c r="BG108" s="25"/>
      <c r="BH108" s="25">
        <v>1</v>
      </c>
    </row>
    <row r="109" spans="1:60" s="189" customFormat="1" ht="16">
      <c r="A109" s="99" t="s">
        <v>470</v>
      </c>
      <c r="B109" s="99">
        <v>22103283</v>
      </c>
      <c r="C109" s="99" t="s">
        <v>471</v>
      </c>
      <c r="D109" s="95">
        <v>43888</v>
      </c>
      <c r="E109" s="95">
        <v>43949</v>
      </c>
      <c r="F109" s="95">
        <v>43949</v>
      </c>
      <c r="G109" s="99" t="s">
        <v>66</v>
      </c>
      <c r="H109" s="101">
        <v>44648</v>
      </c>
      <c r="I109" s="101">
        <v>44832</v>
      </c>
      <c r="J109" s="95">
        <v>44694</v>
      </c>
      <c r="K109" s="95">
        <v>44694</v>
      </c>
      <c r="L109" s="95" t="str">
        <f t="shared" si="30"/>
        <v>2Y2M16D</v>
      </c>
      <c r="M109" s="95" t="str">
        <f t="shared" si="31"/>
        <v>2Y0M15D</v>
      </c>
      <c r="N109" s="102">
        <f t="shared" si="32"/>
        <v>2.0410958904109591</v>
      </c>
      <c r="O109" s="99" t="s">
        <v>2534</v>
      </c>
      <c r="P109" s="99">
        <v>3</v>
      </c>
      <c r="Q109" s="99"/>
      <c r="R109" s="98">
        <v>2</v>
      </c>
      <c r="S109" s="99">
        <v>1</v>
      </c>
      <c r="T109" s="99">
        <v>1</v>
      </c>
      <c r="U109" s="99" t="s">
        <v>1689</v>
      </c>
      <c r="V109" s="99" t="s">
        <v>1661</v>
      </c>
      <c r="W109" s="99">
        <v>1</v>
      </c>
      <c r="X109" s="99">
        <v>1</v>
      </c>
      <c r="Y109" s="99">
        <v>1</v>
      </c>
      <c r="Z109" s="99">
        <v>1</v>
      </c>
      <c r="AA109" s="99">
        <v>1</v>
      </c>
      <c r="AB109" s="99">
        <v>1</v>
      </c>
      <c r="AC109" s="99" t="s">
        <v>1689</v>
      </c>
      <c r="AD109" s="99">
        <v>1</v>
      </c>
      <c r="AE109" s="99">
        <v>1</v>
      </c>
      <c r="AF109" s="99">
        <v>1</v>
      </c>
      <c r="AG109" s="99">
        <v>1</v>
      </c>
      <c r="AH109" s="95">
        <v>44697</v>
      </c>
      <c r="AI109" s="95" t="str">
        <f t="shared" si="33"/>
        <v>2Y2M19D</v>
      </c>
      <c r="AJ109" s="95" t="str">
        <f t="shared" si="34"/>
        <v>2Y0M18D</v>
      </c>
      <c r="AK109" s="102">
        <f t="shared" si="35"/>
        <v>2.0493150684931507</v>
      </c>
      <c r="AL109" s="99"/>
      <c r="AM109" s="264">
        <v>1</v>
      </c>
      <c r="AN109" s="99">
        <v>1</v>
      </c>
      <c r="AO109" s="99">
        <v>1</v>
      </c>
      <c r="AP109" s="99">
        <v>2</v>
      </c>
      <c r="AQ109" s="99">
        <v>3</v>
      </c>
      <c r="AR109" s="99"/>
      <c r="AS109" s="95">
        <v>44695</v>
      </c>
      <c r="AT109" s="95" t="str">
        <f t="shared" si="36"/>
        <v>2Y2M17D</v>
      </c>
      <c r="AU109" s="95" t="str">
        <f t="shared" si="37"/>
        <v>2Y0M16D</v>
      </c>
      <c r="AV109" s="102">
        <f t="shared" si="38"/>
        <v>2.043835616438356</v>
      </c>
      <c r="AW109" s="99">
        <v>2</v>
      </c>
      <c r="AX109" s="95">
        <v>44696</v>
      </c>
      <c r="AY109" s="95" t="str">
        <f t="shared" si="39"/>
        <v>2Y2M18D</v>
      </c>
      <c r="AZ109" s="102" t="str">
        <f t="shared" si="40"/>
        <v>2Y0M17D</v>
      </c>
      <c r="BA109" s="102">
        <f t="shared" si="41"/>
        <v>2.0465753424657533</v>
      </c>
      <c r="BB109" s="99">
        <v>2</v>
      </c>
      <c r="BC109" s="95">
        <v>44697</v>
      </c>
      <c r="BD109" s="95" t="str">
        <f t="shared" si="42"/>
        <v>2Y2M19D</v>
      </c>
      <c r="BE109" s="102" t="str">
        <f t="shared" si="43"/>
        <v>2Y0M18D</v>
      </c>
      <c r="BF109" s="102">
        <f t="shared" si="44"/>
        <v>2.0493150684931507</v>
      </c>
      <c r="BG109" s="99">
        <v>1</v>
      </c>
      <c r="BH109" s="99">
        <v>1</v>
      </c>
    </row>
    <row r="110" spans="1:60" s="189" customFormat="1" ht="16">
      <c r="A110" s="99" t="s">
        <v>474</v>
      </c>
      <c r="B110" s="99">
        <v>22107215</v>
      </c>
      <c r="C110" s="99" t="s">
        <v>475</v>
      </c>
      <c r="D110" s="95">
        <v>44275</v>
      </c>
      <c r="E110" s="95">
        <v>44387</v>
      </c>
      <c r="F110" s="95">
        <v>44387</v>
      </c>
      <c r="G110" s="99">
        <v>24</v>
      </c>
      <c r="H110" s="101">
        <v>45087</v>
      </c>
      <c r="I110" s="101">
        <v>45270</v>
      </c>
      <c r="J110" s="95">
        <v>45170</v>
      </c>
      <c r="K110" s="95">
        <v>45170</v>
      </c>
      <c r="L110" s="95" t="str">
        <f t="shared" si="30"/>
        <v>2Y5M12D</v>
      </c>
      <c r="M110" s="95" t="str">
        <f t="shared" si="31"/>
        <v>2Y1M22D</v>
      </c>
      <c r="N110" s="102">
        <f t="shared" si="32"/>
        <v>2.1452054794520548</v>
      </c>
      <c r="O110" s="99">
        <v>3</v>
      </c>
      <c r="P110" s="99">
        <v>3</v>
      </c>
      <c r="Q110" s="99"/>
      <c r="R110" s="99">
        <v>2</v>
      </c>
      <c r="S110" s="99">
        <v>1</v>
      </c>
      <c r="T110" s="99">
        <v>1</v>
      </c>
      <c r="U110" s="99"/>
      <c r="V110" s="99" t="s">
        <v>1661</v>
      </c>
      <c r="W110" s="99">
        <v>1</v>
      </c>
      <c r="X110" s="99">
        <v>1</v>
      </c>
      <c r="Y110" s="99">
        <v>1</v>
      </c>
      <c r="Z110" s="99">
        <v>1</v>
      </c>
      <c r="AA110" s="99">
        <v>1</v>
      </c>
      <c r="AB110" s="99"/>
      <c r="AC110" s="99">
        <v>1.25</v>
      </c>
      <c r="AD110" s="99">
        <v>1</v>
      </c>
      <c r="AE110" s="99">
        <v>1</v>
      </c>
      <c r="AF110" s="99">
        <v>1</v>
      </c>
      <c r="AG110" s="99">
        <v>1</v>
      </c>
      <c r="AH110" s="95">
        <v>45170</v>
      </c>
      <c r="AI110" s="95" t="str">
        <f t="shared" si="33"/>
        <v>2Y5M12D</v>
      </c>
      <c r="AJ110" s="95" t="str">
        <f t="shared" si="34"/>
        <v>2Y1M22D</v>
      </c>
      <c r="AK110" s="102">
        <f t="shared" si="35"/>
        <v>2.1452054794520548</v>
      </c>
      <c r="AL110" s="99">
        <v>1</v>
      </c>
      <c r="AM110" s="99">
        <v>1</v>
      </c>
      <c r="AN110" s="99">
        <v>1</v>
      </c>
      <c r="AO110" s="99">
        <v>1</v>
      </c>
      <c r="AP110" s="99">
        <v>2</v>
      </c>
      <c r="AQ110" s="99">
        <v>3</v>
      </c>
      <c r="AR110" s="99"/>
      <c r="AS110" s="95">
        <v>45169</v>
      </c>
      <c r="AT110" s="95" t="str">
        <f t="shared" si="36"/>
        <v>2Y5M11D</v>
      </c>
      <c r="AU110" s="95" t="str">
        <f t="shared" si="37"/>
        <v>2Y1M21D</v>
      </c>
      <c r="AV110" s="102">
        <f t="shared" si="38"/>
        <v>2.1424657534246574</v>
      </c>
      <c r="AW110" s="99">
        <v>5</v>
      </c>
      <c r="AX110" s="95"/>
      <c r="AY110" s="95" t="e">
        <f t="shared" si="39"/>
        <v>#NUM!</v>
      </c>
      <c r="AZ110" s="102" t="e">
        <f t="shared" si="40"/>
        <v>#NUM!</v>
      </c>
      <c r="BA110" s="102">
        <f t="shared" si="41"/>
        <v>-121.60821917808219</v>
      </c>
      <c r="BB110" s="99"/>
      <c r="BC110" s="95">
        <v>45170</v>
      </c>
      <c r="BD110" s="95" t="str">
        <f t="shared" si="42"/>
        <v>2Y5M12D</v>
      </c>
      <c r="BE110" s="102" t="str">
        <f t="shared" si="43"/>
        <v>2Y1M22D</v>
      </c>
      <c r="BF110" s="102">
        <f t="shared" si="44"/>
        <v>2.1452054794520548</v>
      </c>
      <c r="BG110" s="99">
        <v>2</v>
      </c>
      <c r="BH110" s="99">
        <v>1</v>
      </c>
    </row>
    <row r="111" spans="1:60" s="203" customFormat="1" ht="16">
      <c r="A111" s="60" t="s">
        <v>478</v>
      </c>
      <c r="B111" s="60">
        <v>22106269</v>
      </c>
      <c r="C111" s="60" t="s">
        <v>479</v>
      </c>
      <c r="D111" s="90">
        <v>44188</v>
      </c>
      <c r="E111" s="90">
        <v>44298</v>
      </c>
      <c r="F111" s="90">
        <v>44298</v>
      </c>
      <c r="G111" s="60" t="s">
        <v>314</v>
      </c>
      <c r="H111" s="91">
        <v>44997</v>
      </c>
      <c r="I111" s="91">
        <v>45181</v>
      </c>
      <c r="J111" s="60"/>
      <c r="K111" s="60"/>
      <c r="L111" s="60" t="e">
        <f t="shared" si="30"/>
        <v>#NUM!</v>
      </c>
      <c r="M111" s="60" t="e">
        <f t="shared" si="31"/>
        <v>#NUM!</v>
      </c>
      <c r="N111" s="73">
        <f t="shared" si="32"/>
        <v>-121.36438356164383</v>
      </c>
      <c r="O111" s="60"/>
      <c r="P111" s="60"/>
      <c r="Q111" s="60"/>
      <c r="R111" s="60"/>
      <c r="S111" s="60"/>
      <c r="T111" s="60"/>
      <c r="U111" s="60"/>
      <c r="V111" s="60"/>
      <c r="W111" s="60"/>
      <c r="X111" s="60"/>
      <c r="Y111" s="60"/>
      <c r="Z111" s="60"/>
      <c r="AA111" s="60"/>
      <c r="AB111" s="60"/>
      <c r="AC111" s="60"/>
      <c r="AD111" s="60"/>
      <c r="AE111" s="60"/>
      <c r="AF111" s="60"/>
      <c r="AG111" s="60"/>
      <c r="AH111" s="90"/>
      <c r="AI111" s="90" t="e">
        <f t="shared" si="33"/>
        <v>#NUM!</v>
      </c>
      <c r="AJ111" s="90" t="e">
        <f t="shared" si="34"/>
        <v>#NUM!</v>
      </c>
      <c r="AK111" s="73">
        <f t="shared" si="35"/>
        <v>-121.36438356164383</v>
      </c>
      <c r="AL111" s="60"/>
      <c r="AM111" s="60"/>
      <c r="AN111" s="60"/>
      <c r="AO111" s="60"/>
      <c r="AP111" s="60"/>
      <c r="AQ111" s="60"/>
      <c r="AR111" s="60"/>
      <c r="AS111" s="90"/>
      <c r="AT111" s="90" t="e">
        <f t="shared" si="36"/>
        <v>#NUM!</v>
      </c>
      <c r="AU111" s="90" t="e">
        <f t="shared" si="37"/>
        <v>#NUM!</v>
      </c>
      <c r="AV111" s="73">
        <f t="shared" si="38"/>
        <v>-121.36438356164383</v>
      </c>
      <c r="AW111" s="60"/>
      <c r="AX111" s="60"/>
      <c r="AY111" s="60" t="e">
        <f t="shared" si="39"/>
        <v>#NUM!</v>
      </c>
      <c r="AZ111" s="73" t="e">
        <f t="shared" si="40"/>
        <v>#NUM!</v>
      </c>
      <c r="BA111" s="73">
        <f t="shared" si="41"/>
        <v>-121.36438356164383</v>
      </c>
      <c r="BB111" s="60"/>
      <c r="BC111" s="90"/>
      <c r="BD111" s="90" t="e">
        <f t="shared" si="42"/>
        <v>#NUM!</v>
      </c>
      <c r="BE111" s="73" t="e">
        <f t="shared" si="43"/>
        <v>#NUM!</v>
      </c>
      <c r="BF111" s="73">
        <f t="shared" si="44"/>
        <v>-121.36438356164383</v>
      </c>
      <c r="BG111" s="60"/>
      <c r="BH111" s="60">
        <v>1</v>
      </c>
    </row>
    <row r="112" spans="1:60" s="189" customFormat="1" ht="16">
      <c r="A112" s="99" t="s">
        <v>482</v>
      </c>
      <c r="B112" s="99">
        <v>21928733</v>
      </c>
      <c r="C112" s="99" t="s">
        <v>483</v>
      </c>
      <c r="D112" s="95">
        <v>43493</v>
      </c>
      <c r="E112" s="95">
        <v>43598</v>
      </c>
      <c r="F112" s="95">
        <v>43598</v>
      </c>
      <c r="G112" s="99">
        <v>25</v>
      </c>
      <c r="H112" s="101">
        <v>44299</v>
      </c>
      <c r="I112" s="101">
        <v>44482</v>
      </c>
      <c r="J112" s="95">
        <v>44491</v>
      </c>
      <c r="K112" s="95">
        <v>44491</v>
      </c>
      <c r="L112" s="95" t="str">
        <f t="shared" si="30"/>
        <v>2Y8M24D</v>
      </c>
      <c r="M112" s="95" t="str">
        <f t="shared" si="31"/>
        <v>2Y5M9D</v>
      </c>
      <c r="N112" s="102">
        <f t="shared" si="32"/>
        <v>2.4465753424657533</v>
      </c>
      <c r="O112" s="99">
        <v>3</v>
      </c>
      <c r="P112" s="99">
        <v>3</v>
      </c>
      <c r="Q112" s="99" t="s">
        <v>1709</v>
      </c>
      <c r="R112" s="98">
        <v>2</v>
      </c>
      <c r="S112" s="99">
        <v>1</v>
      </c>
      <c r="T112" s="99">
        <v>1</v>
      </c>
      <c r="U112" s="99" t="s">
        <v>1964</v>
      </c>
      <c r="V112" s="99" t="s">
        <v>1664</v>
      </c>
      <c r="W112" s="99">
        <v>1</v>
      </c>
      <c r="X112" s="99">
        <v>1</v>
      </c>
      <c r="Y112" s="99">
        <v>1</v>
      </c>
      <c r="Z112" s="99">
        <v>1</v>
      </c>
      <c r="AA112" s="99">
        <v>1</v>
      </c>
      <c r="AB112" s="99">
        <v>1</v>
      </c>
      <c r="AC112" s="99" t="s">
        <v>1682</v>
      </c>
      <c r="AD112" s="99">
        <v>1</v>
      </c>
      <c r="AE112" s="99">
        <v>1</v>
      </c>
      <c r="AF112" s="99">
        <v>1</v>
      </c>
      <c r="AG112" s="99">
        <v>1</v>
      </c>
      <c r="AH112" s="95">
        <v>44495</v>
      </c>
      <c r="AI112" s="95" t="str">
        <f t="shared" si="33"/>
        <v>2Y8M28D</v>
      </c>
      <c r="AJ112" s="95" t="str">
        <f t="shared" si="34"/>
        <v>2Y5M13D</v>
      </c>
      <c r="AK112" s="102">
        <f t="shared" si="35"/>
        <v>2.4575342465753423</v>
      </c>
      <c r="AL112" s="99"/>
      <c r="AM112" s="264">
        <v>1</v>
      </c>
      <c r="AN112" s="99">
        <v>1</v>
      </c>
      <c r="AO112" s="99">
        <v>1</v>
      </c>
      <c r="AP112" s="99">
        <v>2</v>
      </c>
      <c r="AQ112" s="99">
        <v>3</v>
      </c>
      <c r="AR112" s="99"/>
      <c r="AS112" s="95">
        <v>44493</v>
      </c>
      <c r="AT112" s="95" t="str">
        <f t="shared" si="36"/>
        <v>2Y8M26D</v>
      </c>
      <c r="AU112" s="95" t="str">
        <f t="shared" si="37"/>
        <v>2Y5M11D</v>
      </c>
      <c r="AV112" s="102">
        <f t="shared" si="38"/>
        <v>2.452054794520548</v>
      </c>
      <c r="AW112" s="99">
        <v>2</v>
      </c>
      <c r="AX112" s="99"/>
      <c r="AY112" s="99" t="e">
        <f t="shared" si="39"/>
        <v>#NUM!</v>
      </c>
      <c r="AZ112" s="102" t="e">
        <f t="shared" si="40"/>
        <v>#NUM!</v>
      </c>
      <c r="BA112" s="102">
        <f t="shared" si="41"/>
        <v>-119.44657534246575</v>
      </c>
      <c r="BB112" s="99"/>
      <c r="BC112" s="95">
        <v>44491</v>
      </c>
      <c r="BD112" s="95" t="str">
        <f t="shared" si="42"/>
        <v>2Y8M24D</v>
      </c>
      <c r="BE112" s="102" t="str">
        <f t="shared" si="43"/>
        <v>2Y5M9D</v>
      </c>
      <c r="BF112" s="102">
        <f t="shared" si="44"/>
        <v>2.4465753424657533</v>
      </c>
      <c r="BG112" s="99">
        <v>1</v>
      </c>
      <c r="BH112" s="99">
        <v>1</v>
      </c>
    </row>
    <row r="113" spans="1:60" s="193" customFormat="1" ht="16">
      <c r="A113" s="25" t="s">
        <v>486</v>
      </c>
      <c r="B113" s="25">
        <v>22104710</v>
      </c>
      <c r="C113" s="25" t="s">
        <v>487</v>
      </c>
      <c r="D113" s="32">
        <v>44036</v>
      </c>
      <c r="E113" s="32">
        <v>44036</v>
      </c>
      <c r="F113" s="32">
        <v>44036</v>
      </c>
      <c r="G113" s="25">
        <v>38</v>
      </c>
      <c r="H113" s="86">
        <v>44736</v>
      </c>
      <c r="I113" s="86">
        <v>44919</v>
      </c>
      <c r="J113" s="32"/>
      <c r="K113" s="67"/>
      <c r="L113" s="67" t="e">
        <f t="shared" si="30"/>
        <v>#NUM!</v>
      </c>
      <c r="M113" s="67" t="e">
        <f t="shared" si="31"/>
        <v>#NUM!</v>
      </c>
      <c r="N113" s="74">
        <f t="shared" si="32"/>
        <v>-120.64657534246575</v>
      </c>
      <c r="O113" s="25"/>
      <c r="P113" s="25"/>
      <c r="Q113" s="25"/>
      <c r="R113" s="25"/>
      <c r="S113" s="25"/>
      <c r="T113" s="25"/>
      <c r="U113" s="25"/>
      <c r="V113" s="25"/>
      <c r="W113" s="25"/>
      <c r="X113" s="25"/>
      <c r="Y113" s="25"/>
      <c r="Z113" s="25"/>
      <c r="AA113" s="25"/>
      <c r="AB113" s="25"/>
      <c r="AC113" s="25"/>
      <c r="AD113" s="25"/>
      <c r="AE113" s="25"/>
      <c r="AF113" s="25"/>
      <c r="AG113" s="25"/>
      <c r="AH113" s="67"/>
      <c r="AI113" s="67" t="e">
        <f t="shared" si="33"/>
        <v>#NUM!</v>
      </c>
      <c r="AJ113" s="67" t="e">
        <f t="shared" si="34"/>
        <v>#NUM!</v>
      </c>
      <c r="AK113" s="74">
        <f t="shared" si="35"/>
        <v>-120.64657534246575</v>
      </c>
      <c r="AL113" s="25"/>
      <c r="AM113" s="25"/>
      <c r="AN113" s="25"/>
      <c r="AO113" s="25"/>
      <c r="AP113" s="25"/>
      <c r="AQ113" s="25"/>
      <c r="AR113" s="25"/>
      <c r="AS113" s="67"/>
      <c r="AT113" s="67" t="e">
        <f t="shared" si="36"/>
        <v>#NUM!</v>
      </c>
      <c r="AU113" s="67" t="e">
        <f t="shared" si="37"/>
        <v>#NUM!</v>
      </c>
      <c r="AV113" s="74">
        <f t="shared" si="38"/>
        <v>-120.64657534246575</v>
      </c>
      <c r="AW113" s="25"/>
      <c r="AX113" s="67"/>
      <c r="AY113" s="67" t="e">
        <f t="shared" si="39"/>
        <v>#NUM!</v>
      </c>
      <c r="AZ113" s="74" t="e">
        <f t="shared" si="40"/>
        <v>#NUM!</v>
      </c>
      <c r="BA113" s="74">
        <f t="shared" si="41"/>
        <v>-120.64657534246575</v>
      </c>
      <c r="BB113" s="25"/>
      <c r="BC113" s="25"/>
      <c r="BD113" s="25" t="e">
        <f t="shared" si="42"/>
        <v>#NUM!</v>
      </c>
      <c r="BE113" s="64" t="e">
        <f t="shared" si="43"/>
        <v>#NUM!</v>
      </c>
      <c r="BF113" s="64">
        <f t="shared" si="44"/>
        <v>-120.64657534246575</v>
      </c>
      <c r="BG113" s="25"/>
      <c r="BH113" s="25">
        <v>1</v>
      </c>
    </row>
    <row r="114" spans="1:60" s="110" customFormat="1" ht="16">
      <c r="A114" s="17" t="s">
        <v>490</v>
      </c>
      <c r="B114" s="17">
        <v>22105636</v>
      </c>
      <c r="C114" s="17" t="s">
        <v>491</v>
      </c>
      <c r="D114" s="40">
        <v>44127</v>
      </c>
      <c r="E114" s="40">
        <v>44218</v>
      </c>
      <c r="F114" s="40">
        <v>44218</v>
      </c>
      <c r="G114" s="17">
        <v>27</v>
      </c>
      <c r="H114" s="75">
        <v>44917</v>
      </c>
      <c r="I114" s="75">
        <v>45099</v>
      </c>
      <c r="J114" s="40"/>
      <c r="K114" s="40"/>
      <c r="L114" s="40" t="e">
        <f t="shared" si="30"/>
        <v>#NUM!</v>
      </c>
      <c r="M114" s="40" t="e">
        <f t="shared" si="31"/>
        <v>#NUM!</v>
      </c>
      <c r="N114" s="21">
        <f t="shared" si="32"/>
        <v>-121.14520547945206</v>
      </c>
      <c r="O114" s="17"/>
      <c r="P114" s="17"/>
      <c r="Q114" s="17"/>
      <c r="R114" s="17"/>
      <c r="S114" s="17"/>
      <c r="T114" s="17"/>
      <c r="U114" s="17"/>
      <c r="V114" s="17"/>
      <c r="W114" s="17"/>
      <c r="X114" s="17"/>
      <c r="Y114" s="17"/>
      <c r="Z114" s="17"/>
      <c r="AA114" s="17"/>
      <c r="AB114" s="17"/>
      <c r="AC114" s="17"/>
      <c r="AD114" s="17"/>
      <c r="AE114" s="17"/>
      <c r="AF114" s="17"/>
      <c r="AG114" s="17"/>
      <c r="AH114" s="40">
        <v>44957</v>
      </c>
      <c r="AI114" s="40" t="str">
        <f t="shared" si="33"/>
        <v>2Y3M8D</v>
      </c>
      <c r="AJ114" s="40" t="str">
        <f t="shared" si="34"/>
        <v>2Y0M9D</v>
      </c>
      <c r="AK114" s="21">
        <f t="shared" si="35"/>
        <v>2.0246575342465754</v>
      </c>
      <c r="AL114" s="17">
        <v>1</v>
      </c>
      <c r="AM114" s="17">
        <v>1</v>
      </c>
      <c r="AN114" s="17">
        <v>1</v>
      </c>
      <c r="AO114" s="17">
        <v>1</v>
      </c>
      <c r="AP114" s="17">
        <v>2</v>
      </c>
      <c r="AQ114" s="17">
        <v>3</v>
      </c>
      <c r="AR114" s="17"/>
      <c r="AS114" s="40">
        <v>44956</v>
      </c>
      <c r="AT114" s="40" t="str">
        <f t="shared" si="36"/>
        <v>2Y3M7D</v>
      </c>
      <c r="AU114" s="40" t="str">
        <f t="shared" si="37"/>
        <v>2Y0M8D</v>
      </c>
      <c r="AV114" s="21">
        <f t="shared" si="38"/>
        <v>2.021917808219178</v>
      </c>
      <c r="AW114" s="17">
        <v>3</v>
      </c>
      <c r="AX114" s="40"/>
      <c r="AY114" s="40" t="e">
        <f t="shared" si="39"/>
        <v>#NUM!</v>
      </c>
      <c r="AZ114" s="21" t="e">
        <f t="shared" si="40"/>
        <v>#NUM!</v>
      </c>
      <c r="BA114" s="21">
        <f t="shared" si="41"/>
        <v>-121.14520547945206</v>
      </c>
      <c r="BB114" s="17"/>
      <c r="BC114" s="40"/>
      <c r="BD114" s="40" t="e">
        <f t="shared" si="42"/>
        <v>#NUM!</v>
      </c>
      <c r="BE114" s="21" t="e">
        <f t="shared" si="43"/>
        <v>#NUM!</v>
      </c>
      <c r="BF114" s="21">
        <f t="shared" si="44"/>
        <v>-121.14520547945206</v>
      </c>
      <c r="BG114" s="17"/>
      <c r="BH114" s="17">
        <v>1</v>
      </c>
    </row>
    <row r="115" spans="1:60" s="189" customFormat="1" ht="16">
      <c r="A115" s="99" t="s">
        <v>494</v>
      </c>
      <c r="B115" s="99">
        <v>22104579</v>
      </c>
      <c r="C115" s="99" t="s">
        <v>495</v>
      </c>
      <c r="D115" s="95">
        <v>44025</v>
      </c>
      <c r="E115" s="95">
        <v>44097</v>
      </c>
      <c r="F115" s="95">
        <v>44097</v>
      </c>
      <c r="G115" s="99" t="s">
        <v>497</v>
      </c>
      <c r="H115" s="101">
        <v>44796</v>
      </c>
      <c r="I115" s="101">
        <v>44980</v>
      </c>
      <c r="J115" s="95">
        <v>44974</v>
      </c>
      <c r="K115" s="96">
        <v>44873</v>
      </c>
      <c r="L115" s="96" t="str">
        <f t="shared" si="30"/>
        <v>2Y3M26D</v>
      </c>
      <c r="M115" s="96" t="str">
        <f t="shared" si="31"/>
        <v>2Y1M16D</v>
      </c>
      <c r="N115" s="103">
        <f t="shared" si="32"/>
        <v>2.1260273972602741</v>
      </c>
      <c r="O115" s="99">
        <v>3</v>
      </c>
      <c r="P115" s="99">
        <v>5</v>
      </c>
      <c r="Q115" s="99"/>
      <c r="R115" s="99">
        <v>2</v>
      </c>
      <c r="S115" s="99">
        <v>1</v>
      </c>
      <c r="T115" s="99">
        <v>1</v>
      </c>
      <c r="U115" s="99">
        <v>130</v>
      </c>
      <c r="V115" s="99" t="s">
        <v>2192</v>
      </c>
      <c r="W115" s="99">
        <v>1</v>
      </c>
      <c r="X115" s="99">
        <v>1</v>
      </c>
      <c r="Y115" s="99">
        <v>1</v>
      </c>
      <c r="Z115" s="99">
        <v>1</v>
      </c>
      <c r="AA115" s="99">
        <v>1</v>
      </c>
      <c r="AB115" s="99">
        <v>1</v>
      </c>
      <c r="AC115" s="99" t="s">
        <v>2193</v>
      </c>
      <c r="AD115" s="99">
        <v>1</v>
      </c>
      <c r="AE115" s="99">
        <v>1</v>
      </c>
      <c r="AF115" s="99">
        <v>1</v>
      </c>
      <c r="AG115" s="99">
        <v>1</v>
      </c>
      <c r="AH115" s="96">
        <v>44890</v>
      </c>
      <c r="AI115" s="96" t="str">
        <f t="shared" si="33"/>
        <v>2Y4M12D</v>
      </c>
      <c r="AJ115" s="96" t="str">
        <f t="shared" si="34"/>
        <v>2Y2M2D</v>
      </c>
      <c r="AK115" s="103">
        <f t="shared" si="35"/>
        <v>2.1726027397260275</v>
      </c>
      <c r="AL115" s="99">
        <v>1</v>
      </c>
      <c r="AM115" s="99">
        <v>1</v>
      </c>
      <c r="AN115" s="99"/>
      <c r="AO115" s="99">
        <v>1</v>
      </c>
      <c r="AP115" s="99">
        <v>2</v>
      </c>
      <c r="AQ115" s="99">
        <v>3</v>
      </c>
      <c r="AR115" s="99"/>
      <c r="AS115" s="96">
        <v>44872</v>
      </c>
      <c r="AT115" s="96" t="str">
        <f t="shared" si="36"/>
        <v>2Y3M25D</v>
      </c>
      <c r="AU115" s="96" t="str">
        <f t="shared" si="37"/>
        <v>2Y1M15D</v>
      </c>
      <c r="AV115" s="103">
        <f t="shared" si="38"/>
        <v>2.1232876712328768</v>
      </c>
      <c r="AW115" s="99">
        <v>2</v>
      </c>
      <c r="AX115" s="96"/>
      <c r="AY115" s="96" t="e">
        <f t="shared" si="39"/>
        <v>#NUM!</v>
      </c>
      <c r="AZ115" s="103" t="e">
        <f t="shared" si="40"/>
        <v>#NUM!</v>
      </c>
      <c r="BA115" s="103">
        <f t="shared" si="41"/>
        <v>-120.81369863013698</v>
      </c>
      <c r="BB115" s="99"/>
      <c r="BC115" s="95">
        <v>44873</v>
      </c>
      <c r="BD115" s="95" t="str">
        <f t="shared" si="42"/>
        <v>2Y3M26D</v>
      </c>
      <c r="BE115" s="102" t="str">
        <f t="shared" si="43"/>
        <v>2Y1M16D</v>
      </c>
      <c r="BF115" s="102">
        <f t="shared" si="44"/>
        <v>2.1260273972602741</v>
      </c>
      <c r="BG115" s="99">
        <v>1</v>
      </c>
      <c r="BH115" s="99">
        <v>1</v>
      </c>
    </row>
    <row r="116" spans="1:60" s="189" customFormat="1" ht="16">
      <c r="A116" s="99" t="s">
        <v>499</v>
      </c>
      <c r="B116" s="99">
        <v>22108091</v>
      </c>
      <c r="C116" s="99" t="s">
        <v>500</v>
      </c>
      <c r="D116" s="95">
        <v>44367</v>
      </c>
      <c r="E116" s="95">
        <v>44374</v>
      </c>
      <c r="F116" s="95">
        <v>44367</v>
      </c>
      <c r="G116" s="99">
        <v>39</v>
      </c>
      <c r="H116" s="101">
        <v>45073</v>
      </c>
      <c r="I116" s="101">
        <v>45257</v>
      </c>
      <c r="J116" s="95">
        <v>45210</v>
      </c>
      <c r="K116" s="95">
        <v>45210</v>
      </c>
      <c r="L116" s="95" t="str">
        <f t="shared" si="30"/>
        <v>2Y3M21D</v>
      </c>
      <c r="M116" s="95" t="str">
        <f t="shared" si="31"/>
        <v>2Y3M14D</v>
      </c>
      <c r="N116" s="102">
        <f t="shared" si="32"/>
        <v>2.3095890410958906</v>
      </c>
      <c r="O116" s="99">
        <v>3</v>
      </c>
      <c r="P116" s="99">
        <v>3</v>
      </c>
      <c r="Q116" s="99"/>
      <c r="R116" s="99">
        <v>2</v>
      </c>
      <c r="S116" s="99">
        <v>1</v>
      </c>
      <c r="T116" s="99">
        <v>1</v>
      </c>
      <c r="U116" s="99"/>
      <c r="V116" s="99" t="s">
        <v>1661</v>
      </c>
      <c r="W116" s="99">
        <v>1</v>
      </c>
      <c r="X116" s="99">
        <v>1</v>
      </c>
      <c r="Y116" s="99">
        <v>1</v>
      </c>
      <c r="Z116" s="99">
        <v>1</v>
      </c>
      <c r="AA116" s="99">
        <v>1</v>
      </c>
      <c r="AB116" s="99">
        <v>1</v>
      </c>
      <c r="AC116" s="99"/>
      <c r="AD116" s="99">
        <v>1</v>
      </c>
      <c r="AE116" s="99">
        <v>1</v>
      </c>
      <c r="AF116" s="99">
        <v>1</v>
      </c>
      <c r="AG116" s="99">
        <v>1</v>
      </c>
      <c r="AH116" s="95">
        <v>45202</v>
      </c>
      <c r="AI116" s="95" t="str">
        <f t="shared" si="33"/>
        <v>2Y3M13D</v>
      </c>
      <c r="AJ116" s="95" t="str">
        <f t="shared" si="34"/>
        <v>2Y3M6D</v>
      </c>
      <c r="AK116" s="102">
        <f t="shared" si="35"/>
        <v>2.2876712328767121</v>
      </c>
      <c r="AL116" s="99">
        <v>1</v>
      </c>
      <c r="AM116" s="99">
        <v>1</v>
      </c>
      <c r="AN116" s="99">
        <v>1</v>
      </c>
      <c r="AO116" s="99">
        <v>1</v>
      </c>
      <c r="AP116" s="99">
        <v>3</v>
      </c>
      <c r="AQ116" s="99">
        <v>3</v>
      </c>
      <c r="AR116" s="99"/>
      <c r="AS116" s="95">
        <v>45200</v>
      </c>
      <c r="AT116" s="95" t="str">
        <f t="shared" si="36"/>
        <v>2Y3M11D</v>
      </c>
      <c r="AU116" s="95" t="str">
        <f t="shared" si="37"/>
        <v>2Y3M4D</v>
      </c>
      <c r="AV116" s="102">
        <f t="shared" si="38"/>
        <v>2.2821917808219179</v>
      </c>
      <c r="AW116" s="99">
        <v>5</v>
      </c>
      <c r="AX116" s="95">
        <v>45200</v>
      </c>
      <c r="AY116" s="95" t="str">
        <f t="shared" si="39"/>
        <v>2Y3M11D</v>
      </c>
      <c r="AZ116" s="102" t="str">
        <f t="shared" si="40"/>
        <v>2Y3M4D</v>
      </c>
      <c r="BA116" s="102">
        <f t="shared" si="41"/>
        <v>2.2821917808219179</v>
      </c>
      <c r="BB116" s="99">
        <v>5</v>
      </c>
      <c r="BC116" s="95">
        <v>45210</v>
      </c>
      <c r="BD116" s="95" t="str">
        <f t="shared" si="42"/>
        <v>2Y3M21D</v>
      </c>
      <c r="BE116" s="102" t="str">
        <f t="shared" si="43"/>
        <v>2Y3M14D</v>
      </c>
      <c r="BF116" s="102">
        <f t="shared" si="44"/>
        <v>2.3095890410958906</v>
      </c>
      <c r="BG116" s="99">
        <v>2</v>
      </c>
      <c r="BH116" s="99">
        <v>0</v>
      </c>
    </row>
    <row r="117" spans="1:60" s="193" customFormat="1" ht="16">
      <c r="A117" s="25" t="s">
        <v>503</v>
      </c>
      <c r="B117" s="2">
        <v>22108353</v>
      </c>
      <c r="C117" s="2" t="s">
        <v>504</v>
      </c>
      <c r="D117" s="23">
        <v>44395</v>
      </c>
      <c r="E117" s="23">
        <v>44466</v>
      </c>
      <c r="F117" s="23">
        <v>44466</v>
      </c>
      <c r="G117" s="2" t="s">
        <v>289</v>
      </c>
      <c r="H117" s="38">
        <v>45165</v>
      </c>
      <c r="I117" s="38">
        <v>45349</v>
      </c>
      <c r="J117" s="25"/>
      <c r="K117" s="25"/>
      <c r="L117" s="25" t="e">
        <f t="shared" si="30"/>
        <v>#NUM!</v>
      </c>
      <c r="M117" s="25" t="e">
        <f t="shared" si="31"/>
        <v>#NUM!</v>
      </c>
      <c r="N117" s="64">
        <f t="shared" si="32"/>
        <v>-121.82465753424657</v>
      </c>
      <c r="O117" s="25"/>
      <c r="P117" s="25"/>
      <c r="Q117" s="25"/>
      <c r="R117" s="25"/>
      <c r="S117" s="25"/>
      <c r="T117" s="25"/>
      <c r="U117" s="25"/>
      <c r="V117" s="25"/>
      <c r="W117" s="25"/>
      <c r="X117" s="25"/>
      <c r="Y117" s="25"/>
      <c r="Z117" s="25"/>
      <c r="AA117" s="25"/>
      <c r="AB117" s="25"/>
      <c r="AC117" s="25"/>
      <c r="AD117" s="25"/>
      <c r="AE117" s="25"/>
      <c r="AF117" s="25"/>
      <c r="AG117" s="25"/>
      <c r="AH117" s="25"/>
      <c r="AI117" s="25" t="e">
        <f t="shared" si="33"/>
        <v>#NUM!</v>
      </c>
      <c r="AJ117" s="25" t="e">
        <f t="shared" si="34"/>
        <v>#NUM!</v>
      </c>
      <c r="AK117" s="64">
        <f t="shared" si="35"/>
        <v>-121.82465753424657</v>
      </c>
      <c r="AL117" s="25"/>
      <c r="AM117" s="25"/>
      <c r="AN117" s="25"/>
      <c r="AO117" s="25"/>
      <c r="AP117" s="25"/>
      <c r="AQ117" s="25"/>
      <c r="AR117" s="25"/>
      <c r="AS117" s="25"/>
      <c r="AT117" s="25" t="e">
        <f t="shared" si="36"/>
        <v>#NUM!</v>
      </c>
      <c r="AU117" s="25" t="e">
        <f t="shared" si="37"/>
        <v>#NUM!</v>
      </c>
      <c r="AV117" s="64">
        <f t="shared" si="38"/>
        <v>-121.82465753424657</v>
      </c>
      <c r="AW117" s="25"/>
      <c r="AX117" s="25"/>
      <c r="AY117" s="25" t="e">
        <f t="shared" si="39"/>
        <v>#NUM!</v>
      </c>
      <c r="AZ117" s="64" t="e">
        <f t="shared" si="40"/>
        <v>#NUM!</v>
      </c>
      <c r="BA117" s="64">
        <f t="shared" si="41"/>
        <v>-121.82465753424657</v>
      </c>
      <c r="BB117" s="25"/>
      <c r="BC117" s="25"/>
      <c r="BD117" s="25" t="e">
        <f t="shared" si="42"/>
        <v>#NUM!</v>
      </c>
      <c r="BE117" s="64" t="e">
        <f t="shared" si="43"/>
        <v>#NUM!</v>
      </c>
      <c r="BF117" s="64">
        <f t="shared" si="44"/>
        <v>-121.82465753424657</v>
      </c>
      <c r="BG117" s="25"/>
      <c r="BH117" s="25">
        <v>1</v>
      </c>
    </row>
    <row r="118" spans="1:60" s="189" customFormat="1" ht="16">
      <c r="A118" s="99" t="s">
        <v>507</v>
      </c>
      <c r="B118" s="99">
        <v>22102665</v>
      </c>
      <c r="C118" s="99" t="s">
        <v>508</v>
      </c>
      <c r="D118" s="95">
        <v>43834</v>
      </c>
      <c r="E118" s="95">
        <v>43896</v>
      </c>
      <c r="F118" s="95">
        <v>43896</v>
      </c>
      <c r="G118" s="99" t="s">
        <v>100</v>
      </c>
      <c r="H118" s="101">
        <v>44598</v>
      </c>
      <c r="I118" s="101">
        <v>44779</v>
      </c>
      <c r="J118" s="95">
        <v>44678</v>
      </c>
      <c r="K118" s="95">
        <v>44678</v>
      </c>
      <c r="L118" s="95" t="str">
        <f t="shared" si="30"/>
        <v>2Y3M23D</v>
      </c>
      <c r="M118" s="95" t="str">
        <f t="shared" si="31"/>
        <v>2Y1M21D</v>
      </c>
      <c r="N118" s="102">
        <f t="shared" si="32"/>
        <v>2.1424657534246574</v>
      </c>
      <c r="O118" s="99">
        <v>3</v>
      </c>
      <c r="P118" s="99">
        <v>3</v>
      </c>
      <c r="Q118" s="99" t="s">
        <v>1684</v>
      </c>
      <c r="R118" s="98">
        <v>2</v>
      </c>
      <c r="S118" s="99">
        <v>1</v>
      </c>
      <c r="T118" s="99">
        <v>1</v>
      </c>
      <c r="U118" s="99"/>
      <c r="V118" s="99" t="s">
        <v>1661</v>
      </c>
      <c r="W118" s="99">
        <v>1</v>
      </c>
      <c r="X118" s="99">
        <v>1</v>
      </c>
      <c r="Y118" s="99">
        <v>1</v>
      </c>
      <c r="Z118" s="99">
        <v>1</v>
      </c>
      <c r="AA118" s="99">
        <v>1</v>
      </c>
      <c r="AB118" s="99"/>
      <c r="AC118" s="99" t="s">
        <v>1682</v>
      </c>
      <c r="AD118" s="99">
        <v>1</v>
      </c>
      <c r="AE118" s="99">
        <v>1</v>
      </c>
      <c r="AF118" s="99">
        <v>1</v>
      </c>
      <c r="AG118" s="99">
        <v>1</v>
      </c>
      <c r="AH118" s="95">
        <v>44708</v>
      </c>
      <c r="AI118" s="95" t="str">
        <f t="shared" si="33"/>
        <v>2Y4M23D</v>
      </c>
      <c r="AJ118" s="95" t="str">
        <f t="shared" si="34"/>
        <v>2Y2M21D</v>
      </c>
      <c r="AK118" s="102">
        <f t="shared" si="35"/>
        <v>2.2246575342465755</v>
      </c>
      <c r="AL118" s="99"/>
      <c r="AM118" s="264">
        <v>1</v>
      </c>
      <c r="AN118" s="99">
        <v>1</v>
      </c>
      <c r="AO118" s="99">
        <v>1</v>
      </c>
      <c r="AP118" s="99">
        <v>2</v>
      </c>
      <c r="AQ118" s="99">
        <v>3</v>
      </c>
      <c r="AR118" s="99"/>
      <c r="AS118" s="95">
        <v>44649</v>
      </c>
      <c r="AT118" s="95" t="str">
        <f t="shared" si="36"/>
        <v>2Y2M25D</v>
      </c>
      <c r="AU118" s="95" t="str">
        <f t="shared" si="37"/>
        <v>2Y0M23D</v>
      </c>
      <c r="AV118" s="102">
        <f t="shared" si="38"/>
        <v>2.0630136986301371</v>
      </c>
      <c r="AW118" s="99">
        <v>2</v>
      </c>
      <c r="AX118" s="99"/>
      <c r="AY118" s="99" t="e">
        <f t="shared" si="39"/>
        <v>#NUM!</v>
      </c>
      <c r="AZ118" s="102" t="e">
        <f t="shared" si="40"/>
        <v>#NUM!</v>
      </c>
      <c r="BA118" s="102">
        <f t="shared" si="41"/>
        <v>-120.26301369863013</v>
      </c>
      <c r="BB118" s="99"/>
      <c r="BC118" s="95">
        <v>44651</v>
      </c>
      <c r="BD118" s="95" t="str">
        <f t="shared" si="42"/>
        <v>2Y2M27D</v>
      </c>
      <c r="BE118" s="102" t="str">
        <f t="shared" si="43"/>
        <v>2Y0M25D</v>
      </c>
      <c r="BF118" s="102">
        <f t="shared" si="44"/>
        <v>2.0684931506849313</v>
      </c>
      <c r="BG118" s="99">
        <v>1</v>
      </c>
      <c r="BH118" s="99">
        <v>1</v>
      </c>
    </row>
    <row r="119" spans="1:60" s="189" customFormat="1" ht="16">
      <c r="A119" s="99" t="s">
        <v>510</v>
      </c>
      <c r="B119" s="99">
        <v>22108869</v>
      </c>
      <c r="C119" s="99" t="s">
        <v>511</v>
      </c>
      <c r="D119" s="95">
        <v>44454</v>
      </c>
      <c r="E119" s="95">
        <v>44513</v>
      </c>
      <c r="F119" s="95">
        <v>44513</v>
      </c>
      <c r="G119" s="99" t="s">
        <v>435</v>
      </c>
      <c r="H119" s="101">
        <v>45212</v>
      </c>
      <c r="I119" s="101">
        <v>45395</v>
      </c>
      <c r="J119" s="95">
        <v>45289</v>
      </c>
      <c r="K119" s="95">
        <v>45289</v>
      </c>
      <c r="L119" s="99" t="str">
        <f t="shared" si="30"/>
        <v>2Y3M14D</v>
      </c>
      <c r="M119" s="99" t="str">
        <f t="shared" si="31"/>
        <v>2Y1M16D</v>
      </c>
      <c r="N119" s="102">
        <f t="shared" si="32"/>
        <v>2.1260273972602741</v>
      </c>
      <c r="O119" s="99">
        <v>4</v>
      </c>
      <c r="P119" s="99">
        <v>3</v>
      </c>
      <c r="Q119" s="99"/>
      <c r="R119" s="99">
        <v>3</v>
      </c>
      <c r="S119" s="99">
        <v>1</v>
      </c>
      <c r="T119" s="99">
        <v>1</v>
      </c>
      <c r="U119" s="99"/>
      <c r="V119" s="99" t="s">
        <v>1661</v>
      </c>
      <c r="W119" s="99">
        <v>2</v>
      </c>
      <c r="X119" s="99">
        <v>1</v>
      </c>
      <c r="Y119" s="99"/>
      <c r="Z119" s="99">
        <v>1</v>
      </c>
      <c r="AA119" s="99">
        <v>2</v>
      </c>
      <c r="AB119" s="99"/>
      <c r="AC119" s="99" t="s">
        <v>1710</v>
      </c>
      <c r="AD119" s="99">
        <v>2</v>
      </c>
      <c r="AE119" s="99">
        <v>1</v>
      </c>
      <c r="AF119" s="99">
        <v>2</v>
      </c>
      <c r="AG119" s="99">
        <v>1</v>
      </c>
      <c r="AH119" s="95">
        <v>45310</v>
      </c>
      <c r="AI119" s="99" t="str">
        <f t="shared" si="33"/>
        <v>2Y4M4D</v>
      </c>
      <c r="AJ119" s="99" t="str">
        <f t="shared" si="34"/>
        <v>2Y2M6D</v>
      </c>
      <c r="AK119" s="102">
        <f t="shared" si="35"/>
        <v>2.1835616438356165</v>
      </c>
      <c r="AL119" s="99">
        <v>1</v>
      </c>
      <c r="AM119" s="99">
        <v>1</v>
      </c>
      <c r="AN119" s="99">
        <v>2</v>
      </c>
      <c r="AO119" s="99">
        <v>1</v>
      </c>
      <c r="AP119" s="99">
        <v>3</v>
      </c>
      <c r="AQ119" s="99">
        <v>1</v>
      </c>
      <c r="AR119" s="99"/>
      <c r="AS119" s="95">
        <v>45289</v>
      </c>
      <c r="AT119" s="99" t="str">
        <f t="shared" si="36"/>
        <v>2Y3M14D</v>
      </c>
      <c r="AU119" s="99" t="str">
        <f t="shared" si="37"/>
        <v>2Y1M16D</v>
      </c>
      <c r="AV119" s="102">
        <f t="shared" si="38"/>
        <v>2.1260273972602741</v>
      </c>
      <c r="AW119" s="99">
        <v>7</v>
      </c>
      <c r="AX119" s="95">
        <v>45289</v>
      </c>
      <c r="AY119" s="99" t="str">
        <f t="shared" si="39"/>
        <v>2Y3M14D</v>
      </c>
      <c r="AZ119" s="102" t="str">
        <f t="shared" si="40"/>
        <v>2Y1M16D</v>
      </c>
      <c r="BA119" s="102">
        <f t="shared" si="41"/>
        <v>2.1260273972602741</v>
      </c>
      <c r="BB119" s="99">
        <v>7</v>
      </c>
      <c r="BC119" s="95">
        <v>45289</v>
      </c>
      <c r="BD119" s="99" t="str">
        <f t="shared" si="42"/>
        <v>2Y3M14D</v>
      </c>
      <c r="BE119" s="102" t="str">
        <f t="shared" si="43"/>
        <v>2Y1M16D</v>
      </c>
      <c r="BF119" s="102">
        <f t="shared" si="44"/>
        <v>2.1260273972602741</v>
      </c>
      <c r="BG119" s="99">
        <v>2</v>
      </c>
      <c r="BH119" s="99">
        <v>1</v>
      </c>
    </row>
    <row r="120" spans="1:60" s="193" customFormat="1" ht="16">
      <c r="A120" s="25" t="s">
        <v>514</v>
      </c>
      <c r="B120" s="25">
        <v>22107197</v>
      </c>
      <c r="C120" s="25" t="s">
        <v>515</v>
      </c>
      <c r="D120" s="32">
        <v>44274</v>
      </c>
      <c r="E120" s="32">
        <v>44350</v>
      </c>
      <c r="F120" s="32">
        <v>44350</v>
      </c>
      <c r="G120" s="25" t="s">
        <v>260</v>
      </c>
      <c r="H120" s="86">
        <v>45049</v>
      </c>
      <c r="I120" s="86">
        <v>45233</v>
      </c>
      <c r="J120" s="25"/>
      <c r="K120" s="32"/>
      <c r="L120" s="32" t="e">
        <f t="shared" si="30"/>
        <v>#NUM!</v>
      </c>
      <c r="M120" s="32" t="e">
        <f t="shared" si="31"/>
        <v>#NUM!</v>
      </c>
      <c r="N120" s="64">
        <f t="shared" si="32"/>
        <v>-121.50684931506849</v>
      </c>
      <c r="O120" s="25"/>
      <c r="P120" s="25"/>
      <c r="Q120" s="25"/>
      <c r="R120" s="25"/>
      <c r="S120" s="25"/>
      <c r="T120" s="25"/>
      <c r="U120" s="25"/>
      <c r="V120" s="25"/>
      <c r="W120" s="25"/>
      <c r="X120" s="25"/>
      <c r="Y120" s="25"/>
      <c r="Z120" s="25"/>
      <c r="AA120" s="25"/>
      <c r="AB120" s="25"/>
      <c r="AC120" s="25"/>
      <c r="AD120" s="25"/>
      <c r="AE120" s="25"/>
      <c r="AF120" s="25"/>
      <c r="AG120" s="25"/>
      <c r="AH120" s="32"/>
      <c r="AI120" s="32" t="e">
        <f t="shared" si="33"/>
        <v>#NUM!</v>
      </c>
      <c r="AJ120" s="32" t="e">
        <f t="shared" si="34"/>
        <v>#NUM!</v>
      </c>
      <c r="AK120" s="64">
        <f t="shared" si="35"/>
        <v>-121.50684931506849</v>
      </c>
      <c r="AL120" s="25"/>
      <c r="AM120" s="25"/>
      <c r="AN120" s="25"/>
      <c r="AO120" s="25"/>
      <c r="AP120" s="25"/>
      <c r="AQ120" s="25"/>
      <c r="AR120" s="25"/>
      <c r="AS120" s="32"/>
      <c r="AT120" s="32" t="e">
        <f t="shared" si="36"/>
        <v>#NUM!</v>
      </c>
      <c r="AU120" s="32" t="e">
        <f t="shared" si="37"/>
        <v>#NUM!</v>
      </c>
      <c r="AV120" s="64">
        <f t="shared" si="38"/>
        <v>-121.50684931506849</v>
      </c>
      <c r="AW120" s="25"/>
      <c r="AX120" s="32"/>
      <c r="AY120" s="32" t="e">
        <f t="shared" si="39"/>
        <v>#NUM!</v>
      </c>
      <c r="AZ120" s="64" t="e">
        <f t="shared" si="40"/>
        <v>#NUM!</v>
      </c>
      <c r="BA120" s="64">
        <f t="shared" si="41"/>
        <v>-121.50684931506849</v>
      </c>
      <c r="BB120" s="25"/>
      <c r="BC120" s="32"/>
      <c r="BD120" s="32" t="e">
        <f t="shared" si="42"/>
        <v>#NUM!</v>
      </c>
      <c r="BE120" s="64" t="e">
        <f t="shared" si="43"/>
        <v>#NUM!</v>
      </c>
      <c r="BF120" s="64">
        <f t="shared" si="44"/>
        <v>-121.50684931506849</v>
      </c>
      <c r="BG120" s="25"/>
      <c r="BH120" s="25">
        <v>1</v>
      </c>
    </row>
    <row r="121" spans="1:60" s="189" customFormat="1" ht="16">
      <c r="A121" s="99" t="s">
        <v>517</v>
      </c>
      <c r="B121" s="99">
        <v>5085978</v>
      </c>
      <c r="C121" s="99" t="s">
        <v>518</v>
      </c>
      <c r="D121" s="95">
        <v>44250</v>
      </c>
      <c r="E121" s="95">
        <v>44366</v>
      </c>
      <c r="F121" s="95">
        <v>44366</v>
      </c>
      <c r="G121" s="99" t="s">
        <v>520</v>
      </c>
      <c r="H121" s="101">
        <v>45065</v>
      </c>
      <c r="I121" s="101">
        <v>45249</v>
      </c>
      <c r="J121" s="95">
        <v>45118</v>
      </c>
      <c r="K121" s="95">
        <v>45118</v>
      </c>
      <c r="L121" s="95" t="str">
        <f t="shared" si="30"/>
        <v>2Y4M18D</v>
      </c>
      <c r="M121" s="95" t="str">
        <f t="shared" si="31"/>
        <v>2Y0M22D</v>
      </c>
      <c r="N121" s="102">
        <f t="shared" si="32"/>
        <v>2.0602739726027397</v>
      </c>
      <c r="O121" s="99">
        <v>3</v>
      </c>
      <c r="P121" s="99">
        <v>3</v>
      </c>
      <c r="Q121" s="99"/>
      <c r="R121" s="99">
        <v>2</v>
      </c>
      <c r="S121" s="99">
        <v>1</v>
      </c>
      <c r="T121" s="99">
        <v>1</v>
      </c>
      <c r="U121" s="99"/>
      <c r="V121" s="99" t="s">
        <v>1661</v>
      </c>
      <c r="W121" s="99">
        <v>1</v>
      </c>
      <c r="X121" s="99">
        <v>1</v>
      </c>
      <c r="Y121" s="99">
        <v>1</v>
      </c>
      <c r="Z121" s="99">
        <v>1</v>
      </c>
      <c r="AA121" s="99">
        <v>1</v>
      </c>
      <c r="AB121" s="99"/>
      <c r="AC121" s="99" t="s">
        <v>2509</v>
      </c>
      <c r="AD121" s="99">
        <v>1</v>
      </c>
      <c r="AE121" s="99">
        <v>1</v>
      </c>
      <c r="AF121" s="99">
        <v>1</v>
      </c>
      <c r="AG121" s="99">
        <v>1</v>
      </c>
      <c r="AH121" s="95">
        <v>45128</v>
      </c>
      <c r="AI121" s="95" t="str">
        <f t="shared" si="33"/>
        <v>2Y4M28D</v>
      </c>
      <c r="AJ121" s="95" t="str">
        <f t="shared" si="34"/>
        <v>2Y1M2D</v>
      </c>
      <c r="AK121" s="102">
        <f t="shared" si="35"/>
        <v>2.0876712328767124</v>
      </c>
      <c r="AL121" s="99">
        <v>1</v>
      </c>
      <c r="AM121" s="99">
        <v>1</v>
      </c>
      <c r="AN121" s="99">
        <v>1</v>
      </c>
      <c r="AO121" s="99">
        <v>1</v>
      </c>
      <c r="AP121" s="99"/>
      <c r="AQ121" s="99"/>
      <c r="AR121" s="99"/>
      <c r="AS121" s="95">
        <v>45122</v>
      </c>
      <c r="AT121" s="95" t="str">
        <f t="shared" si="36"/>
        <v>2Y4M22D</v>
      </c>
      <c r="AU121" s="95" t="str">
        <f t="shared" si="37"/>
        <v>2Y0M26D</v>
      </c>
      <c r="AV121" s="102">
        <f t="shared" si="38"/>
        <v>2.0712328767123287</v>
      </c>
      <c r="AW121" s="99">
        <v>4</v>
      </c>
      <c r="AX121" s="95">
        <v>45125</v>
      </c>
      <c r="AY121" s="95" t="str">
        <f t="shared" si="39"/>
        <v>2Y4M25D</v>
      </c>
      <c r="AZ121" s="102" t="str">
        <f t="shared" si="40"/>
        <v>2Y0M29D</v>
      </c>
      <c r="BA121" s="102">
        <f t="shared" si="41"/>
        <v>2.0794520547945203</v>
      </c>
      <c r="BB121" s="99">
        <v>4</v>
      </c>
      <c r="BC121" s="95">
        <v>45118</v>
      </c>
      <c r="BD121" s="95" t="str">
        <f t="shared" si="42"/>
        <v>2Y4M18D</v>
      </c>
      <c r="BE121" s="102" t="str">
        <f t="shared" si="43"/>
        <v>2Y0M22D</v>
      </c>
      <c r="BF121" s="102">
        <f t="shared" si="44"/>
        <v>2.0602739726027397</v>
      </c>
      <c r="BG121" s="99">
        <v>2</v>
      </c>
      <c r="BH121" s="99">
        <v>1</v>
      </c>
    </row>
    <row r="122" spans="1:60" s="193" customFormat="1" ht="16">
      <c r="A122" s="25" t="s">
        <v>522</v>
      </c>
      <c r="B122" s="2">
        <v>22107708</v>
      </c>
      <c r="C122" s="2" t="s">
        <v>523</v>
      </c>
      <c r="D122" s="23">
        <v>44328</v>
      </c>
      <c r="E122" s="23">
        <v>44401</v>
      </c>
      <c r="F122" s="23">
        <v>44401</v>
      </c>
      <c r="G122" s="2" t="s">
        <v>525</v>
      </c>
      <c r="H122" s="38">
        <v>45101</v>
      </c>
      <c r="I122" s="38">
        <v>45284</v>
      </c>
      <c r="J122" s="32"/>
      <c r="K122" s="32"/>
      <c r="L122" s="32" t="e">
        <f>DATEDIF(D122,K122,"y")&amp;"Y"&amp;DATEDIF(D122,K122,"ym")&amp;"M"&amp;DATEDIF(D122,K122,"md")&amp;"D"</f>
        <v>#NUM!</v>
      </c>
      <c r="M122" s="32" t="e">
        <f t="shared" si="31"/>
        <v>#NUM!</v>
      </c>
      <c r="N122" s="64">
        <f>(K122-F122)/365</f>
        <v>-121.64657534246575</v>
      </c>
      <c r="O122" s="25"/>
      <c r="P122" s="25"/>
      <c r="Q122" s="25"/>
      <c r="R122" s="25"/>
      <c r="S122" s="25"/>
      <c r="T122" s="25"/>
      <c r="U122" s="25"/>
      <c r="V122" s="25"/>
      <c r="W122" s="25"/>
      <c r="X122" s="25"/>
      <c r="Y122" s="25"/>
      <c r="Z122" s="25"/>
      <c r="AA122" s="25"/>
      <c r="AB122" s="25"/>
      <c r="AC122" s="25"/>
      <c r="AD122" s="25"/>
      <c r="AE122" s="25"/>
      <c r="AF122" s="25"/>
      <c r="AG122" s="25"/>
      <c r="AH122" s="32"/>
      <c r="AI122" s="32" t="e">
        <f t="shared" si="33"/>
        <v>#NUM!</v>
      </c>
      <c r="AJ122" s="32" t="e">
        <f t="shared" si="34"/>
        <v>#NUM!</v>
      </c>
      <c r="AK122" s="64">
        <f t="shared" si="35"/>
        <v>-121.64657534246575</v>
      </c>
      <c r="AL122" s="25"/>
      <c r="AM122" s="25"/>
      <c r="AN122" s="25"/>
      <c r="AO122" s="25"/>
      <c r="AP122" s="25"/>
      <c r="AQ122" s="25"/>
      <c r="AR122" s="25"/>
      <c r="AS122" s="32"/>
      <c r="AT122" s="32" t="e">
        <f t="shared" si="36"/>
        <v>#NUM!</v>
      </c>
      <c r="AU122" s="32" t="e">
        <f t="shared" si="37"/>
        <v>#NUM!</v>
      </c>
      <c r="AV122" s="64">
        <f t="shared" si="38"/>
        <v>-121.64657534246575</v>
      </c>
      <c r="AW122" s="25"/>
      <c r="AX122" s="32"/>
      <c r="AY122" s="32" t="e">
        <f t="shared" si="39"/>
        <v>#NUM!</v>
      </c>
      <c r="AZ122" s="64" t="e">
        <f t="shared" si="40"/>
        <v>#NUM!</v>
      </c>
      <c r="BA122" s="64">
        <f t="shared" si="41"/>
        <v>-121.64657534246575</v>
      </c>
      <c r="BB122" s="25"/>
      <c r="BC122" s="25"/>
      <c r="BD122" s="25" t="e">
        <f t="shared" si="42"/>
        <v>#NUM!</v>
      </c>
      <c r="BE122" s="64" t="e">
        <f t="shared" si="43"/>
        <v>#NUM!</v>
      </c>
      <c r="BF122" s="64">
        <f t="shared" si="44"/>
        <v>-121.64657534246575</v>
      </c>
      <c r="BG122" s="25"/>
      <c r="BH122" s="25">
        <v>1</v>
      </c>
    </row>
    <row r="123" spans="1:60" s="189" customFormat="1" ht="16">
      <c r="A123" s="99" t="s">
        <v>527</v>
      </c>
      <c r="B123" s="99">
        <v>22107105</v>
      </c>
      <c r="C123" s="99" t="s">
        <v>528</v>
      </c>
      <c r="D123" s="95">
        <v>44265</v>
      </c>
      <c r="E123" s="95">
        <v>44370</v>
      </c>
      <c r="F123" s="95">
        <v>44370</v>
      </c>
      <c r="G123" s="99">
        <v>25</v>
      </c>
      <c r="H123" s="101">
        <v>45069</v>
      </c>
      <c r="I123" s="101">
        <v>45253</v>
      </c>
      <c r="J123" s="95">
        <v>45106</v>
      </c>
      <c r="K123" s="95">
        <v>45106</v>
      </c>
      <c r="L123" s="95" t="str">
        <f t="shared" si="30"/>
        <v>2Y3M19D</v>
      </c>
      <c r="M123" s="95" t="str">
        <f t="shared" si="31"/>
        <v>2Y0M6D</v>
      </c>
      <c r="N123" s="102">
        <f t="shared" si="32"/>
        <v>2.0164383561643837</v>
      </c>
      <c r="O123" s="99">
        <v>3</v>
      </c>
      <c r="P123" s="99">
        <v>3</v>
      </c>
      <c r="Q123" s="99"/>
      <c r="R123" s="99">
        <v>2</v>
      </c>
      <c r="S123" s="99">
        <v>1</v>
      </c>
      <c r="T123" s="99"/>
      <c r="U123" s="99" t="s">
        <v>2218</v>
      </c>
      <c r="V123" s="99" t="s">
        <v>2469</v>
      </c>
      <c r="W123" s="99">
        <v>1</v>
      </c>
      <c r="X123" s="99">
        <v>1</v>
      </c>
      <c r="Y123" s="99">
        <v>1</v>
      </c>
      <c r="Z123" s="99">
        <v>1</v>
      </c>
      <c r="AA123" s="99">
        <v>2</v>
      </c>
      <c r="AB123" s="99"/>
      <c r="AC123" s="99" t="s">
        <v>1663</v>
      </c>
      <c r="AD123" s="99">
        <v>1</v>
      </c>
      <c r="AE123" s="99">
        <v>1</v>
      </c>
      <c r="AF123" s="99">
        <v>1</v>
      </c>
      <c r="AG123" s="99">
        <v>1</v>
      </c>
      <c r="AH123" s="95">
        <v>45106</v>
      </c>
      <c r="AI123" s="95" t="str">
        <f t="shared" si="33"/>
        <v>2Y3M19D</v>
      </c>
      <c r="AJ123" s="95" t="str">
        <f t="shared" si="34"/>
        <v>2Y0M6D</v>
      </c>
      <c r="AK123" s="102">
        <f t="shared" si="35"/>
        <v>2.0164383561643837</v>
      </c>
      <c r="AL123" s="99">
        <v>1</v>
      </c>
      <c r="AM123" s="99">
        <v>1</v>
      </c>
      <c r="AN123" s="99">
        <v>1</v>
      </c>
      <c r="AO123" s="99">
        <v>1</v>
      </c>
      <c r="AP123" s="99">
        <v>2</v>
      </c>
      <c r="AQ123" s="99">
        <v>3</v>
      </c>
      <c r="AR123" s="99"/>
      <c r="AS123" s="95">
        <v>45105</v>
      </c>
      <c r="AT123" s="95" t="str">
        <f t="shared" si="36"/>
        <v>2Y3M18D</v>
      </c>
      <c r="AU123" s="95" t="str">
        <f t="shared" si="37"/>
        <v>2Y0M5D</v>
      </c>
      <c r="AV123" s="102">
        <f t="shared" si="38"/>
        <v>2.0136986301369864</v>
      </c>
      <c r="AW123" s="99">
        <v>4</v>
      </c>
      <c r="AX123" s="99"/>
      <c r="AY123" s="99" t="e">
        <f t="shared" si="39"/>
        <v>#NUM!</v>
      </c>
      <c r="AZ123" s="102" t="e">
        <f t="shared" si="40"/>
        <v>#NUM!</v>
      </c>
      <c r="BA123" s="102">
        <f t="shared" si="41"/>
        <v>-121.56164383561644</v>
      </c>
      <c r="BB123" s="99"/>
      <c r="BC123" s="95">
        <v>45106</v>
      </c>
      <c r="BD123" s="95" t="str">
        <f t="shared" si="42"/>
        <v>2Y3M19D</v>
      </c>
      <c r="BE123" s="102" t="str">
        <f t="shared" si="43"/>
        <v>2Y0M6D</v>
      </c>
      <c r="BF123" s="102">
        <f t="shared" si="44"/>
        <v>2.0164383561643837</v>
      </c>
      <c r="BG123" s="99">
        <v>2</v>
      </c>
      <c r="BH123" s="99">
        <v>1</v>
      </c>
    </row>
    <row r="124" spans="1:60" s="189" customFormat="1" ht="16">
      <c r="A124" s="99" t="s">
        <v>531</v>
      </c>
      <c r="B124" s="99">
        <v>22107106</v>
      </c>
      <c r="C124" s="99" t="s">
        <v>532</v>
      </c>
      <c r="D124" s="95">
        <v>44265</v>
      </c>
      <c r="E124" s="95">
        <v>44370</v>
      </c>
      <c r="F124" s="95">
        <v>44370</v>
      </c>
      <c r="G124" s="99">
        <v>25</v>
      </c>
      <c r="H124" s="101">
        <v>45069</v>
      </c>
      <c r="I124" s="101">
        <v>45253</v>
      </c>
      <c r="J124" s="95">
        <v>45106</v>
      </c>
      <c r="K124" s="95">
        <v>45106</v>
      </c>
      <c r="L124" s="95" t="str">
        <f t="shared" si="30"/>
        <v>2Y3M19D</v>
      </c>
      <c r="M124" s="95" t="str">
        <f t="shared" si="31"/>
        <v>2Y0M6D</v>
      </c>
      <c r="N124" s="102">
        <f t="shared" si="32"/>
        <v>2.0164383561643837</v>
      </c>
      <c r="O124" s="99">
        <v>3</v>
      </c>
      <c r="P124" s="99">
        <v>3</v>
      </c>
      <c r="Q124" s="99"/>
      <c r="R124" s="99">
        <v>2</v>
      </c>
      <c r="S124" s="99">
        <v>1</v>
      </c>
      <c r="T124" s="99"/>
      <c r="U124" s="99">
        <v>1</v>
      </c>
      <c r="V124" s="99" t="s">
        <v>2469</v>
      </c>
      <c r="W124" s="99">
        <v>1</v>
      </c>
      <c r="X124" s="99">
        <v>1</v>
      </c>
      <c r="Y124" s="99">
        <v>1</v>
      </c>
      <c r="Z124" s="99">
        <v>1</v>
      </c>
      <c r="AA124" s="99">
        <v>2</v>
      </c>
      <c r="AB124" s="99">
        <v>1</v>
      </c>
      <c r="AC124" s="99"/>
      <c r="AD124" s="99">
        <v>1</v>
      </c>
      <c r="AE124" s="99">
        <v>1</v>
      </c>
      <c r="AF124" s="99">
        <v>1</v>
      </c>
      <c r="AG124" s="99">
        <v>1</v>
      </c>
      <c r="AH124" s="95">
        <v>45106</v>
      </c>
      <c r="AI124" s="95" t="str">
        <f t="shared" si="33"/>
        <v>2Y3M19D</v>
      </c>
      <c r="AJ124" s="95" t="str">
        <f t="shared" si="34"/>
        <v>2Y0M6D</v>
      </c>
      <c r="AK124" s="102">
        <f t="shared" si="35"/>
        <v>2.0164383561643837</v>
      </c>
      <c r="AL124" s="99">
        <v>1</v>
      </c>
      <c r="AM124" s="99">
        <v>1</v>
      </c>
      <c r="AN124" s="99">
        <v>1</v>
      </c>
      <c r="AO124" s="99">
        <v>1</v>
      </c>
      <c r="AP124" s="99">
        <v>2</v>
      </c>
      <c r="AQ124" s="99">
        <v>3</v>
      </c>
      <c r="AR124" s="99"/>
      <c r="AS124" s="95">
        <v>45105</v>
      </c>
      <c r="AT124" s="95" t="str">
        <f t="shared" si="36"/>
        <v>2Y3M18D</v>
      </c>
      <c r="AU124" s="95" t="str">
        <f t="shared" si="37"/>
        <v>2Y0M5D</v>
      </c>
      <c r="AV124" s="102">
        <f t="shared" si="38"/>
        <v>2.0136986301369864</v>
      </c>
      <c r="AW124" s="99">
        <v>4</v>
      </c>
      <c r="AX124" s="95"/>
      <c r="AY124" s="95" t="e">
        <f t="shared" si="39"/>
        <v>#NUM!</v>
      </c>
      <c r="AZ124" s="102" t="e">
        <f t="shared" si="40"/>
        <v>#NUM!</v>
      </c>
      <c r="BA124" s="102">
        <f t="shared" si="41"/>
        <v>-121.56164383561644</v>
      </c>
      <c r="BB124" s="99"/>
      <c r="BC124" s="95">
        <v>45106</v>
      </c>
      <c r="BD124" s="95" t="str">
        <f t="shared" si="42"/>
        <v>2Y3M19D</v>
      </c>
      <c r="BE124" s="102" t="str">
        <f t="shared" si="43"/>
        <v>2Y0M6D</v>
      </c>
      <c r="BF124" s="102">
        <f t="shared" si="44"/>
        <v>2.0164383561643837</v>
      </c>
      <c r="BG124" s="99">
        <v>2</v>
      </c>
      <c r="BH124" s="99">
        <v>1</v>
      </c>
    </row>
    <row r="125" spans="1:60" s="110" customFormat="1" ht="16">
      <c r="A125" s="17" t="s">
        <v>533</v>
      </c>
      <c r="B125" s="17">
        <v>22100078</v>
      </c>
      <c r="C125" s="17" t="s">
        <v>534</v>
      </c>
      <c r="D125" s="40">
        <v>43613</v>
      </c>
      <c r="E125" s="40">
        <v>43619</v>
      </c>
      <c r="F125" s="40">
        <v>43613</v>
      </c>
      <c r="G125" s="17" t="s">
        <v>110</v>
      </c>
      <c r="H125" s="75">
        <v>44319</v>
      </c>
      <c r="I125" s="75">
        <v>44503</v>
      </c>
      <c r="J125" s="40">
        <v>44502</v>
      </c>
      <c r="K125" s="40">
        <v>44502</v>
      </c>
      <c r="L125" s="40" t="str">
        <f t="shared" si="30"/>
        <v>2Y5M5D</v>
      </c>
      <c r="M125" s="40" t="str">
        <f t="shared" si="31"/>
        <v>2Y4M30D</v>
      </c>
      <c r="N125" s="21">
        <f t="shared" si="32"/>
        <v>2.4356164383561643</v>
      </c>
      <c r="O125" s="17">
        <v>3</v>
      </c>
      <c r="P125" s="17">
        <v>3</v>
      </c>
      <c r="Q125" s="17" t="s">
        <v>1698</v>
      </c>
      <c r="R125" s="19">
        <v>2</v>
      </c>
      <c r="S125" s="17">
        <v>1</v>
      </c>
      <c r="T125" s="17"/>
      <c r="U125" s="17" t="s">
        <v>1698</v>
      </c>
      <c r="V125" s="17" t="s">
        <v>1685</v>
      </c>
      <c r="W125" s="17">
        <v>1</v>
      </c>
      <c r="X125" s="17">
        <v>1</v>
      </c>
      <c r="Y125" s="17">
        <v>1</v>
      </c>
      <c r="Z125" s="17">
        <v>1</v>
      </c>
      <c r="AA125" s="17">
        <v>2</v>
      </c>
      <c r="AB125" s="17"/>
      <c r="AC125" s="17" t="s">
        <v>1669</v>
      </c>
      <c r="AD125" s="17">
        <v>1</v>
      </c>
      <c r="AE125" s="17">
        <v>1</v>
      </c>
      <c r="AF125" s="17">
        <v>1</v>
      </c>
      <c r="AG125" s="17">
        <v>1</v>
      </c>
      <c r="AH125" s="22" t="s">
        <v>1961</v>
      </c>
      <c r="AI125" s="22" t="e">
        <f t="shared" si="33"/>
        <v>#VALUE!</v>
      </c>
      <c r="AJ125" s="22" t="e">
        <f t="shared" si="34"/>
        <v>#VALUE!</v>
      </c>
      <c r="AK125" s="70" t="e">
        <f t="shared" si="35"/>
        <v>#VALUE!</v>
      </c>
      <c r="AL125" s="17"/>
      <c r="AM125" s="17"/>
      <c r="AN125" s="17"/>
      <c r="AO125" s="17"/>
      <c r="AP125" s="17"/>
      <c r="AQ125" s="17"/>
      <c r="AR125" s="17"/>
      <c r="AS125" s="22" t="s">
        <v>1961</v>
      </c>
      <c r="AT125" s="22" t="e">
        <f t="shared" si="36"/>
        <v>#VALUE!</v>
      </c>
      <c r="AU125" s="22" t="e">
        <f t="shared" si="37"/>
        <v>#VALUE!</v>
      </c>
      <c r="AV125" s="70" t="e">
        <f t="shared" si="38"/>
        <v>#VALUE!</v>
      </c>
      <c r="AW125" s="17"/>
      <c r="AX125" s="17"/>
      <c r="AY125" s="17" t="e">
        <f t="shared" si="39"/>
        <v>#NUM!</v>
      </c>
      <c r="AZ125" s="21" t="e">
        <f t="shared" si="40"/>
        <v>#NUM!</v>
      </c>
      <c r="BA125" s="21">
        <f t="shared" si="41"/>
        <v>-119.48767123287671</v>
      </c>
      <c r="BB125" s="17"/>
      <c r="BC125" s="40">
        <v>44502</v>
      </c>
      <c r="BD125" s="40" t="str">
        <f t="shared" si="42"/>
        <v>2Y5M5D</v>
      </c>
      <c r="BE125" s="21" t="str">
        <f t="shared" si="43"/>
        <v>2Y4M30D</v>
      </c>
      <c r="BF125" s="21">
        <f t="shared" si="44"/>
        <v>2.4356164383561643</v>
      </c>
      <c r="BG125" s="17">
        <v>1</v>
      </c>
      <c r="BH125" s="17">
        <v>1</v>
      </c>
    </row>
    <row r="126" spans="1:60" s="193" customFormat="1" ht="16">
      <c r="A126" s="25" t="s">
        <v>537</v>
      </c>
      <c r="B126" s="25">
        <v>22108137</v>
      </c>
      <c r="C126" s="25" t="s">
        <v>538</v>
      </c>
      <c r="D126" s="32">
        <v>44372</v>
      </c>
      <c r="E126" s="32">
        <v>44377</v>
      </c>
      <c r="F126" s="32">
        <v>44372</v>
      </c>
      <c r="G126" s="25" t="s">
        <v>452</v>
      </c>
      <c r="H126" s="86">
        <v>45076</v>
      </c>
      <c r="I126" s="86">
        <v>45260</v>
      </c>
      <c r="J126" s="25"/>
      <c r="K126" s="32"/>
      <c r="L126" s="32" t="e">
        <f t="shared" ref="L126:L157" si="45">DATEDIF(D126,K126,"y")&amp;"Y"&amp;DATEDIF(D126,K126,"ym")&amp;"M"&amp;DATEDIF(D126,K126,"md")&amp;"D"</f>
        <v>#NUM!</v>
      </c>
      <c r="M126" s="32" t="e">
        <f t="shared" ref="M126:M157" si="46">DATEDIF(E126,K126,"y")&amp;"Y"&amp;DATEDIF(E126,K126,"ym")&amp;"M"&amp;DATEDIF(E126,K126,"md")&amp;"D"</f>
        <v>#NUM!</v>
      </c>
      <c r="N126" s="64">
        <f t="shared" ref="N126:N157" si="47">(K126-F126)/365</f>
        <v>-121.56712328767124</v>
      </c>
      <c r="O126" s="25"/>
      <c r="P126" s="25"/>
      <c r="Q126" s="25"/>
      <c r="R126" s="25"/>
      <c r="S126" s="25"/>
      <c r="T126" s="25"/>
      <c r="U126" s="25"/>
      <c r="V126" s="25"/>
      <c r="W126" s="25"/>
      <c r="X126" s="25"/>
      <c r="Y126" s="25"/>
      <c r="Z126" s="25"/>
      <c r="AA126" s="25"/>
      <c r="AB126" s="25"/>
      <c r="AC126" s="25"/>
      <c r="AD126" s="25"/>
      <c r="AE126" s="25"/>
      <c r="AF126" s="25"/>
      <c r="AG126" s="25"/>
      <c r="AH126" s="32"/>
      <c r="AI126" s="32" t="e">
        <f t="shared" ref="AI126:AI157" si="48">DATEDIF(D126,AH126,"y")&amp;"Y"&amp;DATEDIF(D126,AH126,"ym")&amp;"M"&amp;DATEDIF(D126,AH126,"md")&amp;"D"</f>
        <v>#NUM!</v>
      </c>
      <c r="AJ126" s="32" t="e">
        <f t="shared" ref="AJ126:AJ157" si="49">DATEDIF(E126,AH126,"y")&amp;"Y"&amp;DATEDIF(E126,AH126,"ym")&amp;"M"&amp;DATEDIF(E126,AH126,"md")&amp;"D"</f>
        <v>#NUM!</v>
      </c>
      <c r="AK126" s="64">
        <f t="shared" ref="AK126:AK157" si="50">(AH126-F126)/365</f>
        <v>-121.56712328767124</v>
      </c>
      <c r="AL126" s="25"/>
      <c r="AM126" s="25"/>
      <c r="AN126" s="25"/>
      <c r="AO126" s="25"/>
      <c r="AP126" s="25"/>
      <c r="AQ126" s="25"/>
      <c r="AR126" s="25"/>
      <c r="AS126" s="32"/>
      <c r="AT126" s="32" t="e">
        <f t="shared" ref="AT126:AT157" si="51">DATEDIF(D126,AS126,"y")&amp;"Y"&amp;DATEDIF(D126,AS126,"ym")&amp;"M"&amp;DATEDIF(D126,AS126,"md")&amp;"D"</f>
        <v>#NUM!</v>
      </c>
      <c r="AU126" s="32" t="e">
        <f t="shared" ref="AU126:AU157" si="52">DATEDIF(E126,AS126,"y")&amp;"Y"&amp;DATEDIF(E126,AS126,"ym")&amp;"M"&amp;DATEDIF(E126,AS126,"md")&amp;"D"</f>
        <v>#NUM!</v>
      </c>
      <c r="AV126" s="64">
        <f t="shared" ref="AV126:AV157" si="53">(AS126-F126)/365</f>
        <v>-121.56712328767124</v>
      </c>
      <c r="AW126" s="25"/>
      <c r="AX126" s="32"/>
      <c r="AY126" s="32" t="e">
        <f t="shared" ref="AY126:AY157" si="54">DATEDIF(D126,AX126,"y")&amp;"Y"&amp;DATEDIF(D126,AX126,"ym")&amp;"M"&amp;DATEDIF(D126,AX126,"md")&amp;"D"</f>
        <v>#NUM!</v>
      </c>
      <c r="AZ126" s="64" t="e">
        <f t="shared" ref="AZ126:AZ157" si="55">DATEDIF(E126,AX126,"y")&amp;"Y"&amp;DATEDIF(E126,AX126,"ym")&amp;"M"&amp;DATEDIF(E126,AX126,"md")&amp;"D"</f>
        <v>#NUM!</v>
      </c>
      <c r="BA126" s="64">
        <f t="shared" ref="BA126:BA157" si="56">(AX126-F126)/365</f>
        <v>-121.56712328767124</v>
      </c>
      <c r="BB126" s="25"/>
      <c r="BC126" s="32"/>
      <c r="BD126" s="32" t="e">
        <f t="shared" ref="BD126:BD157" si="57">DATEDIF(D126,BC126,"y")&amp;"Y"&amp;DATEDIF(D126,BC126,"ym")&amp;"M"&amp;DATEDIF(D126,BC126,"md")&amp;"D"</f>
        <v>#NUM!</v>
      </c>
      <c r="BE126" s="64" t="e">
        <f t="shared" ref="BE126:BE157" si="58">DATEDIF(E126,BC126,"y")&amp;"Y"&amp;DATEDIF(E126,BC126,"ym")&amp;"M"&amp;DATEDIF(E126,BC126,"md")&amp;"D"</f>
        <v>#NUM!</v>
      </c>
      <c r="BF126" s="64">
        <f t="shared" ref="BF126:BF157" si="59">(BC126-F126)/365</f>
        <v>-121.56712328767124</v>
      </c>
      <c r="BG126" s="25"/>
      <c r="BH126" s="25">
        <v>0</v>
      </c>
    </row>
    <row r="127" spans="1:60" s="110" customFormat="1" ht="16">
      <c r="A127" s="17" t="s">
        <v>541</v>
      </c>
      <c r="B127" s="17">
        <v>22108221</v>
      </c>
      <c r="C127" s="17" t="s">
        <v>542</v>
      </c>
      <c r="D127" s="40">
        <v>44383</v>
      </c>
      <c r="E127" s="40">
        <v>44387</v>
      </c>
      <c r="F127" s="40">
        <v>44383</v>
      </c>
      <c r="G127" s="17" t="s">
        <v>19</v>
      </c>
      <c r="H127" s="75">
        <v>45087</v>
      </c>
      <c r="I127" s="75">
        <v>45270</v>
      </c>
      <c r="J127" s="40"/>
      <c r="K127" s="40"/>
      <c r="L127" s="40" t="e">
        <f t="shared" si="45"/>
        <v>#NUM!</v>
      </c>
      <c r="M127" s="40" t="e">
        <f t="shared" si="46"/>
        <v>#NUM!</v>
      </c>
      <c r="N127" s="21">
        <f t="shared" si="47"/>
        <v>-121.59726027397261</v>
      </c>
      <c r="O127" s="17"/>
      <c r="P127" s="17"/>
      <c r="Q127" s="17"/>
      <c r="R127" s="17"/>
      <c r="S127" s="17"/>
      <c r="T127" s="17"/>
      <c r="U127" s="17"/>
      <c r="V127" s="17"/>
      <c r="W127" s="17"/>
      <c r="X127" s="17"/>
      <c r="Y127" s="17"/>
      <c r="Z127" s="17"/>
      <c r="AA127" s="17"/>
      <c r="AB127" s="17"/>
      <c r="AC127" s="17"/>
      <c r="AD127" s="17"/>
      <c r="AE127" s="17"/>
      <c r="AF127" s="17"/>
      <c r="AG127" s="17"/>
      <c r="AH127" s="40">
        <v>45231</v>
      </c>
      <c r="AI127" s="40" t="str">
        <f t="shared" si="48"/>
        <v>2Y3M26D</v>
      </c>
      <c r="AJ127" s="40" t="str">
        <f t="shared" si="49"/>
        <v>2Y3M22D</v>
      </c>
      <c r="AK127" s="21">
        <f t="shared" si="50"/>
        <v>2.3232876712328765</v>
      </c>
      <c r="AL127" s="17">
        <v>1</v>
      </c>
      <c r="AM127" s="17">
        <v>1</v>
      </c>
      <c r="AN127" s="17">
        <v>1</v>
      </c>
      <c r="AO127" s="17">
        <v>1</v>
      </c>
      <c r="AP127" s="17">
        <v>3</v>
      </c>
      <c r="AQ127" s="17">
        <v>3</v>
      </c>
      <c r="AR127" s="17"/>
      <c r="AS127" s="40">
        <v>45231</v>
      </c>
      <c r="AT127" s="40" t="str">
        <f t="shared" si="51"/>
        <v>2Y3M26D</v>
      </c>
      <c r="AU127" s="40" t="str">
        <f t="shared" si="52"/>
        <v>2Y3M22D</v>
      </c>
      <c r="AV127" s="21">
        <f t="shared" si="53"/>
        <v>2.3232876712328765</v>
      </c>
      <c r="AW127" s="17">
        <v>6</v>
      </c>
      <c r="AX127" s="40">
        <v>45232</v>
      </c>
      <c r="AY127" s="40" t="str">
        <f t="shared" si="54"/>
        <v>2Y3M27D</v>
      </c>
      <c r="AZ127" s="21" t="str">
        <f t="shared" si="55"/>
        <v>2Y3M23D</v>
      </c>
      <c r="BA127" s="21">
        <f t="shared" si="56"/>
        <v>2.3260273972602739</v>
      </c>
      <c r="BB127" s="17">
        <v>6</v>
      </c>
      <c r="BC127" s="40">
        <v>45232</v>
      </c>
      <c r="BD127" s="40" t="str">
        <f t="shared" si="57"/>
        <v>2Y3M27D</v>
      </c>
      <c r="BE127" s="21" t="str">
        <f t="shared" si="58"/>
        <v>2Y3M23D</v>
      </c>
      <c r="BF127" s="21">
        <f t="shared" si="59"/>
        <v>2.3260273972602739</v>
      </c>
      <c r="BG127" s="17">
        <v>2</v>
      </c>
      <c r="BH127" s="17">
        <v>0</v>
      </c>
    </row>
    <row r="128" spans="1:60" s="189" customFormat="1" ht="16">
      <c r="A128" s="99" t="s">
        <v>544</v>
      </c>
      <c r="B128" s="99">
        <v>22100560</v>
      </c>
      <c r="C128" s="99" t="s">
        <v>545</v>
      </c>
      <c r="D128" s="95">
        <v>43657</v>
      </c>
      <c r="E128" s="95">
        <v>43728</v>
      </c>
      <c r="F128" s="95">
        <v>43728</v>
      </c>
      <c r="G128" s="99" t="s">
        <v>289</v>
      </c>
      <c r="H128" s="101">
        <v>44428</v>
      </c>
      <c r="I128" s="101">
        <v>44612</v>
      </c>
      <c r="J128" s="95">
        <v>44505</v>
      </c>
      <c r="K128" s="95">
        <v>44505</v>
      </c>
      <c r="L128" s="95" t="str">
        <f t="shared" si="45"/>
        <v>2Y3M25D</v>
      </c>
      <c r="M128" s="95" t="str">
        <f t="shared" si="46"/>
        <v>2Y1M16D</v>
      </c>
      <c r="N128" s="102">
        <f t="shared" si="47"/>
        <v>2.128767123287671</v>
      </c>
      <c r="O128" s="99">
        <v>3</v>
      </c>
      <c r="P128" s="99">
        <v>1</v>
      </c>
      <c r="Q128" s="99" t="s">
        <v>1761</v>
      </c>
      <c r="R128" s="98">
        <v>2</v>
      </c>
      <c r="S128" s="99">
        <v>1</v>
      </c>
      <c r="T128" s="99"/>
      <c r="U128" s="99" t="s">
        <v>1666</v>
      </c>
      <c r="V128" s="99" t="s">
        <v>1695</v>
      </c>
      <c r="W128" s="99">
        <v>1</v>
      </c>
      <c r="X128" s="99">
        <v>1</v>
      </c>
      <c r="Y128" s="99">
        <v>1</v>
      </c>
      <c r="Z128" s="99">
        <v>1</v>
      </c>
      <c r="AA128" s="99">
        <v>2</v>
      </c>
      <c r="AB128" s="99"/>
      <c r="AC128" s="99" t="s">
        <v>1674</v>
      </c>
      <c r="AD128" s="99">
        <v>1</v>
      </c>
      <c r="AE128" s="99">
        <v>1</v>
      </c>
      <c r="AF128" s="99">
        <v>1</v>
      </c>
      <c r="AG128" s="99">
        <v>1</v>
      </c>
      <c r="AH128" s="95">
        <v>44508</v>
      </c>
      <c r="AI128" s="95" t="str">
        <f t="shared" si="48"/>
        <v>2Y3M28D</v>
      </c>
      <c r="AJ128" s="95" t="str">
        <f t="shared" si="49"/>
        <v>2Y1M19D</v>
      </c>
      <c r="AK128" s="102">
        <f t="shared" si="50"/>
        <v>2.1369863013698631</v>
      </c>
      <c r="AL128" s="99"/>
      <c r="AM128" s="264">
        <v>1</v>
      </c>
      <c r="AN128" s="99">
        <v>1</v>
      </c>
      <c r="AO128" s="99">
        <v>1</v>
      </c>
      <c r="AP128" s="99">
        <v>2</v>
      </c>
      <c r="AQ128" s="99">
        <v>3</v>
      </c>
      <c r="AR128" s="99"/>
      <c r="AS128" s="95">
        <v>44505</v>
      </c>
      <c r="AT128" s="95" t="str">
        <f t="shared" si="51"/>
        <v>2Y3M25D</v>
      </c>
      <c r="AU128" s="95" t="str">
        <f t="shared" si="52"/>
        <v>2Y1M16D</v>
      </c>
      <c r="AV128" s="102">
        <f t="shared" si="53"/>
        <v>2.128767123287671</v>
      </c>
      <c r="AW128" s="99">
        <v>2</v>
      </c>
      <c r="AX128" s="95">
        <v>44507</v>
      </c>
      <c r="AY128" s="95" t="str">
        <f t="shared" si="54"/>
        <v>2Y3M27D</v>
      </c>
      <c r="AZ128" s="102" t="str">
        <f t="shared" si="55"/>
        <v>2Y1M18D</v>
      </c>
      <c r="BA128" s="102">
        <f t="shared" si="56"/>
        <v>2.1342465753424658</v>
      </c>
      <c r="BB128" s="99">
        <v>2</v>
      </c>
      <c r="BC128" s="95">
        <v>44505</v>
      </c>
      <c r="BD128" s="95" t="str">
        <f t="shared" si="57"/>
        <v>2Y3M25D</v>
      </c>
      <c r="BE128" s="102" t="str">
        <f t="shared" si="58"/>
        <v>2Y1M16D</v>
      </c>
      <c r="BF128" s="102">
        <f t="shared" si="59"/>
        <v>2.128767123287671</v>
      </c>
      <c r="BG128" s="99">
        <v>1</v>
      </c>
      <c r="BH128" s="99">
        <v>1</v>
      </c>
    </row>
    <row r="129" spans="1:60" s="189" customFormat="1" ht="16">
      <c r="A129" s="99" t="s">
        <v>548</v>
      </c>
      <c r="B129" s="99">
        <v>22108557</v>
      </c>
      <c r="C129" s="99" t="s">
        <v>549</v>
      </c>
      <c r="D129" s="95">
        <v>44416</v>
      </c>
      <c r="E129" s="95">
        <v>44478</v>
      </c>
      <c r="F129" s="95">
        <v>44478</v>
      </c>
      <c r="G129" s="99" t="s">
        <v>497</v>
      </c>
      <c r="H129" s="101">
        <v>45178</v>
      </c>
      <c r="I129" s="101">
        <v>45360</v>
      </c>
      <c r="J129" s="95">
        <v>45211</v>
      </c>
      <c r="K129" s="95">
        <v>45211</v>
      </c>
      <c r="L129" s="99" t="str">
        <f t="shared" si="45"/>
        <v>2Y2M4D</v>
      </c>
      <c r="M129" s="99" t="str">
        <f t="shared" si="46"/>
        <v>2Y0M3D</v>
      </c>
      <c r="N129" s="102">
        <f t="shared" si="47"/>
        <v>2.0082191780821916</v>
      </c>
      <c r="O129" s="99">
        <v>3</v>
      </c>
      <c r="P129" s="99">
        <v>3</v>
      </c>
      <c r="Q129" s="99"/>
      <c r="R129" s="99">
        <v>2</v>
      </c>
      <c r="S129" s="99">
        <v>1</v>
      </c>
      <c r="T129" s="99"/>
      <c r="U129" s="99" t="s">
        <v>1688</v>
      </c>
      <c r="V129" s="99" t="s">
        <v>1661</v>
      </c>
      <c r="W129" s="99">
        <v>1</v>
      </c>
      <c r="X129" s="99">
        <v>1</v>
      </c>
      <c r="Y129" s="99">
        <v>2</v>
      </c>
      <c r="Z129" s="99">
        <v>1</v>
      </c>
      <c r="AA129" s="99">
        <v>2</v>
      </c>
      <c r="AB129" s="99"/>
      <c r="AC129" s="99" t="s">
        <v>1666</v>
      </c>
      <c r="AD129" s="99">
        <v>1</v>
      </c>
      <c r="AE129" s="99">
        <v>1</v>
      </c>
      <c r="AF129" s="99">
        <v>1</v>
      </c>
      <c r="AG129" s="99">
        <v>1</v>
      </c>
      <c r="AH129" s="95">
        <v>45211</v>
      </c>
      <c r="AI129" s="99" t="str">
        <f t="shared" si="48"/>
        <v>2Y2M4D</v>
      </c>
      <c r="AJ129" s="99" t="str">
        <f t="shared" si="49"/>
        <v>2Y0M3D</v>
      </c>
      <c r="AK129" s="102">
        <f t="shared" si="50"/>
        <v>2.0082191780821916</v>
      </c>
      <c r="AL129" s="99">
        <v>1</v>
      </c>
      <c r="AM129" s="99">
        <v>1</v>
      </c>
      <c r="AN129" s="99">
        <v>1</v>
      </c>
      <c r="AO129" s="99">
        <v>1</v>
      </c>
      <c r="AP129" s="99">
        <v>3</v>
      </c>
      <c r="AQ129" s="99">
        <v>3</v>
      </c>
      <c r="AR129" s="99"/>
      <c r="AS129" s="95">
        <v>45210</v>
      </c>
      <c r="AT129" s="99" t="str">
        <f t="shared" si="51"/>
        <v>2Y2M3D</v>
      </c>
      <c r="AU129" s="99" t="str">
        <f t="shared" si="52"/>
        <v>2Y0M2D</v>
      </c>
      <c r="AV129" s="102">
        <f t="shared" si="53"/>
        <v>2.0054794520547947</v>
      </c>
      <c r="AW129" s="99">
        <v>5</v>
      </c>
      <c r="AX129" s="95">
        <v>45210</v>
      </c>
      <c r="AY129" s="99" t="str">
        <f t="shared" si="54"/>
        <v>2Y2M3D</v>
      </c>
      <c r="AZ129" s="102" t="str">
        <f t="shared" si="55"/>
        <v>2Y0M2D</v>
      </c>
      <c r="BA129" s="102">
        <f t="shared" si="56"/>
        <v>2.0054794520547947</v>
      </c>
      <c r="BB129" s="99">
        <v>5</v>
      </c>
      <c r="BC129" s="95">
        <v>45211</v>
      </c>
      <c r="BD129" s="99" t="str">
        <f t="shared" si="57"/>
        <v>2Y2M4D</v>
      </c>
      <c r="BE129" s="102" t="str">
        <f t="shared" si="58"/>
        <v>2Y0M3D</v>
      </c>
      <c r="BF129" s="102">
        <f t="shared" si="59"/>
        <v>2.0082191780821916</v>
      </c>
      <c r="BG129" s="99">
        <v>2</v>
      </c>
      <c r="BH129" s="99">
        <v>1</v>
      </c>
    </row>
    <row r="130" spans="1:60" s="193" customFormat="1" ht="16">
      <c r="A130" s="25" t="s">
        <v>551</v>
      </c>
      <c r="B130" s="25">
        <v>22103485</v>
      </c>
      <c r="C130" s="25" t="s">
        <v>552</v>
      </c>
      <c r="D130" s="32">
        <v>43909</v>
      </c>
      <c r="E130" s="32">
        <v>44009</v>
      </c>
      <c r="F130" s="32">
        <v>44009</v>
      </c>
      <c r="G130" s="25" t="s">
        <v>553</v>
      </c>
      <c r="H130" s="86">
        <v>44708</v>
      </c>
      <c r="I130" s="86">
        <v>44892</v>
      </c>
      <c r="J130" s="32"/>
      <c r="K130" s="67"/>
      <c r="L130" s="67" t="e">
        <f t="shared" si="45"/>
        <v>#NUM!</v>
      </c>
      <c r="M130" s="67" t="e">
        <f t="shared" si="46"/>
        <v>#NUM!</v>
      </c>
      <c r="N130" s="74">
        <f t="shared" si="47"/>
        <v>-120.57260273972602</v>
      </c>
      <c r="O130" s="25"/>
      <c r="P130" s="25"/>
      <c r="Q130" s="25"/>
      <c r="R130" s="25"/>
      <c r="S130" s="25"/>
      <c r="T130" s="25"/>
      <c r="U130" s="25"/>
      <c r="V130" s="25"/>
      <c r="W130" s="25"/>
      <c r="X130" s="25"/>
      <c r="Y130" s="25"/>
      <c r="Z130" s="25"/>
      <c r="AA130" s="25"/>
      <c r="AB130" s="25"/>
      <c r="AC130" s="25"/>
      <c r="AD130" s="25"/>
      <c r="AE130" s="25"/>
      <c r="AF130" s="25"/>
      <c r="AG130" s="25"/>
      <c r="AH130" s="67"/>
      <c r="AI130" s="67" t="e">
        <f t="shared" si="48"/>
        <v>#NUM!</v>
      </c>
      <c r="AJ130" s="67" t="e">
        <f t="shared" si="49"/>
        <v>#NUM!</v>
      </c>
      <c r="AK130" s="74">
        <f t="shared" si="50"/>
        <v>-120.57260273972602</v>
      </c>
      <c r="AL130" s="25"/>
      <c r="AM130" s="25"/>
      <c r="AN130" s="25"/>
      <c r="AO130" s="25"/>
      <c r="AP130" s="25"/>
      <c r="AQ130" s="25"/>
      <c r="AR130" s="25"/>
      <c r="AS130" s="67"/>
      <c r="AT130" s="67" t="e">
        <f t="shared" si="51"/>
        <v>#NUM!</v>
      </c>
      <c r="AU130" s="67" t="e">
        <f t="shared" si="52"/>
        <v>#NUM!</v>
      </c>
      <c r="AV130" s="74">
        <f t="shared" si="53"/>
        <v>-120.57260273972602</v>
      </c>
      <c r="AW130" s="25"/>
      <c r="AX130" s="67"/>
      <c r="AY130" s="67" t="e">
        <f t="shared" si="54"/>
        <v>#NUM!</v>
      </c>
      <c r="AZ130" s="74" t="e">
        <f t="shared" si="55"/>
        <v>#NUM!</v>
      </c>
      <c r="BA130" s="74">
        <f t="shared" si="56"/>
        <v>-120.57260273972602</v>
      </c>
      <c r="BB130" s="25"/>
      <c r="BC130" s="25"/>
      <c r="BD130" s="25" t="e">
        <f t="shared" si="57"/>
        <v>#NUM!</v>
      </c>
      <c r="BE130" s="64" t="e">
        <f t="shared" si="58"/>
        <v>#NUM!</v>
      </c>
      <c r="BF130" s="64">
        <f t="shared" si="59"/>
        <v>-120.57260273972602</v>
      </c>
      <c r="BG130" s="25"/>
      <c r="BH130" s="25">
        <v>1</v>
      </c>
    </row>
    <row r="131" spans="1:60" s="193" customFormat="1" ht="16">
      <c r="A131" s="25" t="s">
        <v>555</v>
      </c>
      <c r="B131" s="25">
        <v>22282241</v>
      </c>
      <c r="C131" s="25" t="s">
        <v>556</v>
      </c>
      <c r="D131" s="32">
        <v>44173</v>
      </c>
      <c r="E131" s="32">
        <v>44255</v>
      </c>
      <c r="F131" s="32">
        <v>44255</v>
      </c>
      <c r="G131" s="25">
        <v>28</v>
      </c>
      <c r="H131" s="86">
        <v>44954</v>
      </c>
      <c r="I131" s="86">
        <v>45135</v>
      </c>
      <c r="J131" s="32"/>
      <c r="K131" s="32"/>
      <c r="L131" s="32" t="e">
        <f t="shared" si="45"/>
        <v>#NUM!</v>
      </c>
      <c r="M131" s="32" t="e">
        <f t="shared" si="46"/>
        <v>#NUM!</v>
      </c>
      <c r="N131" s="64">
        <f t="shared" si="47"/>
        <v>-121.24657534246575</v>
      </c>
      <c r="O131" s="25"/>
      <c r="P131" s="25"/>
      <c r="Q131" s="25"/>
      <c r="R131" s="25"/>
      <c r="S131" s="25"/>
      <c r="T131" s="25"/>
      <c r="U131" s="25"/>
      <c r="V131" s="25"/>
      <c r="W131" s="25"/>
      <c r="X131" s="25"/>
      <c r="Y131" s="25"/>
      <c r="Z131" s="25"/>
      <c r="AA131" s="25"/>
      <c r="AB131" s="25"/>
      <c r="AC131" s="25"/>
      <c r="AD131" s="25"/>
      <c r="AE131" s="25"/>
      <c r="AF131" s="25"/>
      <c r="AG131" s="25"/>
      <c r="AH131" s="32"/>
      <c r="AI131" s="32" t="e">
        <f t="shared" si="48"/>
        <v>#NUM!</v>
      </c>
      <c r="AJ131" s="32" t="e">
        <f t="shared" si="49"/>
        <v>#NUM!</v>
      </c>
      <c r="AK131" s="64">
        <f t="shared" si="50"/>
        <v>-121.24657534246575</v>
      </c>
      <c r="AL131" s="25"/>
      <c r="AM131" s="25"/>
      <c r="AN131" s="25"/>
      <c r="AO131" s="25"/>
      <c r="AP131" s="25"/>
      <c r="AQ131" s="25"/>
      <c r="AR131" s="25"/>
      <c r="AS131" s="32"/>
      <c r="AT131" s="32" t="e">
        <f t="shared" si="51"/>
        <v>#NUM!</v>
      </c>
      <c r="AU131" s="32" t="e">
        <f t="shared" si="52"/>
        <v>#NUM!</v>
      </c>
      <c r="AV131" s="64">
        <f t="shared" si="53"/>
        <v>-121.24657534246575</v>
      </c>
      <c r="AW131" s="25"/>
      <c r="AX131" s="32"/>
      <c r="AY131" s="32" t="e">
        <f t="shared" si="54"/>
        <v>#NUM!</v>
      </c>
      <c r="AZ131" s="64" t="e">
        <f t="shared" si="55"/>
        <v>#NUM!</v>
      </c>
      <c r="BA131" s="64">
        <f t="shared" si="56"/>
        <v>-121.24657534246575</v>
      </c>
      <c r="BB131" s="25"/>
      <c r="BC131" s="32"/>
      <c r="BD131" s="32" t="e">
        <f t="shared" si="57"/>
        <v>#NUM!</v>
      </c>
      <c r="BE131" s="64" t="e">
        <f t="shared" si="58"/>
        <v>#NUM!</v>
      </c>
      <c r="BF131" s="64">
        <f t="shared" si="59"/>
        <v>-121.24657534246575</v>
      </c>
      <c r="BG131" s="25"/>
      <c r="BH131" s="25">
        <v>1</v>
      </c>
    </row>
    <row r="132" spans="1:60" s="110" customFormat="1" ht="16">
      <c r="A132" s="17" t="s">
        <v>558</v>
      </c>
      <c r="B132" s="17">
        <v>22108320</v>
      </c>
      <c r="C132" s="17" t="s">
        <v>559</v>
      </c>
      <c r="D132" s="40">
        <v>44392</v>
      </c>
      <c r="E132" s="40">
        <v>44395</v>
      </c>
      <c r="F132" s="40">
        <v>44392</v>
      </c>
      <c r="G132" s="17" t="s">
        <v>560</v>
      </c>
      <c r="H132" s="75">
        <v>45095</v>
      </c>
      <c r="I132" s="75">
        <v>45278</v>
      </c>
      <c r="J132" s="40"/>
      <c r="K132" s="40"/>
      <c r="L132" s="40" t="e">
        <f t="shared" si="45"/>
        <v>#NUM!</v>
      </c>
      <c r="M132" s="40" t="e">
        <f t="shared" si="46"/>
        <v>#NUM!</v>
      </c>
      <c r="N132" s="21">
        <f t="shared" si="47"/>
        <v>-121.62191780821918</v>
      </c>
      <c r="O132" s="17"/>
      <c r="P132" s="17"/>
      <c r="Q132" s="17"/>
      <c r="R132" s="17"/>
      <c r="S132" s="17"/>
      <c r="T132" s="17"/>
      <c r="U132" s="17"/>
      <c r="V132" s="17"/>
      <c r="W132" s="17"/>
      <c r="X132" s="17"/>
      <c r="Y132" s="17"/>
      <c r="Z132" s="17"/>
      <c r="AA132" s="17"/>
      <c r="AB132" s="17"/>
      <c r="AC132" s="17"/>
      <c r="AD132" s="17"/>
      <c r="AE132" s="17"/>
      <c r="AF132" s="17"/>
      <c r="AG132" s="17"/>
      <c r="AH132" s="40">
        <v>45236</v>
      </c>
      <c r="AI132" s="40" t="str">
        <f t="shared" si="48"/>
        <v>2Y3M22D</v>
      </c>
      <c r="AJ132" s="40" t="str">
        <f t="shared" si="49"/>
        <v>2Y3M19D</v>
      </c>
      <c r="AK132" s="21">
        <f t="shared" si="50"/>
        <v>2.3123287671232875</v>
      </c>
      <c r="AL132" s="17">
        <v>1</v>
      </c>
      <c r="AM132" s="17">
        <v>1</v>
      </c>
      <c r="AN132" s="17">
        <v>1</v>
      </c>
      <c r="AO132" s="17">
        <v>1</v>
      </c>
      <c r="AP132" s="17"/>
      <c r="AQ132" s="17"/>
      <c r="AR132" s="17"/>
      <c r="AS132" s="40">
        <v>45231</v>
      </c>
      <c r="AT132" s="40" t="str">
        <f t="shared" si="51"/>
        <v>2Y3M17D</v>
      </c>
      <c r="AU132" s="40" t="str">
        <f t="shared" si="52"/>
        <v>2Y3M14D</v>
      </c>
      <c r="AV132" s="21">
        <f t="shared" si="53"/>
        <v>2.2986301369863016</v>
      </c>
      <c r="AW132" s="17">
        <v>6</v>
      </c>
      <c r="AX132" s="40">
        <v>45236</v>
      </c>
      <c r="AY132" s="17" t="str">
        <f t="shared" si="54"/>
        <v>2Y3M22D</v>
      </c>
      <c r="AZ132" s="21" t="str">
        <f t="shared" si="55"/>
        <v>2Y3M19D</v>
      </c>
      <c r="BA132" s="21">
        <f t="shared" si="56"/>
        <v>2.3123287671232875</v>
      </c>
      <c r="BB132" s="17">
        <v>6</v>
      </c>
      <c r="BC132" s="40"/>
      <c r="BD132" s="40" t="e">
        <f t="shared" si="57"/>
        <v>#NUM!</v>
      </c>
      <c r="BE132" s="21" t="e">
        <f t="shared" si="58"/>
        <v>#NUM!</v>
      </c>
      <c r="BF132" s="21">
        <f t="shared" si="59"/>
        <v>-121.62191780821918</v>
      </c>
      <c r="BG132" s="17"/>
      <c r="BH132" s="17">
        <v>1</v>
      </c>
    </row>
    <row r="133" spans="1:60" s="110" customFormat="1" ht="16">
      <c r="A133" s="17" t="s">
        <v>562</v>
      </c>
      <c r="B133" s="17">
        <v>22108974</v>
      </c>
      <c r="C133" s="17" t="s">
        <v>563</v>
      </c>
      <c r="D133" s="40">
        <v>44467</v>
      </c>
      <c r="E133" s="40">
        <v>44526</v>
      </c>
      <c r="F133" s="40">
        <v>44526</v>
      </c>
      <c r="G133" s="17" t="s">
        <v>85</v>
      </c>
      <c r="H133" s="75">
        <v>45225</v>
      </c>
      <c r="I133" s="75">
        <v>45408</v>
      </c>
      <c r="J133" s="40">
        <v>45257</v>
      </c>
      <c r="K133" s="40">
        <v>45257</v>
      </c>
      <c r="L133" s="17" t="str">
        <f t="shared" si="45"/>
        <v>2Y1M30D</v>
      </c>
      <c r="M133" s="17" t="str">
        <f t="shared" si="46"/>
        <v>2Y0M1D</v>
      </c>
      <c r="N133" s="21">
        <f t="shared" si="47"/>
        <v>2.0027397260273974</v>
      </c>
      <c r="O133" s="17">
        <v>3</v>
      </c>
      <c r="P133" s="17">
        <v>3</v>
      </c>
      <c r="Q133" s="17"/>
      <c r="R133" s="17">
        <v>2</v>
      </c>
      <c r="S133" s="17">
        <v>1</v>
      </c>
      <c r="T133" s="17">
        <v>1</v>
      </c>
      <c r="U133" s="17"/>
      <c r="V133" s="17" t="s">
        <v>1661</v>
      </c>
      <c r="W133" s="17">
        <v>1</v>
      </c>
      <c r="X133" s="17">
        <v>1</v>
      </c>
      <c r="Y133" s="17">
        <v>1</v>
      </c>
      <c r="Z133" s="17">
        <v>1</v>
      </c>
      <c r="AA133" s="17">
        <v>2</v>
      </c>
      <c r="AB133" s="17">
        <v>1</v>
      </c>
      <c r="AC133" s="17"/>
      <c r="AD133" s="17">
        <v>1</v>
      </c>
      <c r="AE133" s="17">
        <v>1</v>
      </c>
      <c r="AF133" s="17">
        <v>1</v>
      </c>
      <c r="AG133" s="17">
        <v>1</v>
      </c>
      <c r="AH133" s="40">
        <v>45274</v>
      </c>
      <c r="AI133" s="17" t="str">
        <f t="shared" si="48"/>
        <v>2Y2M16D</v>
      </c>
      <c r="AJ133" s="17" t="str">
        <f t="shared" si="49"/>
        <v>2Y0M18D</v>
      </c>
      <c r="AK133" s="21">
        <f t="shared" si="50"/>
        <v>2.0493150684931507</v>
      </c>
      <c r="AL133" s="17">
        <v>1</v>
      </c>
      <c r="AM133" s="17">
        <v>1</v>
      </c>
      <c r="AN133" s="17">
        <v>1</v>
      </c>
      <c r="AO133" s="17">
        <v>1</v>
      </c>
      <c r="AP133" s="17">
        <v>2</v>
      </c>
      <c r="AQ133" s="17">
        <v>3</v>
      </c>
      <c r="AR133" s="17"/>
      <c r="AS133" s="40">
        <v>45256</v>
      </c>
      <c r="AT133" s="17" t="str">
        <f t="shared" si="51"/>
        <v>2Y1M29D</v>
      </c>
      <c r="AU133" s="17" t="str">
        <f t="shared" si="52"/>
        <v>2Y0M0D</v>
      </c>
      <c r="AV133" s="21">
        <f t="shared" si="53"/>
        <v>2</v>
      </c>
      <c r="AW133" s="17" t="s">
        <v>2608</v>
      </c>
      <c r="AX133" s="40">
        <v>45266</v>
      </c>
      <c r="AY133" s="17" t="str">
        <f t="shared" si="54"/>
        <v>2Y2M8D</v>
      </c>
      <c r="AZ133" s="21" t="str">
        <f t="shared" si="55"/>
        <v>2Y0M10D</v>
      </c>
      <c r="BA133" s="21">
        <f t="shared" si="56"/>
        <v>2.0273972602739727</v>
      </c>
      <c r="BB133" s="17" t="s">
        <v>2209</v>
      </c>
      <c r="BC133" s="17"/>
      <c r="BD133" s="17" t="e">
        <f t="shared" si="57"/>
        <v>#NUM!</v>
      </c>
      <c r="BE133" s="21" t="e">
        <f t="shared" si="58"/>
        <v>#NUM!</v>
      </c>
      <c r="BF133" s="21">
        <f t="shared" si="59"/>
        <v>-121.98904109589041</v>
      </c>
      <c r="BG133" s="17"/>
      <c r="BH133" s="17">
        <v>1</v>
      </c>
    </row>
    <row r="134" spans="1:60" s="189" customFormat="1" ht="16">
      <c r="A134" s="99" t="s">
        <v>566</v>
      </c>
      <c r="B134" s="99">
        <v>22107651</v>
      </c>
      <c r="C134" s="99" t="s">
        <v>567</v>
      </c>
      <c r="D134" s="95">
        <v>44322</v>
      </c>
      <c r="E134" s="95">
        <v>44331</v>
      </c>
      <c r="F134" s="95">
        <v>44322</v>
      </c>
      <c r="G134" s="99" t="s">
        <v>155</v>
      </c>
      <c r="H134" s="101">
        <v>45031</v>
      </c>
      <c r="I134" s="101">
        <v>45214</v>
      </c>
      <c r="J134" s="95">
        <v>45175</v>
      </c>
      <c r="K134" s="95">
        <v>45175</v>
      </c>
      <c r="L134" s="95" t="str">
        <f t="shared" si="45"/>
        <v>2Y4M0D</v>
      </c>
      <c r="M134" s="95" t="str">
        <f t="shared" si="46"/>
        <v>2Y3M22D</v>
      </c>
      <c r="N134" s="102">
        <f t="shared" si="47"/>
        <v>2.3369863013698629</v>
      </c>
      <c r="O134" s="99">
        <v>3</v>
      </c>
      <c r="P134" s="99">
        <v>3</v>
      </c>
      <c r="Q134" s="99"/>
      <c r="R134" s="99">
        <v>2</v>
      </c>
      <c r="S134" s="99">
        <v>1</v>
      </c>
      <c r="T134" s="99">
        <v>1</v>
      </c>
      <c r="U134" s="99"/>
      <c r="V134" s="99" t="s">
        <v>1661</v>
      </c>
      <c r="W134" s="99">
        <v>1</v>
      </c>
      <c r="X134" s="99">
        <v>1</v>
      </c>
      <c r="Y134" s="99">
        <v>1</v>
      </c>
      <c r="Z134" s="99">
        <v>1</v>
      </c>
      <c r="AA134" s="99">
        <v>2</v>
      </c>
      <c r="AB134" s="99"/>
      <c r="AC134" s="99" t="s">
        <v>1710</v>
      </c>
      <c r="AD134" s="99">
        <v>1</v>
      </c>
      <c r="AE134" s="99">
        <v>1</v>
      </c>
      <c r="AF134" s="99">
        <v>1</v>
      </c>
      <c r="AG134" s="99">
        <v>1</v>
      </c>
      <c r="AH134" s="95">
        <v>45153</v>
      </c>
      <c r="AI134" s="95" t="str">
        <f t="shared" si="48"/>
        <v>2Y3M9D</v>
      </c>
      <c r="AJ134" s="95" t="str">
        <f t="shared" si="49"/>
        <v>2Y3M0D</v>
      </c>
      <c r="AK134" s="102">
        <f t="shared" si="50"/>
        <v>2.2767123287671232</v>
      </c>
      <c r="AL134" s="99">
        <v>1</v>
      </c>
      <c r="AM134" s="99">
        <v>1</v>
      </c>
      <c r="AN134" s="99">
        <v>1</v>
      </c>
      <c r="AO134" s="99">
        <v>1</v>
      </c>
      <c r="AP134" s="99">
        <v>2</v>
      </c>
      <c r="AQ134" s="99">
        <v>3</v>
      </c>
      <c r="AR134" s="99"/>
      <c r="AS134" s="95">
        <v>45153</v>
      </c>
      <c r="AT134" s="95" t="str">
        <f t="shared" si="51"/>
        <v>2Y3M9D</v>
      </c>
      <c r="AU134" s="95" t="str">
        <f t="shared" si="52"/>
        <v>2Y3M0D</v>
      </c>
      <c r="AV134" s="102">
        <f t="shared" si="53"/>
        <v>2.2767123287671232</v>
      </c>
      <c r="AW134" s="99">
        <v>5</v>
      </c>
      <c r="AX134" s="95">
        <v>45154</v>
      </c>
      <c r="AY134" s="99" t="str">
        <f t="shared" si="54"/>
        <v>2Y3M10D</v>
      </c>
      <c r="AZ134" s="102" t="str">
        <f t="shared" si="55"/>
        <v>2Y3M1D</v>
      </c>
      <c r="BA134" s="102">
        <f t="shared" si="56"/>
        <v>2.2794520547945205</v>
      </c>
      <c r="BB134" s="99">
        <v>5</v>
      </c>
      <c r="BC134" s="95">
        <v>45175</v>
      </c>
      <c r="BD134" s="95" t="str">
        <f t="shared" si="57"/>
        <v>2Y4M0D</v>
      </c>
      <c r="BE134" s="102" t="str">
        <f t="shared" si="58"/>
        <v>2Y3M22D</v>
      </c>
      <c r="BF134" s="102">
        <f t="shared" si="59"/>
        <v>2.3369863013698629</v>
      </c>
      <c r="BG134" s="99">
        <v>2</v>
      </c>
      <c r="BH134" s="99">
        <v>1</v>
      </c>
    </row>
    <row r="135" spans="1:60" s="110" customFormat="1" ht="16">
      <c r="A135" s="17" t="s">
        <v>570</v>
      </c>
      <c r="B135" s="17">
        <v>22108335</v>
      </c>
      <c r="C135" s="17" t="s">
        <v>571</v>
      </c>
      <c r="D135" s="40">
        <v>44393</v>
      </c>
      <c r="E135" s="40">
        <v>44398</v>
      </c>
      <c r="F135" s="40">
        <v>44393</v>
      </c>
      <c r="G135" s="17" t="s">
        <v>452</v>
      </c>
      <c r="H135" s="75">
        <v>45098</v>
      </c>
      <c r="I135" s="75">
        <v>45281</v>
      </c>
      <c r="J135" s="40"/>
      <c r="K135" s="40" t="s">
        <v>1955</v>
      </c>
      <c r="L135" s="40" t="e">
        <f t="shared" si="45"/>
        <v>#VALUE!</v>
      </c>
      <c r="M135" s="40" t="e">
        <f t="shared" si="46"/>
        <v>#VALUE!</v>
      </c>
      <c r="N135" s="21" t="e">
        <f t="shared" si="47"/>
        <v>#VALUE!</v>
      </c>
      <c r="O135" s="17"/>
      <c r="P135" s="17"/>
      <c r="Q135" s="17"/>
      <c r="R135" s="17"/>
      <c r="S135" s="17"/>
      <c r="T135" s="17"/>
      <c r="U135" s="17"/>
      <c r="V135" s="17"/>
      <c r="W135" s="17"/>
      <c r="X135" s="17"/>
      <c r="Y135" s="17"/>
      <c r="Z135" s="17"/>
      <c r="AA135" s="17"/>
      <c r="AB135" s="17"/>
      <c r="AC135" s="17"/>
      <c r="AD135" s="17"/>
      <c r="AE135" s="17"/>
      <c r="AF135" s="17"/>
      <c r="AG135" s="17"/>
      <c r="AH135" s="40">
        <v>45048</v>
      </c>
      <c r="AI135" s="40" t="str">
        <f t="shared" si="48"/>
        <v>1Y9M16D</v>
      </c>
      <c r="AJ135" s="40" t="str">
        <f t="shared" si="49"/>
        <v>1Y9M11D</v>
      </c>
      <c r="AK135" s="21">
        <f t="shared" si="50"/>
        <v>1.7945205479452055</v>
      </c>
      <c r="AL135" s="17">
        <v>1</v>
      </c>
      <c r="AM135" s="17">
        <v>1</v>
      </c>
      <c r="AN135" s="17">
        <v>1</v>
      </c>
      <c r="AO135" s="17">
        <v>1</v>
      </c>
      <c r="AP135" s="17">
        <v>2</v>
      </c>
      <c r="AQ135" s="17">
        <v>3</v>
      </c>
      <c r="AR135" s="17"/>
      <c r="AS135" s="40"/>
      <c r="AT135" s="40" t="e">
        <f t="shared" si="51"/>
        <v>#NUM!</v>
      </c>
      <c r="AU135" s="40" t="e">
        <f t="shared" si="52"/>
        <v>#NUM!</v>
      </c>
      <c r="AV135" s="21">
        <f t="shared" si="53"/>
        <v>-121.62465753424658</v>
      </c>
      <c r="AW135" s="17"/>
      <c r="AX135" s="17"/>
      <c r="AY135" s="17" t="e">
        <f t="shared" si="54"/>
        <v>#NUM!</v>
      </c>
      <c r="AZ135" s="21" t="e">
        <f t="shared" si="55"/>
        <v>#NUM!</v>
      </c>
      <c r="BA135" s="21">
        <f t="shared" si="56"/>
        <v>-121.62465753424658</v>
      </c>
      <c r="BB135" s="17"/>
      <c r="BC135" s="40">
        <v>45048</v>
      </c>
      <c r="BD135" s="40" t="str">
        <f t="shared" si="57"/>
        <v>1Y9M16D</v>
      </c>
      <c r="BE135" s="21" t="str">
        <f t="shared" si="58"/>
        <v>1Y9M11D</v>
      </c>
      <c r="BF135" s="21">
        <f t="shared" si="59"/>
        <v>1.7945205479452055</v>
      </c>
      <c r="BG135" s="17">
        <v>2</v>
      </c>
      <c r="BH135" s="17">
        <v>0</v>
      </c>
    </row>
    <row r="136" spans="1:60" s="193" customFormat="1" ht="16">
      <c r="A136" s="25" t="s">
        <v>573</v>
      </c>
      <c r="B136" s="25">
        <v>22107996</v>
      </c>
      <c r="C136" s="25" t="s">
        <v>574</v>
      </c>
      <c r="D136" s="32">
        <v>44357</v>
      </c>
      <c r="E136" s="32">
        <v>44357</v>
      </c>
      <c r="F136" s="32">
        <v>44357</v>
      </c>
      <c r="G136" s="25">
        <v>40</v>
      </c>
      <c r="H136" s="86">
        <v>45056</v>
      </c>
      <c r="I136" s="86">
        <v>45240</v>
      </c>
      <c r="J136" s="32"/>
      <c r="K136" s="32"/>
      <c r="L136" s="32" t="e">
        <f t="shared" si="45"/>
        <v>#NUM!</v>
      </c>
      <c r="M136" s="32" t="e">
        <f t="shared" si="46"/>
        <v>#NUM!</v>
      </c>
      <c r="N136" s="64">
        <f t="shared" si="47"/>
        <v>-121.52602739726028</v>
      </c>
      <c r="O136" s="25"/>
      <c r="P136" s="25"/>
      <c r="Q136" s="25"/>
      <c r="R136" s="25"/>
      <c r="S136" s="25"/>
      <c r="T136" s="25"/>
      <c r="U136" s="25"/>
      <c r="V136" s="25"/>
      <c r="W136" s="25"/>
      <c r="X136" s="25"/>
      <c r="Y136" s="25"/>
      <c r="Z136" s="25"/>
      <c r="AA136" s="25"/>
      <c r="AB136" s="25"/>
      <c r="AC136" s="25"/>
      <c r="AD136" s="25"/>
      <c r="AE136" s="25"/>
      <c r="AF136" s="25"/>
      <c r="AG136" s="25"/>
      <c r="AH136" s="32"/>
      <c r="AI136" s="32" t="e">
        <f t="shared" si="48"/>
        <v>#NUM!</v>
      </c>
      <c r="AJ136" s="32" t="e">
        <f t="shared" si="49"/>
        <v>#NUM!</v>
      </c>
      <c r="AK136" s="64">
        <f t="shared" si="50"/>
        <v>-121.52602739726028</v>
      </c>
      <c r="AL136" s="25"/>
      <c r="AM136" s="25"/>
      <c r="AN136" s="25"/>
      <c r="AO136" s="25"/>
      <c r="AP136" s="25"/>
      <c r="AQ136" s="25"/>
      <c r="AR136" s="25"/>
      <c r="AS136" s="32"/>
      <c r="AT136" s="32" t="e">
        <f t="shared" si="51"/>
        <v>#NUM!</v>
      </c>
      <c r="AU136" s="32" t="e">
        <f t="shared" si="52"/>
        <v>#NUM!</v>
      </c>
      <c r="AV136" s="64">
        <f t="shared" si="53"/>
        <v>-121.52602739726028</v>
      </c>
      <c r="AW136" s="25"/>
      <c r="AX136" s="32"/>
      <c r="AY136" s="32" t="e">
        <f t="shared" si="54"/>
        <v>#NUM!</v>
      </c>
      <c r="AZ136" s="64" t="e">
        <f t="shared" si="55"/>
        <v>#NUM!</v>
      </c>
      <c r="BA136" s="64">
        <f t="shared" si="56"/>
        <v>-121.52602739726028</v>
      </c>
      <c r="BB136" s="25"/>
      <c r="BC136" s="32"/>
      <c r="BD136" s="32" t="e">
        <f t="shared" si="57"/>
        <v>#NUM!</v>
      </c>
      <c r="BE136" s="64" t="e">
        <f t="shared" si="58"/>
        <v>#NUM!</v>
      </c>
      <c r="BF136" s="64">
        <f t="shared" si="59"/>
        <v>-121.52602739726028</v>
      </c>
      <c r="BG136" s="25"/>
      <c r="BH136" s="25">
        <v>0</v>
      </c>
    </row>
    <row r="137" spans="1:60" s="189" customFormat="1" ht="16">
      <c r="A137" s="99" t="s">
        <v>576</v>
      </c>
      <c r="B137" s="99">
        <v>22108333</v>
      </c>
      <c r="C137" s="99" t="s">
        <v>577</v>
      </c>
      <c r="D137" s="95">
        <v>44393</v>
      </c>
      <c r="E137" s="95">
        <v>44393</v>
      </c>
      <c r="F137" s="95">
        <v>44393</v>
      </c>
      <c r="G137" s="99">
        <v>40</v>
      </c>
      <c r="H137" s="101">
        <v>45093</v>
      </c>
      <c r="I137" s="101">
        <v>45276</v>
      </c>
      <c r="J137" s="95">
        <v>45265</v>
      </c>
      <c r="K137" s="95">
        <v>45265</v>
      </c>
      <c r="L137" s="95" t="str">
        <f t="shared" si="45"/>
        <v>2Y4M19D</v>
      </c>
      <c r="M137" s="95" t="str">
        <f t="shared" si="46"/>
        <v>2Y4M19D</v>
      </c>
      <c r="N137" s="102">
        <f t="shared" si="47"/>
        <v>2.3890410958904109</v>
      </c>
      <c r="O137" s="99">
        <v>3</v>
      </c>
      <c r="P137" s="99">
        <v>3</v>
      </c>
      <c r="Q137" s="99"/>
      <c r="R137" s="99">
        <v>2</v>
      </c>
      <c r="S137" s="99">
        <v>1</v>
      </c>
      <c r="T137" s="99">
        <v>1</v>
      </c>
      <c r="U137" s="99"/>
      <c r="V137" s="99" t="s">
        <v>2565</v>
      </c>
      <c r="W137" s="99">
        <v>1</v>
      </c>
      <c r="X137" s="99">
        <v>1</v>
      </c>
      <c r="Y137" s="99">
        <v>1</v>
      </c>
      <c r="Z137" s="99">
        <v>1</v>
      </c>
      <c r="AA137" s="99">
        <v>2</v>
      </c>
      <c r="AB137" s="99">
        <v>1</v>
      </c>
      <c r="AC137" s="99"/>
      <c r="AD137" s="99">
        <v>2</v>
      </c>
      <c r="AE137" s="99">
        <v>1</v>
      </c>
      <c r="AF137" s="99">
        <v>2</v>
      </c>
      <c r="AG137" s="99">
        <v>1</v>
      </c>
      <c r="AH137" s="95">
        <v>45270</v>
      </c>
      <c r="AI137" s="95" t="str">
        <f t="shared" si="48"/>
        <v>2Y4M24D</v>
      </c>
      <c r="AJ137" s="95" t="str">
        <f t="shared" si="49"/>
        <v>2Y4M24D</v>
      </c>
      <c r="AK137" s="102">
        <f t="shared" si="50"/>
        <v>2.4027397260273973</v>
      </c>
      <c r="AL137" s="99">
        <v>1</v>
      </c>
      <c r="AM137" s="99">
        <v>1</v>
      </c>
      <c r="AN137" s="99">
        <v>1</v>
      </c>
      <c r="AO137" s="99">
        <v>1</v>
      </c>
      <c r="AP137" s="99">
        <v>3</v>
      </c>
      <c r="AQ137" s="99">
        <v>3</v>
      </c>
      <c r="AR137" s="99"/>
      <c r="AS137" s="95">
        <v>45262</v>
      </c>
      <c r="AT137" s="95" t="str">
        <f t="shared" si="51"/>
        <v>2Y4M16D</v>
      </c>
      <c r="AU137" s="95" t="str">
        <f t="shared" si="52"/>
        <v>2Y4M16D</v>
      </c>
      <c r="AV137" s="102">
        <f t="shared" si="53"/>
        <v>2.3808219178082193</v>
      </c>
      <c r="AW137" s="99">
        <v>7</v>
      </c>
      <c r="AX137" s="95">
        <v>45263</v>
      </c>
      <c r="AY137" s="99" t="str">
        <f t="shared" si="54"/>
        <v>2Y4M17D</v>
      </c>
      <c r="AZ137" s="102" t="str">
        <f t="shared" si="55"/>
        <v>2Y4M17D</v>
      </c>
      <c r="BA137" s="102">
        <f t="shared" si="56"/>
        <v>2.3835616438356166</v>
      </c>
      <c r="BB137" s="99">
        <v>7</v>
      </c>
      <c r="BC137" s="95">
        <v>45265</v>
      </c>
      <c r="BD137" s="95" t="str">
        <f t="shared" si="57"/>
        <v>2Y4M19D</v>
      </c>
      <c r="BE137" s="102" t="str">
        <f t="shared" si="58"/>
        <v>2Y4M19D</v>
      </c>
      <c r="BF137" s="102">
        <f t="shared" si="59"/>
        <v>2.3890410958904109</v>
      </c>
      <c r="BG137" s="99">
        <v>2</v>
      </c>
      <c r="BH137" s="99">
        <v>1</v>
      </c>
    </row>
    <row r="138" spans="1:60" s="189" customFormat="1" ht="16">
      <c r="A138" s="99" t="s">
        <v>580</v>
      </c>
      <c r="B138" s="99">
        <v>22107506</v>
      </c>
      <c r="C138" s="99" t="s">
        <v>581</v>
      </c>
      <c r="D138" s="95">
        <v>44306</v>
      </c>
      <c r="E138" s="95">
        <v>44304</v>
      </c>
      <c r="F138" s="95">
        <v>44306</v>
      </c>
      <c r="G138" s="99" t="s">
        <v>29</v>
      </c>
      <c r="H138" s="101">
        <v>45003</v>
      </c>
      <c r="I138" s="101">
        <v>45187</v>
      </c>
      <c r="J138" s="95">
        <v>45223</v>
      </c>
      <c r="K138" s="95">
        <v>45223</v>
      </c>
      <c r="L138" s="95" t="str">
        <f t="shared" si="45"/>
        <v>2Y6M4D</v>
      </c>
      <c r="M138" s="95" t="str">
        <f t="shared" si="46"/>
        <v>2Y6M6D</v>
      </c>
      <c r="N138" s="102">
        <f t="shared" si="47"/>
        <v>2.5123287671232877</v>
      </c>
      <c r="O138" s="99">
        <v>3</v>
      </c>
      <c r="P138" s="99">
        <v>3</v>
      </c>
      <c r="Q138" s="99"/>
      <c r="R138" s="99" t="s">
        <v>2534</v>
      </c>
      <c r="S138" s="99">
        <v>1</v>
      </c>
      <c r="T138" s="99"/>
      <c r="U138" s="99" t="s">
        <v>1671</v>
      </c>
      <c r="V138" s="99" t="s">
        <v>2565</v>
      </c>
      <c r="W138" s="99">
        <v>1</v>
      </c>
      <c r="X138" s="99">
        <v>1</v>
      </c>
      <c r="Y138" s="99">
        <v>1</v>
      </c>
      <c r="Z138" s="99">
        <v>1</v>
      </c>
      <c r="AA138" s="99">
        <v>2</v>
      </c>
      <c r="AB138" s="99"/>
      <c r="AC138" s="99" t="s">
        <v>1688</v>
      </c>
      <c r="AD138" s="99">
        <v>1</v>
      </c>
      <c r="AE138" s="99">
        <v>1</v>
      </c>
      <c r="AF138" s="99">
        <v>1</v>
      </c>
      <c r="AG138" s="99">
        <v>1</v>
      </c>
      <c r="AH138" s="95">
        <v>45223</v>
      </c>
      <c r="AI138" s="99" t="str">
        <f t="shared" si="48"/>
        <v>2Y6M4D</v>
      </c>
      <c r="AJ138" s="99" t="str">
        <f t="shared" si="49"/>
        <v>2Y6M6D</v>
      </c>
      <c r="AK138" s="102">
        <f t="shared" si="50"/>
        <v>2.5123287671232877</v>
      </c>
      <c r="AL138" s="99">
        <v>1</v>
      </c>
      <c r="AM138" s="99">
        <v>1</v>
      </c>
      <c r="AN138" s="99">
        <v>1</v>
      </c>
      <c r="AO138" s="99">
        <v>1</v>
      </c>
      <c r="AP138" s="99">
        <v>3</v>
      </c>
      <c r="AQ138" s="99">
        <v>1</v>
      </c>
      <c r="AR138" s="99"/>
      <c r="AS138" s="95">
        <v>45138</v>
      </c>
      <c r="AT138" s="95" t="str">
        <f t="shared" si="51"/>
        <v>2Y3M11D</v>
      </c>
      <c r="AU138" s="95" t="str">
        <f t="shared" si="52"/>
        <v>2Y3M13D</v>
      </c>
      <c r="AV138" s="102">
        <f t="shared" si="53"/>
        <v>2.2794520547945205</v>
      </c>
      <c r="AW138" s="99">
        <v>5</v>
      </c>
      <c r="AX138" s="95">
        <v>45222</v>
      </c>
      <c r="AY138" s="95" t="str">
        <f t="shared" si="54"/>
        <v>2Y6M3D</v>
      </c>
      <c r="AZ138" s="102" t="str">
        <f t="shared" si="55"/>
        <v>2Y6M5D</v>
      </c>
      <c r="BA138" s="102">
        <f t="shared" si="56"/>
        <v>2.5095890410958903</v>
      </c>
      <c r="BB138" s="99">
        <v>6</v>
      </c>
      <c r="BC138" s="95">
        <v>45223</v>
      </c>
      <c r="BD138" s="95" t="str">
        <f t="shared" si="57"/>
        <v>2Y6M4D</v>
      </c>
      <c r="BE138" s="102" t="str">
        <f t="shared" si="58"/>
        <v>2Y6M6D</v>
      </c>
      <c r="BF138" s="102">
        <f t="shared" si="59"/>
        <v>2.5123287671232877</v>
      </c>
      <c r="BG138" s="99">
        <v>2</v>
      </c>
      <c r="BH138" s="99">
        <v>0</v>
      </c>
    </row>
    <row r="139" spans="1:60" s="193" customFormat="1" ht="16">
      <c r="A139" s="25" t="s">
        <v>584</v>
      </c>
      <c r="B139" s="25">
        <v>22106433</v>
      </c>
      <c r="C139" s="25" t="s">
        <v>585</v>
      </c>
      <c r="D139" s="32">
        <v>44202</v>
      </c>
      <c r="E139" s="32">
        <v>44305</v>
      </c>
      <c r="F139" s="32">
        <v>44305</v>
      </c>
      <c r="G139" s="25" t="s">
        <v>587</v>
      </c>
      <c r="H139" s="86">
        <v>45004</v>
      </c>
      <c r="I139" s="86">
        <v>45188</v>
      </c>
      <c r="J139" s="25"/>
      <c r="K139" s="25"/>
      <c r="L139" s="25" t="e">
        <f t="shared" si="45"/>
        <v>#NUM!</v>
      </c>
      <c r="M139" s="25" t="e">
        <f t="shared" si="46"/>
        <v>#NUM!</v>
      </c>
      <c r="N139" s="64">
        <f t="shared" si="47"/>
        <v>-121.38356164383562</v>
      </c>
      <c r="O139" s="25"/>
      <c r="P139" s="25"/>
      <c r="Q139" s="25"/>
      <c r="R139" s="25"/>
      <c r="S139" s="25"/>
      <c r="T139" s="25"/>
      <c r="U139" s="25"/>
      <c r="V139" s="25"/>
      <c r="W139" s="25"/>
      <c r="X139" s="25"/>
      <c r="Y139" s="25"/>
      <c r="Z139" s="25"/>
      <c r="AA139" s="25"/>
      <c r="AB139" s="25"/>
      <c r="AC139" s="25"/>
      <c r="AD139" s="25"/>
      <c r="AE139" s="25"/>
      <c r="AF139" s="25"/>
      <c r="AG139" s="25"/>
      <c r="AH139" s="25"/>
      <c r="AI139" s="25" t="e">
        <f t="shared" si="48"/>
        <v>#NUM!</v>
      </c>
      <c r="AJ139" s="25" t="e">
        <f t="shared" si="49"/>
        <v>#NUM!</v>
      </c>
      <c r="AK139" s="64">
        <f t="shared" si="50"/>
        <v>-121.38356164383562</v>
      </c>
      <c r="AL139" s="25"/>
      <c r="AM139" s="25"/>
      <c r="AN139" s="25"/>
      <c r="AO139" s="25"/>
      <c r="AP139" s="25"/>
      <c r="AQ139" s="25"/>
      <c r="AR139" s="25"/>
      <c r="AS139" s="25"/>
      <c r="AT139" s="25" t="e">
        <f t="shared" si="51"/>
        <v>#NUM!</v>
      </c>
      <c r="AU139" s="25" t="e">
        <f t="shared" si="52"/>
        <v>#NUM!</v>
      </c>
      <c r="AV139" s="64">
        <f t="shared" si="53"/>
        <v>-121.38356164383562</v>
      </c>
      <c r="AW139" s="25"/>
      <c r="AX139" s="25"/>
      <c r="AY139" s="25" t="e">
        <f t="shared" si="54"/>
        <v>#NUM!</v>
      </c>
      <c r="AZ139" s="64" t="e">
        <f t="shared" si="55"/>
        <v>#NUM!</v>
      </c>
      <c r="BA139" s="64">
        <f t="shared" si="56"/>
        <v>-121.38356164383562</v>
      </c>
      <c r="BB139" s="25"/>
      <c r="BC139" s="25"/>
      <c r="BD139" s="25" t="e">
        <f t="shared" si="57"/>
        <v>#NUM!</v>
      </c>
      <c r="BE139" s="64" t="e">
        <f t="shared" si="58"/>
        <v>#NUM!</v>
      </c>
      <c r="BF139" s="64">
        <f t="shared" si="59"/>
        <v>-121.38356164383562</v>
      </c>
      <c r="BG139" s="25"/>
      <c r="BH139" s="25">
        <v>1</v>
      </c>
    </row>
    <row r="140" spans="1:60" s="110" customFormat="1" ht="16">
      <c r="A140" s="17" t="s">
        <v>589</v>
      </c>
      <c r="B140" s="2">
        <v>22108915</v>
      </c>
      <c r="C140" s="2" t="s">
        <v>590</v>
      </c>
      <c r="D140" s="23">
        <v>44458</v>
      </c>
      <c r="E140" s="23">
        <v>44465</v>
      </c>
      <c r="F140" s="23">
        <v>44458</v>
      </c>
      <c r="G140" s="2" t="s">
        <v>90</v>
      </c>
      <c r="H140" s="38">
        <v>45164</v>
      </c>
      <c r="I140" s="38">
        <v>45348</v>
      </c>
      <c r="J140" s="17"/>
      <c r="K140" s="17"/>
      <c r="L140" s="17" t="e">
        <f t="shared" si="45"/>
        <v>#NUM!</v>
      </c>
      <c r="M140" s="17" t="e">
        <f t="shared" si="46"/>
        <v>#NUM!</v>
      </c>
      <c r="N140" s="21">
        <f t="shared" si="47"/>
        <v>-121.8027397260274</v>
      </c>
      <c r="O140" s="17"/>
      <c r="P140" s="17"/>
      <c r="Q140" s="17"/>
      <c r="R140" s="17"/>
      <c r="S140" s="17"/>
      <c r="T140" s="17"/>
      <c r="U140" s="17"/>
      <c r="V140" s="17"/>
      <c r="W140" s="17"/>
      <c r="X140" s="17"/>
      <c r="Y140" s="17"/>
      <c r="Z140" s="17"/>
      <c r="AA140" s="17"/>
      <c r="AB140" s="17"/>
      <c r="AC140" s="17"/>
      <c r="AD140" s="17"/>
      <c r="AE140" s="17"/>
      <c r="AF140" s="17"/>
      <c r="AG140" s="17"/>
      <c r="AH140" s="40">
        <v>45345</v>
      </c>
      <c r="AI140" s="17" t="str">
        <f t="shared" si="48"/>
        <v>2Y5M4D</v>
      </c>
      <c r="AJ140" s="17" t="str">
        <f t="shared" si="49"/>
        <v>2Y4M28D</v>
      </c>
      <c r="AK140" s="21">
        <f t="shared" si="50"/>
        <v>2.43013698630137</v>
      </c>
      <c r="AL140" s="17">
        <v>1</v>
      </c>
      <c r="AM140" s="17">
        <v>1</v>
      </c>
      <c r="AN140" s="17">
        <v>2</v>
      </c>
      <c r="AO140" s="17">
        <v>1</v>
      </c>
      <c r="AP140" s="17">
        <v>3</v>
      </c>
      <c r="AQ140" s="17">
        <v>3</v>
      </c>
      <c r="AR140" s="17"/>
      <c r="AS140" s="40">
        <v>45344</v>
      </c>
      <c r="AT140" s="17" t="str">
        <f t="shared" si="51"/>
        <v>2Y5M3D</v>
      </c>
      <c r="AU140" s="17" t="str">
        <f t="shared" si="52"/>
        <v>2Y4M27D</v>
      </c>
      <c r="AV140" s="21">
        <f t="shared" si="53"/>
        <v>2.4273972602739726</v>
      </c>
      <c r="AW140" s="17">
        <v>6</v>
      </c>
      <c r="AX140" s="17"/>
      <c r="AY140" s="17" t="e">
        <f t="shared" si="54"/>
        <v>#NUM!</v>
      </c>
      <c r="AZ140" s="21" t="e">
        <f t="shared" si="55"/>
        <v>#NUM!</v>
      </c>
      <c r="BA140" s="21">
        <f t="shared" si="56"/>
        <v>-121.8027397260274</v>
      </c>
      <c r="BB140" s="17"/>
      <c r="BC140" s="17"/>
      <c r="BD140" s="17" t="e">
        <f t="shared" si="57"/>
        <v>#NUM!</v>
      </c>
      <c r="BE140" s="21" t="e">
        <f t="shared" si="58"/>
        <v>#NUM!</v>
      </c>
      <c r="BF140" s="21">
        <f t="shared" si="59"/>
        <v>-121.8027397260274</v>
      </c>
      <c r="BG140" s="17"/>
      <c r="BH140" s="17">
        <v>0</v>
      </c>
    </row>
    <row r="141" spans="1:60" s="110" customFormat="1" ht="16">
      <c r="A141" s="17" t="s">
        <v>593</v>
      </c>
      <c r="B141" s="17">
        <v>16902223</v>
      </c>
      <c r="C141" s="17" t="s">
        <v>594</v>
      </c>
      <c r="D141" s="40">
        <v>44314</v>
      </c>
      <c r="E141" s="40">
        <v>44412</v>
      </c>
      <c r="F141" s="40">
        <v>44412</v>
      </c>
      <c r="G141" s="17">
        <v>26</v>
      </c>
      <c r="H141" s="75">
        <v>45111</v>
      </c>
      <c r="I141" s="75">
        <v>45295</v>
      </c>
      <c r="J141" s="40">
        <v>45321</v>
      </c>
      <c r="K141" s="40">
        <v>45321</v>
      </c>
      <c r="L141" s="17" t="str">
        <f t="shared" si="45"/>
        <v>2Y9M2D</v>
      </c>
      <c r="M141" s="17" t="str">
        <f t="shared" si="46"/>
        <v>2Y5M26D</v>
      </c>
      <c r="N141" s="21">
        <f t="shared" si="47"/>
        <v>2.4904109589041097</v>
      </c>
      <c r="O141" s="17">
        <v>4</v>
      </c>
      <c r="P141" s="17">
        <v>2</v>
      </c>
      <c r="Q141" s="17"/>
      <c r="R141" s="17">
        <v>3</v>
      </c>
      <c r="S141" s="17">
        <v>1</v>
      </c>
      <c r="T141" s="17"/>
      <c r="U141" s="17" t="s">
        <v>1701</v>
      </c>
      <c r="V141" s="17" t="s">
        <v>2565</v>
      </c>
      <c r="W141" s="17">
        <v>2</v>
      </c>
      <c r="X141" s="17">
        <v>1</v>
      </c>
      <c r="Y141" s="17"/>
      <c r="Z141" s="17">
        <v>1</v>
      </c>
      <c r="AA141" s="17">
        <v>2</v>
      </c>
      <c r="AB141" s="17"/>
      <c r="AC141" s="17">
        <v>1</v>
      </c>
      <c r="AD141" s="17">
        <v>2</v>
      </c>
      <c r="AE141" s="17">
        <v>1</v>
      </c>
      <c r="AF141" s="17">
        <v>2</v>
      </c>
      <c r="AG141" s="17">
        <v>1</v>
      </c>
      <c r="AH141" s="40">
        <v>45321</v>
      </c>
      <c r="AI141" s="17" t="str">
        <f t="shared" si="48"/>
        <v>2Y9M2D</v>
      </c>
      <c r="AJ141" s="17" t="str">
        <f t="shared" si="49"/>
        <v>2Y5M26D</v>
      </c>
      <c r="AK141" s="21">
        <f t="shared" si="50"/>
        <v>2.4904109589041097</v>
      </c>
      <c r="AL141" s="17">
        <v>1</v>
      </c>
      <c r="AM141" s="17">
        <v>1</v>
      </c>
      <c r="AN141" s="17">
        <v>2</v>
      </c>
      <c r="AO141" s="17">
        <v>1</v>
      </c>
      <c r="AP141" s="17">
        <v>3</v>
      </c>
      <c r="AQ141" s="17">
        <v>3</v>
      </c>
      <c r="AR141" s="17"/>
      <c r="AS141" s="40">
        <v>45317</v>
      </c>
      <c r="AT141" s="17" t="str">
        <f t="shared" si="51"/>
        <v>2Y8M29D</v>
      </c>
      <c r="AU141" s="17" t="str">
        <f t="shared" si="52"/>
        <v>2Y5M22D</v>
      </c>
      <c r="AV141" s="21">
        <f t="shared" si="53"/>
        <v>2.4794520547945207</v>
      </c>
      <c r="AW141" s="17">
        <v>7</v>
      </c>
      <c r="AX141" s="40">
        <v>45318</v>
      </c>
      <c r="AY141" s="17" t="str">
        <f t="shared" si="54"/>
        <v>2Y8M30D</v>
      </c>
      <c r="AZ141" s="21" t="str">
        <f t="shared" si="55"/>
        <v>2Y5M23D</v>
      </c>
      <c r="BA141" s="21">
        <f t="shared" si="56"/>
        <v>2.4821917808219176</v>
      </c>
      <c r="BB141" s="17">
        <v>7</v>
      </c>
      <c r="BC141" s="17"/>
      <c r="BD141" s="17" t="e">
        <f t="shared" si="57"/>
        <v>#NUM!</v>
      </c>
      <c r="BE141" s="21" t="e">
        <f t="shared" si="58"/>
        <v>#NUM!</v>
      </c>
      <c r="BF141" s="21">
        <f t="shared" si="59"/>
        <v>-121.67671232876712</v>
      </c>
      <c r="BG141" s="17"/>
      <c r="BH141" s="17">
        <v>1</v>
      </c>
    </row>
    <row r="142" spans="1:60" s="189" customFormat="1" ht="16">
      <c r="A142" s="99" t="s">
        <v>597</v>
      </c>
      <c r="B142" s="99">
        <v>22108084</v>
      </c>
      <c r="C142" s="99" t="s">
        <v>598</v>
      </c>
      <c r="D142" s="95">
        <v>44367</v>
      </c>
      <c r="E142" s="95">
        <v>44367</v>
      </c>
      <c r="F142" s="95">
        <v>44367</v>
      </c>
      <c r="G142" s="99" t="s">
        <v>75</v>
      </c>
      <c r="H142" s="101">
        <v>45066</v>
      </c>
      <c r="I142" s="101">
        <v>45250</v>
      </c>
      <c r="J142" s="95">
        <v>45212</v>
      </c>
      <c r="K142" s="95">
        <v>45212</v>
      </c>
      <c r="L142" s="95" t="str">
        <f t="shared" si="45"/>
        <v>2Y3M23D</v>
      </c>
      <c r="M142" s="95" t="str">
        <f t="shared" si="46"/>
        <v>2Y3M23D</v>
      </c>
      <c r="N142" s="102">
        <f t="shared" si="47"/>
        <v>2.3150684931506849</v>
      </c>
      <c r="O142" s="99">
        <v>3</v>
      </c>
      <c r="P142" s="99">
        <v>3</v>
      </c>
      <c r="Q142" s="99"/>
      <c r="R142" s="99">
        <v>3</v>
      </c>
      <c r="S142" s="99">
        <v>1</v>
      </c>
      <c r="T142" s="99">
        <v>1</v>
      </c>
      <c r="U142" s="99" t="s">
        <v>1663</v>
      </c>
      <c r="V142" s="99" t="s">
        <v>1661</v>
      </c>
      <c r="W142" s="99">
        <v>1</v>
      </c>
      <c r="X142" s="99">
        <v>1</v>
      </c>
      <c r="Y142" s="99">
        <v>1</v>
      </c>
      <c r="Z142" s="99">
        <v>1</v>
      </c>
      <c r="AA142" s="99">
        <v>2</v>
      </c>
      <c r="AB142" s="99">
        <v>1</v>
      </c>
      <c r="AC142" s="99"/>
      <c r="AD142" s="99">
        <v>1</v>
      </c>
      <c r="AE142" s="99">
        <v>1</v>
      </c>
      <c r="AF142" s="99">
        <v>1</v>
      </c>
      <c r="AG142" s="99">
        <v>1</v>
      </c>
      <c r="AH142" s="95">
        <v>45212</v>
      </c>
      <c r="AI142" s="95" t="str">
        <f t="shared" si="48"/>
        <v>2Y3M23D</v>
      </c>
      <c r="AJ142" s="95" t="str">
        <f t="shared" si="49"/>
        <v>2Y3M23D</v>
      </c>
      <c r="AK142" s="102">
        <f t="shared" si="50"/>
        <v>2.3150684931506849</v>
      </c>
      <c r="AL142" s="99">
        <v>1</v>
      </c>
      <c r="AM142" s="99">
        <v>1</v>
      </c>
      <c r="AN142" s="99">
        <v>1</v>
      </c>
      <c r="AO142" s="99">
        <v>1</v>
      </c>
      <c r="AP142" s="99">
        <v>3</v>
      </c>
      <c r="AQ142" s="99">
        <v>3</v>
      </c>
      <c r="AR142" s="99"/>
      <c r="AS142" s="95">
        <v>45210</v>
      </c>
      <c r="AT142" s="95" t="str">
        <f t="shared" si="51"/>
        <v>2Y3M21D</v>
      </c>
      <c r="AU142" s="95" t="str">
        <f t="shared" si="52"/>
        <v>2Y3M21D</v>
      </c>
      <c r="AV142" s="102">
        <f t="shared" si="53"/>
        <v>2.3095890410958906</v>
      </c>
      <c r="AW142" s="99">
        <v>6</v>
      </c>
      <c r="AX142" s="95">
        <v>45211</v>
      </c>
      <c r="AY142" s="95" t="str">
        <f t="shared" si="54"/>
        <v>2Y3M22D</v>
      </c>
      <c r="AZ142" s="102" t="str">
        <f t="shared" si="55"/>
        <v>2Y3M22D</v>
      </c>
      <c r="BA142" s="102">
        <f t="shared" si="56"/>
        <v>2.3123287671232875</v>
      </c>
      <c r="BB142" s="99">
        <v>6</v>
      </c>
      <c r="BC142" s="95">
        <v>45212</v>
      </c>
      <c r="BD142" s="95" t="str">
        <f t="shared" si="57"/>
        <v>2Y3M23D</v>
      </c>
      <c r="BE142" s="102" t="str">
        <f t="shared" si="58"/>
        <v>2Y3M23D</v>
      </c>
      <c r="BF142" s="102">
        <f t="shared" si="59"/>
        <v>2.3150684931506849</v>
      </c>
      <c r="BG142" s="99">
        <v>2</v>
      </c>
      <c r="BH142" s="99">
        <v>1</v>
      </c>
    </row>
    <row r="143" spans="1:60" s="189" customFormat="1" ht="16">
      <c r="A143" s="99" t="s">
        <v>601</v>
      </c>
      <c r="B143" s="99">
        <v>22107115</v>
      </c>
      <c r="C143" s="99" t="s">
        <v>602</v>
      </c>
      <c r="D143" s="95">
        <v>44266</v>
      </c>
      <c r="E143" s="95">
        <v>44377</v>
      </c>
      <c r="F143" s="95">
        <v>44377</v>
      </c>
      <c r="G143" s="99" t="s">
        <v>34</v>
      </c>
      <c r="H143" s="101">
        <v>45076</v>
      </c>
      <c r="I143" s="101">
        <v>45260</v>
      </c>
      <c r="J143" s="95">
        <v>45146</v>
      </c>
      <c r="K143" s="95">
        <v>45146</v>
      </c>
      <c r="L143" s="95" t="str">
        <f t="shared" si="45"/>
        <v>2Y4M28D</v>
      </c>
      <c r="M143" s="95" t="str">
        <f t="shared" si="46"/>
        <v>2Y1M9D</v>
      </c>
      <c r="N143" s="102">
        <f t="shared" si="47"/>
        <v>2.106849315068493</v>
      </c>
      <c r="O143" s="99">
        <v>3</v>
      </c>
      <c r="P143" s="99">
        <v>3</v>
      </c>
      <c r="Q143" s="99"/>
      <c r="R143" s="99">
        <v>3</v>
      </c>
      <c r="S143" s="99">
        <v>1</v>
      </c>
      <c r="T143" s="99">
        <v>1</v>
      </c>
      <c r="U143" s="99"/>
      <c r="V143" s="99" t="s">
        <v>1661</v>
      </c>
      <c r="W143" s="99">
        <v>1</v>
      </c>
      <c r="X143" s="99">
        <v>1</v>
      </c>
      <c r="Y143" s="99">
        <v>1</v>
      </c>
      <c r="Z143" s="99">
        <v>1</v>
      </c>
      <c r="AA143" s="99">
        <v>2</v>
      </c>
      <c r="AB143" s="99"/>
      <c r="AC143" s="99" t="s">
        <v>1710</v>
      </c>
      <c r="AD143" s="99">
        <v>1</v>
      </c>
      <c r="AE143" s="99">
        <v>1</v>
      </c>
      <c r="AF143" s="99">
        <v>1</v>
      </c>
      <c r="AG143" s="99"/>
      <c r="AH143" s="95">
        <v>45146</v>
      </c>
      <c r="AI143" s="95" t="str">
        <f t="shared" si="48"/>
        <v>2Y4M28D</v>
      </c>
      <c r="AJ143" s="95" t="str">
        <f t="shared" si="49"/>
        <v>2Y1M9D</v>
      </c>
      <c r="AK143" s="102">
        <f t="shared" si="50"/>
        <v>2.106849315068493</v>
      </c>
      <c r="AL143" s="99">
        <v>1</v>
      </c>
      <c r="AM143" s="99">
        <v>1</v>
      </c>
      <c r="AN143" s="99">
        <v>1</v>
      </c>
      <c r="AO143" s="99">
        <v>1</v>
      </c>
      <c r="AP143" s="99">
        <v>2</v>
      </c>
      <c r="AQ143" s="99">
        <v>3</v>
      </c>
      <c r="AR143" s="99"/>
      <c r="AS143" s="95">
        <v>45141</v>
      </c>
      <c r="AT143" s="95" t="str">
        <f t="shared" si="51"/>
        <v>2Y4M23D</v>
      </c>
      <c r="AU143" s="95" t="str">
        <f t="shared" si="52"/>
        <v>2Y1M4D</v>
      </c>
      <c r="AV143" s="102">
        <f t="shared" si="53"/>
        <v>2.0931506849315067</v>
      </c>
      <c r="AW143" s="99">
        <v>5</v>
      </c>
      <c r="AX143" s="95">
        <v>45141</v>
      </c>
      <c r="AY143" s="95" t="str">
        <f t="shared" si="54"/>
        <v>2Y4M23D</v>
      </c>
      <c r="AZ143" s="102" t="str">
        <f t="shared" si="55"/>
        <v>2Y1M4D</v>
      </c>
      <c r="BA143" s="102">
        <f t="shared" si="56"/>
        <v>2.0931506849315067</v>
      </c>
      <c r="BB143" s="99">
        <v>5</v>
      </c>
      <c r="BC143" s="95">
        <v>45146</v>
      </c>
      <c r="BD143" s="95" t="str">
        <f t="shared" si="57"/>
        <v>2Y4M28D</v>
      </c>
      <c r="BE143" s="102" t="str">
        <f t="shared" si="58"/>
        <v>2Y1M9D</v>
      </c>
      <c r="BF143" s="102">
        <f t="shared" si="59"/>
        <v>2.106849315068493</v>
      </c>
      <c r="BG143" s="99">
        <v>2</v>
      </c>
      <c r="BH143" s="99">
        <v>1</v>
      </c>
    </row>
    <row r="144" spans="1:60" s="189" customFormat="1" ht="16">
      <c r="A144" s="99" t="s">
        <v>604</v>
      </c>
      <c r="B144" s="99">
        <v>22106626</v>
      </c>
      <c r="C144" s="99" t="s">
        <v>605</v>
      </c>
      <c r="D144" s="95">
        <v>44221</v>
      </c>
      <c r="E144" s="95">
        <v>44324</v>
      </c>
      <c r="F144" s="95">
        <v>44324</v>
      </c>
      <c r="G144" s="99" t="s">
        <v>587</v>
      </c>
      <c r="H144" s="101">
        <v>45024</v>
      </c>
      <c r="I144" s="101">
        <v>45207</v>
      </c>
      <c r="J144" s="95">
        <v>45030</v>
      </c>
      <c r="K144" s="95">
        <v>45030</v>
      </c>
      <c r="L144" s="95" t="str">
        <f t="shared" si="45"/>
        <v>2Y2M20D</v>
      </c>
      <c r="M144" s="95" t="str">
        <f t="shared" si="46"/>
        <v>1Y11M6D</v>
      </c>
      <c r="N144" s="102">
        <f t="shared" si="47"/>
        <v>1.9342465753424658</v>
      </c>
      <c r="O144" s="99">
        <v>3</v>
      </c>
      <c r="P144" s="99">
        <v>3</v>
      </c>
      <c r="Q144" s="99"/>
      <c r="R144" s="99">
        <v>3</v>
      </c>
      <c r="S144" s="99">
        <v>1</v>
      </c>
      <c r="T144" s="99">
        <v>1</v>
      </c>
      <c r="U144" s="99"/>
      <c r="V144" s="99" t="s">
        <v>1661</v>
      </c>
      <c r="W144" s="99">
        <v>1</v>
      </c>
      <c r="X144" s="99">
        <v>1</v>
      </c>
      <c r="Y144" s="99">
        <v>1</v>
      </c>
      <c r="Z144" s="99">
        <v>1</v>
      </c>
      <c r="AA144" s="99">
        <v>2</v>
      </c>
      <c r="AB144" s="99"/>
      <c r="AC144" s="99" t="s">
        <v>1663</v>
      </c>
      <c r="AD144" s="99">
        <v>1</v>
      </c>
      <c r="AE144" s="99">
        <v>1</v>
      </c>
      <c r="AF144" s="99">
        <v>1</v>
      </c>
      <c r="AG144" s="99">
        <v>1</v>
      </c>
      <c r="AH144" s="95">
        <v>45055</v>
      </c>
      <c r="AI144" s="95" t="str">
        <f t="shared" si="48"/>
        <v>2Y3M14D</v>
      </c>
      <c r="AJ144" s="95" t="str">
        <f t="shared" si="49"/>
        <v>2Y0M1D</v>
      </c>
      <c r="AK144" s="102">
        <f t="shared" si="50"/>
        <v>2.0027397260273974</v>
      </c>
      <c r="AL144" s="99">
        <v>1</v>
      </c>
      <c r="AM144" s="99">
        <v>1</v>
      </c>
      <c r="AN144" s="99">
        <v>1</v>
      </c>
      <c r="AO144" s="99">
        <v>1</v>
      </c>
      <c r="AP144" s="99">
        <v>2</v>
      </c>
      <c r="AQ144" s="99">
        <v>3</v>
      </c>
      <c r="AR144" s="99"/>
      <c r="AS144" s="95">
        <v>45025</v>
      </c>
      <c r="AT144" s="95" t="str">
        <f t="shared" si="51"/>
        <v>2Y2M15D</v>
      </c>
      <c r="AU144" s="95" t="str">
        <f t="shared" si="52"/>
        <v>1Y11M1D</v>
      </c>
      <c r="AV144" s="102">
        <f t="shared" si="53"/>
        <v>1.9205479452054794</v>
      </c>
      <c r="AW144" s="99">
        <v>4</v>
      </c>
      <c r="AX144" s="95">
        <v>45028</v>
      </c>
      <c r="AY144" s="95" t="str">
        <f t="shared" si="54"/>
        <v>2Y2M18D</v>
      </c>
      <c r="AZ144" s="102" t="str">
        <f t="shared" si="55"/>
        <v>1Y11M4D</v>
      </c>
      <c r="BA144" s="102">
        <f t="shared" si="56"/>
        <v>1.9287671232876713</v>
      </c>
      <c r="BB144" s="99">
        <v>4</v>
      </c>
      <c r="BC144" s="95">
        <v>45030</v>
      </c>
      <c r="BD144" s="95" t="str">
        <f t="shared" si="57"/>
        <v>2Y2M20D</v>
      </c>
      <c r="BE144" s="102" t="str">
        <f t="shared" si="58"/>
        <v>1Y11M6D</v>
      </c>
      <c r="BF144" s="102">
        <f t="shared" si="59"/>
        <v>1.9342465753424658</v>
      </c>
      <c r="BG144" s="99">
        <v>2</v>
      </c>
      <c r="BH144" s="99">
        <v>1</v>
      </c>
    </row>
    <row r="145" spans="1:60" s="189" customFormat="1" ht="16">
      <c r="A145" s="99" t="s">
        <v>608</v>
      </c>
      <c r="B145" s="99">
        <v>22109189</v>
      </c>
      <c r="C145" s="99" t="s">
        <v>609</v>
      </c>
      <c r="D145" s="95">
        <v>44490</v>
      </c>
      <c r="E145" s="95">
        <v>44496</v>
      </c>
      <c r="F145" s="95">
        <v>44490</v>
      </c>
      <c r="G145" s="99" t="s">
        <v>110</v>
      </c>
      <c r="H145" s="101">
        <v>45196</v>
      </c>
      <c r="I145" s="101">
        <v>45378</v>
      </c>
      <c r="J145" s="95">
        <v>45265</v>
      </c>
      <c r="K145" s="95">
        <v>45265</v>
      </c>
      <c r="L145" s="99" t="str">
        <f t="shared" si="45"/>
        <v>2Y1M14D</v>
      </c>
      <c r="M145" s="99" t="str">
        <f t="shared" si="46"/>
        <v>2Y1M8D</v>
      </c>
      <c r="N145" s="102">
        <f t="shared" si="47"/>
        <v>2.1232876712328768</v>
      </c>
      <c r="O145" s="99">
        <v>3</v>
      </c>
      <c r="P145" s="99">
        <v>3</v>
      </c>
      <c r="Q145" s="99"/>
      <c r="R145" s="99">
        <v>3</v>
      </c>
      <c r="S145" s="99">
        <v>1</v>
      </c>
      <c r="T145" s="99"/>
      <c r="U145" s="99" t="s">
        <v>1711</v>
      </c>
      <c r="V145" s="99" t="s">
        <v>2565</v>
      </c>
      <c r="W145" s="99">
        <v>1</v>
      </c>
      <c r="X145" s="99">
        <v>1</v>
      </c>
      <c r="Y145" s="99">
        <v>1</v>
      </c>
      <c r="Z145" s="99">
        <v>1</v>
      </c>
      <c r="AA145" s="99">
        <v>2</v>
      </c>
      <c r="AB145" s="99"/>
      <c r="AC145" s="99" t="s">
        <v>2415</v>
      </c>
      <c r="AD145" s="99">
        <v>2</v>
      </c>
      <c r="AE145" s="99">
        <v>1</v>
      </c>
      <c r="AF145" s="99">
        <v>2</v>
      </c>
      <c r="AG145" s="99">
        <v>1</v>
      </c>
      <c r="AH145" s="95">
        <v>45259</v>
      </c>
      <c r="AI145" s="99" t="str">
        <f t="shared" si="48"/>
        <v>2Y1M8D</v>
      </c>
      <c r="AJ145" s="99" t="str">
        <f t="shared" si="49"/>
        <v>2Y1M2D</v>
      </c>
      <c r="AK145" s="102">
        <f t="shared" si="50"/>
        <v>2.106849315068493</v>
      </c>
      <c r="AL145" s="99">
        <v>1</v>
      </c>
      <c r="AM145" s="99">
        <v>1</v>
      </c>
      <c r="AN145" s="99">
        <v>1</v>
      </c>
      <c r="AO145" s="99">
        <v>1</v>
      </c>
      <c r="AP145" s="99">
        <v>3</v>
      </c>
      <c r="AQ145" s="99">
        <v>3</v>
      </c>
      <c r="AR145" s="99"/>
      <c r="AS145" s="95">
        <v>45261</v>
      </c>
      <c r="AT145" s="99" t="str">
        <f t="shared" si="51"/>
        <v>2Y1M10D</v>
      </c>
      <c r="AU145" s="99" t="str">
        <f t="shared" si="52"/>
        <v>2Y1M4D</v>
      </c>
      <c r="AV145" s="102">
        <f t="shared" si="53"/>
        <v>2.1123287671232878</v>
      </c>
      <c r="AW145" s="99">
        <v>7</v>
      </c>
      <c r="AX145" s="284">
        <v>45263</v>
      </c>
      <c r="AY145" s="99" t="str">
        <f t="shared" si="54"/>
        <v>2Y1M12D</v>
      </c>
      <c r="AZ145" s="102" t="str">
        <f t="shared" si="55"/>
        <v>2Y1M6D</v>
      </c>
      <c r="BA145" s="102">
        <f t="shared" si="56"/>
        <v>2.117808219178082</v>
      </c>
      <c r="BB145" s="99">
        <v>7</v>
      </c>
      <c r="BC145" s="95">
        <v>45265</v>
      </c>
      <c r="BD145" s="99" t="str">
        <f t="shared" si="57"/>
        <v>2Y1M14D</v>
      </c>
      <c r="BE145" s="102" t="str">
        <f t="shared" si="58"/>
        <v>2Y1M8D</v>
      </c>
      <c r="BF145" s="102">
        <f t="shared" si="59"/>
        <v>2.1232876712328768</v>
      </c>
      <c r="BG145" s="99">
        <v>2</v>
      </c>
      <c r="BH145" s="99">
        <v>0</v>
      </c>
    </row>
    <row r="146" spans="1:60" s="193" customFormat="1" ht="16">
      <c r="A146" s="25" t="s">
        <v>611</v>
      </c>
      <c r="B146" s="2">
        <v>22109134</v>
      </c>
      <c r="C146" s="2" t="s">
        <v>612</v>
      </c>
      <c r="D146" s="23">
        <v>44484</v>
      </c>
      <c r="E146" s="23">
        <v>44543</v>
      </c>
      <c r="F146" s="23">
        <v>44543</v>
      </c>
      <c r="G146" s="2" t="s">
        <v>105</v>
      </c>
      <c r="H146" s="38">
        <v>45243</v>
      </c>
      <c r="I146" s="38">
        <v>45425</v>
      </c>
      <c r="J146" s="25"/>
      <c r="K146" s="25"/>
      <c r="L146" s="25" t="e">
        <f t="shared" si="45"/>
        <v>#NUM!</v>
      </c>
      <c r="M146" s="25" t="e">
        <f t="shared" si="46"/>
        <v>#NUM!</v>
      </c>
      <c r="N146" s="64">
        <f t="shared" si="47"/>
        <v>-122.03561643835616</v>
      </c>
      <c r="O146" s="25"/>
      <c r="P146" s="25"/>
      <c r="Q146" s="25"/>
      <c r="R146" s="25"/>
      <c r="S146" s="25"/>
      <c r="T146" s="25"/>
      <c r="U146" s="25"/>
      <c r="V146" s="25"/>
      <c r="W146" s="25"/>
      <c r="X146" s="25"/>
      <c r="Y146" s="25"/>
      <c r="Z146" s="25"/>
      <c r="AA146" s="25"/>
      <c r="AB146" s="25"/>
      <c r="AC146" s="25"/>
      <c r="AD146" s="25"/>
      <c r="AE146" s="25"/>
      <c r="AF146" s="25"/>
      <c r="AG146" s="25"/>
      <c r="AH146" s="25"/>
      <c r="AI146" s="25" t="e">
        <f t="shared" si="48"/>
        <v>#NUM!</v>
      </c>
      <c r="AJ146" s="25" t="e">
        <f t="shared" si="49"/>
        <v>#NUM!</v>
      </c>
      <c r="AK146" s="64">
        <f t="shared" si="50"/>
        <v>-122.03561643835616</v>
      </c>
      <c r="AL146" s="25"/>
      <c r="AM146" s="25"/>
      <c r="AN146" s="25"/>
      <c r="AO146" s="25"/>
      <c r="AP146" s="25"/>
      <c r="AQ146" s="25"/>
      <c r="AR146" s="25"/>
      <c r="AS146" s="25"/>
      <c r="AT146" s="25" t="e">
        <f t="shared" si="51"/>
        <v>#NUM!</v>
      </c>
      <c r="AU146" s="25" t="e">
        <f t="shared" si="52"/>
        <v>#NUM!</v>
      </c>
      <c r="AV146" s="64">
        <f t="shared" si="53"/>
        <v>-122.03561643835616</v>
      </c>
      <c r="AW146" s="25"/>
      <c r="AX146" s="25"/>
      <c r="AY146" s="25" t="e">
        <f t="shared" si="54"/>
        <v>#NUM!</v>
      </c>
      <c r="AZ146" s="64" t="e">
        <f t="shared" si="55"/>
        <v>#NUM!</v>
      </c>
      <c r="BA146" s="64">
        <f t="shared" si="56"/>
        <v>-122.03561643835616</v>
      </c>
      <c r="BB146" s="25"/>
      <c r="BC146" s="25"/>
      <c r="BD146" s="25" t="e">
        <f t="shared" si="57"/>
        <v>#NUM!</v>
      </c>
      <c r="BE146" s="64" t="e">
        <f t="shared" si="58"/>
        <v>#NUM!</v>
      </c>
      <c r="BF146" s="64">
        <f t="shared" si="59"/>
        <v>-122.03561643835616</v>
      </c>
      <c r="BG146" s="25"/>
      <c r="BH146" s="25">
        <v>1</v>
      </c>
    </row>
    <row r="147" spans="1:60" s="189" customFormat="1" ht="16">
      <c r="A147" s="99" t="s">
        <v>615</v>
      </c>
      <c r="B147" s="99">
        <v>22101864</v>
      </c>
      <c r="C147" s="99" t="s">
        <v>616</v>
      </c>
      <c r="D147" s="95">
        <v>43767</v>
      </c>
      <c r="E147" s="95">
        <v>43827</v>
      </c>
      <c r="F147" s="95">
        <v>43827</v>
      </c>
      <c r="G147" s="99" t="s">
        <v>105</v>
      </c>
      <c r="H147" s="101">
        <v>44528</v>
      </c>
      <c r="I147" s="101">
        <v>44709</v>
      </c>
      <c r="J147" s="95">
        <v>44603</v>
      </c>
      <c r="K147" s="95">
        <v>44557</v>
      </c>
      <c r="L147" s="95" t="str">
        <f t="shared" si="45"/>
        <v>2Y1M28D</v>
      </c>
      <c r="M147" s="95" t="str">
        <f t="shared" si="46"/>
        <v>1Y11M29D</v>
      </c>
      <c r="N147" s="102">
        <f t="shared" si="47"/>
        <v>2</v>
      </c>
      <c r="O147" s="99">
        <v>3</v>
      </c>
      <c r="P147" s="99">
        <v>2</v>
      </c>
      <c r="Q147" s="99" t="s">
        <v>1703</v>
      </c>
      <c r="R147" s="98">
        <v>3</v>
      </c>
      <c r="S147" s="99">
        <v>1</v>
      </c>
      <c r="T147" s="99"/>
      <c r="U147" s="99" t="s">
        <v>1670</v>
      </c>
      <c r="V147" s="99" t="s">
        <v>1661</v>
      </c>
      <c r="W147" s="99">
        <v>1</v>
      </c>
      <c r="X147" s="99">
        <v>1</v>
      </c>
      <c r="Y147" s="99">
        <v>1</v>
      </c>
      <c r="Z147" s="99">
        <v>1</v>
      </c>
      <c r="AA147" s="99">
        <v>2</v>
      </c>
      <c r="AB147" s="99">
        <v>1</v>
      </c>
      <c r="AC147" s="99"/>
      <c r="AD147" s="99">
        <v>1</v>
      </c>
      <c r="AE147" s="99">
        <v>1</v>
      </c>
      <c r="AF147" s="99">
        <v>1</v>
      </c>
      <c r="AG147" s="99">
        <v>1</v>
      </c>
      <c r="AH147" s="95">
        <v>44557</v>
      </c>
      <c r="AI147" s="95" t="str">
        <f t="shared" si="48"/>
        <v>2Y1M28D</v>
      </c>
      <c r="AJ147" s="95" t="str">
        <f t="shared" si="49"/>
        <v>1Y11M29D</v>
      </c>
      <c r="AK147" s="102">
        <f t="shared" si="50"/>
        <v>2</v>
      </c>
      <c r="AL147" s="99"/>
      <c r="AM147" s="264">
        <v>1</v>
      </c>
      <c r="AN147" s="99">
        <v>1</v>
      </c>
      <c r="AO147" s="99">
        <v>1</v>
      </c>
      <c r="AP147" s="99">
        <v>2</v>
      </c>
      <c r="AQ147" s="99">
        <v>3</v>
      </c>
      <c r="AR147" s="99"/>
      <c r="AS147" s="95">
        <v>44555</v>
      </c>
      <c r="AT147" s="95" t="str">
        <f t="shared" si="51"/>
        <v>2Y1M26D</v>
      </c>
      <c r="AU147" s="95" t="str">
        <f t="shared" si="52"/>
        <v>1Y11M27D</v>
      </c>
      <c r="AV147" s="102">
        <f t="shared" si="53"/>
        <v>1.9945205479452055</v>
      </c>
      <c r="AW147" s="99">
        <v>2</v>
      </c>
      <c r="AX147" s="95">
        <v>44555</v>
      </c>
      <c r="AY147" s="95" t="str">
        <f t="shared" si="54"/>
        <v>2Y1M26D</v>
      </c>
      <c r="AZ147" s="102" t="str">
        <f t="shared" si="55"/>
        <v>1Y11M27D</v>
      </c>
      <c r="BA147" s="102">
        <f t="shared" si="56"/>
        <v>1.9945205479452055</v>
      </c>
      <c r="BB147" s="99">
        <v>2</v>
      </c>
      <c r="BC147" s="95">
        <v>44557</v>
      </c>
      <c r="BD147" s="95" t="str">
        <f t="shared" si="57"/>
        <v>2Y1M28D</v>
      </c>
      <c r="BE147" s="102" t="str">
        <f t="shared" si="58"/>
        <v>1Y11M29D</v>
      </c>
      <c r="BF147" s="102">
        <f t="shared" si="59"/>
        <v>2</v>
      </c>
      <c r="BG147" s="99">
        <v>1</v>
      </c>
      <c r="BH147" s="99">
        <v>1</v>
      </c>
    </row>
    <row r="148" spans="1:60" s="189" customFormat="1" ht="16">
      <c r="A148" s="99" t="s">
        <v>619</v>
      </c>
      <c r="B148" s="99">
        <v>22101865</v>
      </c>
      <c r="C148" s="99" t="s">
        <v>620</v>
      </c>
      <c r="D148" s="95">
        <v>43767</v>
      </c>
      <c r="E148" s="95">
        <v>43827</v>
      </c>
      <c r="F148" s="95">
        <v>43827</v>
      </c>
      <c r="G148" s="99" t="s">
        <v>105</v>
      </c>
      <c r="H148" s="101">
        <v>44528</v>
      </c>
      <c r="I148" s="101">
        <v>44709</v>
      </c>
      <c r="J148" s="95">
        <v>44603</v>
      </c>
      <c r="K148" s="95">
        <v>44557</v>
      </c>
      <c r="L148" s="95" t="str">
        <f t="shared" si="45"/>
        <v>2Y1M28D</v>
      </c>
      <c r="M148" s="95" t="str">
        <f t="shared" si="46"/>
        <v>1Y11M29D</v>
      </c>
      <c r="N148" s="102">
        <f t="shared" si="47"/>
        <v>2</v>
      </c>
      <c r="O148" s="99">
        <v>3</v>
      </c>
      <c r="P148" s="99">
        <v>4</v>
      </c>
      <c r="Q148" s="99" t="s">
        <v>1698</v>
      </c>
      <c r="R148" s="98">
        <v>3</v>
      </c>
      <c r="S148" s="99">
        <v>1</v>
      </c>
      <c r="T148" s="99">
        <v>1</v>
      </c>
      <c r="U148" s="99"/>
      <c r="V148" s="99" t="s">
        <v>1661</v>
      </c>
      <c r="W148" s="99">
        <v>1</v>
      </c>
      <c r="X148" s="99">
        <v>1</v>
      </c>
      <c r="Y148" s="99">
        <v>1</v>
      </c>
      <c r="Z148" s="99">
        <v>1</v>
      </c>
      <c r="AA148" s="99">
        <v>2</v>
      </c>
      <c r="AB148" s="99"/>
      <c r="AC148" s="99" t="s">
        <v>1671</v>
      </c>
      <c r="AD148" s="99">
        <v>1</v>
      </c>
      <c r="AE148" s="99">
        <v>1</v>
      </c>
      <c r="AF148" s="99">
        <v>1</v>
      </c>
      <c r="AG148" s="99">
        <v>1</v>
      </c>
      <c r="AH148" s="95">
        <v>44557</v>
      </c>
      <c r="AI148" s="95" t="str">
        <f t="shared" si="48"/>
        <v>2Y1M28D</v>
      </c>
      <c r="AJ148" s="95" t="str">
        <f t="shared" si="49"/>
        <v>1Y11M29D</v>
      </c>
      <c r="AK148" s="102">
        <f t="shared" si="50"/>
        <v>2</v>
      </c>
      <c r="AL148" s="99"/>
      <c r="AM148" s="264">
        <v>1</v>
      </c>
      <c r="AN148" s="99">
        <v>1</v>
      </c>
      <c r="AO148" s="99">
        <v>1</v>
      </c>
      <c r="AP148" s="99">
        <v>2</v>
      </c>
      <c r="AQ148" s="99">
        <v>3</v>
      </c>
      <c r="AR148" s="99"/>
      <c r="AS148" s="95">
        <v>44555</v>
      </c>
      <c r="AT148" s="95" t="str">
        <f t="shared" si="51"/>
        <v>2Y1M26D</v>
      </c>
      <c r="AU148" s="95" t="str">
        <f t="shared" si="52"/>
        <v>1Y11M27D</v>
      </c>
      <c r="AV148" s="102">
        <f t="shared" si="53"/>
        <v>1.9945205479452055</v>
      </c>
      <c r="AW148" s="99">
        <v>2</v>
      </c>
      <c r="AX148" s="95">
        <v>44555</v>
      </c>
      <c r="AY148" s="95" t="str">
        <f t="shared" si="54"/>
        <v>2Y1M26D</v>
      </c>
      <c r="AZ148" s="102" t="str">
        <f t="shared" si="55"/>
        <v>1Y11M27D</v>
      </c>
      <c r="BA148" s="102">
        <f t="shared" si="56"/>
        <v>1.9945205479452055</v>
      </c>
      <c r="BB148" s="99">
        <v>2</v>
      </c>
      <c r="BC148" s="95">
        <v>44557</v>
      </c>
      <c r="BD148" s="95" t="str">
        <f t="shared" si="57"/>
        <v>2Y1M28D</v>
      </c>
      <c r="BE148" s="102" t="str">
        <f t="shared" si="58"/>
        <v>1Y11M29D</v>
      </c>
      <c r="BF148" s="102">
        <f t="shared" si="59"/>
        <v>2</v>
      </c>
      <c r="BG148" s="99">
        <v>1</v>
      </c>
      <c r="BH148" s="99">
        <v>1</v>
      </c>
    </row>
    <row r="149" spans="1:60" s="193" customFormat="1" ht="16">
      <c r="A149" s="25" t="s">
        <v>622</v>
      </c>
      <c r="B149" s="25">
        <v>22107821</v>
      </c>
      <c r="C149" s="25" t="s">
        <v>623</v>
      </c>
      <c r="D149" s="32">
        <v>44339</v>
      </c>
      <c r="E149" s="32">
        <v>44349</v>
      </c>
      <c r="F149" s="32">
        <v>44339</v>
      </c>
      <c r="G149" s="25" t="s">
        <v>391</v>
      </c>
      <c r="H149" s="86">
        <v>45048</v>
      </c>
      <c r="I149" s="86">
        <v>45232</v>
      </c>
      <c r="J149" s="25"/>
      <c r="K149" s="25"/>
      <c r="L149" s="25" t="e">
        <f t="shared" si="45"/>
        <v>#NUM!</v>
      </c>
      <c r="M149" s="25" t="e">
        <f t="shared" si="46"/>
        <v>#NUM!</v>
      </c>
      <c r="N149" s="64">
        <f t="shared" si="47"/>
        <v>-121.47671232876712</v>
      </c>
      <c r="O149" s="25"/>
      <c r="P149" s="25"/>
      <c r="Q149" s="25"/>
      <c r="R149" s="25"/>
      <c r="S149" s="25"/>
      <c r="T149" s="25"/>
      <c r="U149" s="25"/>
      <c r="V149" s="25"/>
      <c r="W149" s="25"/>
      <c r="X149" s="25"/>
      <c r="Y149" s="25"/>
      <c r="Z149" s="25"/>
      <c r="AA149" s="25"/>
      <c r="AB149" s="25"/>
      <c r="AC149" s="25"/>
      <c r="AD149" s="25"/>
      <c r="AE149" s="25"/>
      <c r="AF149" s="25"/>
      <c r="AG149" s="25"/>
      <c r="AH149" s="25"/>
      <c r="AI149" s="25" t="e">
        <f t="shared" si="48"/>
        <v>#NUM!</v>
      </c>
      <c r="AJ149" s="25" t="e">
        <f t="shared" si="49"/>
        <v>#NUM!</v>
      </c>
      <c r="AK149" s="64">
        <f t="shared" si="50"/>
        <v>-121.47671232876712</v>
      </c>
      <c r="AL149" s="25"/>
      <c r="AM149" s="25"/>
      <c r="AN149" s="25"/>
      <c r="AO149" s="25"/>
      <c r="AP149" s="25"/>
      <c r="AQ149" s="25"/>
      <c r="AR149" s="25"/>
      <c r="AS149" s="25"/>
      <c r="AT149" s="25" t="e">
        <f t="shared" si="51"/>
        <v>#NUM!</v>
      </c>
      <c r="AU149" s="25" t="e">
        <f t="shared" si="52"/>
        <v>#NUM!</v>
      </c>
      <c r="AV149" s="64">
        <f t="shared" si="53"/>
        <v>-121.47671232876712</v>
      </c>
      <c r="AW149" s="25"/>
      <c r="AX149" s="25"/>
      <c r="AY149" s="25" t="e">
        <f t="shared" si="54"/>
        <v>#NUM!</v>
      </c>
      <c r="AZ149" s="64" t="e">
        <f t="shared" si="55"/>
        <v>#NUM!</v>
      </c>
      <c r="BA149" s="64">
        <f t="shared" si="56"/>
        <v>-121.47671232876712</v>
      </c>
      <c r="BB149" s="25"/>
      <c r="BC149" s="25"/>
      <c r="BD149" s="25" t="e">
        <f t="shared" si="57"/>
        <v>#NUM!</v>
      </c>
      <c r="BE149" s="64" t="e">
        <f t="shared" si="58"/>
        <v>#NUM!</v>
      </c>
      <c r="BF149" s="64">
        <f t="shared" si="59"/>
        <v>-121.47671232876712</v>
      </c>
      <c r="BG149" s="25"/>
      <c r="BH149" s="25">
        <v>1</v>
      </c>
    </row>
    <row r="150" spans="1:60" s="189" customFormat="1" ht="16">
      <c r="A150" s="99" t="s">
        <v>626</v>
      </c>
      <c r="B150" s="99">
        <v>22109239</v>
      </c>
      <c r="C150" s="99" t="s">
        <v>627</v>
      </c>
      <c r="D150" s="95">
        <v>44496</v>
      </c>
      <c r="E150" s="95">
        <v>44508</v>
      </c>
      <c r="F150" s="95">
        <v>44496</v>
      </c>
      <c r="G150" s="99" t="s">
        <v>75</v>
      </c>
      <c r="H150" s="101">
        <v>45207</v>
      </c>
      <c r="I150" s="101">
        <v>45390</v>
      </c>
      <c r="J150" s="95">
        <v>45251</v>
      </c>
      <c r="K150" s="95">
        <v>45251</v>
      </c>
      <c r="L150" s="99" t="str">
        <f t="shared" si="45"/>
        <v>2Y0M25D</v>
      </c>
      <c r="M150" s="99" t="str">
        <f t="shared" si="46"/>
        <v>2Y0M13D</v>
      </c>
      <c r="N150" s="102">
        <f t="shared" si="47"/>
        <v>2.0684931506849313</v>
      </c>
      <c r="O150" s="99">
        <v>3</v>
      </c>
      <c r="P150" s="99">
        <v>3</v>
      </c>
      <c r="Q150" s="99"/>
      <c r="R150" s="99">
        <v>3</v>
      </c>
      <c r="S150" s="99">
        <v>1</v>
      </c>
      <c r="T150" s="99">
        <v>1</v>
      </c>
      <c r="U150" s="99"/>
      <c r="V150" s="99" t="s">
        <v>1661</v>
      </c>
      <c r="W150" s="99">
        <v>1</v>
      </c>
      <c r="X150" s="99">
        <v>1</v>
      </c>
      <c r="Y150" s="99">
        <v>1</v>
      </c>
      <c r="Z150" s="99">
        <v>1</v>
      </c>
      <c r="AA150" s="99">
        <v>2</v>
      </c>
      <c r="AB150" s="99">
        <v>1</v>
      </c>
      <c r="AC150" s="99"/>
      <c r="AD150" s="99">
        <v>1</v>
      </c>
      <c r="AE150" s="99">
        <v>1</v>
      </c>
      <c r="AF150" s="99">
        <v>1</v>
      </c>
      <c r="AG150" s="99">
        <v>1</v>
      </c>
      <c r="AH150" s="95">
        <v>45251</v>
      </c>
      <c r="AI150" s="99" t="str">
        <f t="shared" si="48"/>
        <v>2Y0M25D</v>
      </c>
      <c r="AJ150" s="99" t="str">
        <f t="shared" si="49"/>
        <v>2Y0M13D</v>
      </c>
      <c r="AK150" s="102">
        <f t="shared" si="50"/>
        <v>2.0684931506849313</v>
      </c>
      <c r="AL150" s="99">
        <v>1</v>
      </c>
      <c r="AM150" s="99">
        <v>1</v>
      </c>
      <c r="AN150" s="99">
        <v>1</v>
      </c>
      <c r="AO150" s="99">
        <v>1</v>
      </c>
      <c r="AP150" s="99">
        <v>3</v>
      </c>
      <c r="AQ150" s="99">
        <v>3</v>
      </c>
      <c r="AR150" s="99"/>
      <c r="AS150" s="95">
        <v>45251</v>
      </c>
      <c r="AT150" s="99" t="str">
        <f t="shared" si="51"/>
        <v>2Y0M25D</v>
      </c>
      <c r="AU150" s="99" t="str">
        <f t="shared" si="52"/>
        <v>2Y0M13D</v>
      </c>
      <c r="AV150" s="102">
        <f t="shared" si="53"/>
        <v>2.0684931506849313</v>
      </c>
      <c r="AW150" s="99">
        <v>6</v>
      </c>
      <c r="AX150" s="99"/>
      <c r="AY150" s="99" t="e">
        <f t="shared" si="54"/>
        <v>#NUM!</v>
      </c>
      <c r="AZ150" s="102" t="e">
        <f t="shared" si="55"/>
        <v>#NUM!</v>
      </c>
      <c r="BA150" s="102">
        <f t="shared" si="56"/>
        <v>-121.9068493150685</v>
      </c>
      <c r="BB150" s="99"/>
      <c r="BC150" s="95">
        <v>45251</v>
      </c>
      <c r="BD150" s="99" t="str">
        <f t="shared" si="57"/>
        <v>2Y0M25D</v>
      </c>
      <c r="BE150" s="102" t="str">
        <f t="shared" si="58"/>
        <v>2Y0M13D</v>
      </c>
      <c r="BF150" s="102">
        <f t="shared" si="59"/>
        <v>2.0684931506849313</v>
      </c>
      <c r="BG150" s="99"/>
      <c r="BH150" s="99">
        <v>0</v>
      </c>
    </row>
    <row r="151" spans="1:60" s="193" customFormat="1" ht="16">
      <c r="A151" s="25" t="s">
        <v>630</v>
      </c>
      <c r="B151" s="25">
        <v>22107774</v>
      </c>
      <c r="C151" s="25" t="s">
        <v>631</v>
      </c>
      <c r="D151" s="32">
        <v>44336</v>
      </c>
      <c r="E151" s="32">
        <v>44332</v>
      </c>
      <c r="F151" s="32">
        <v>44336</v>
      </c>
      <c r="G151" s="25" t="s">
        <v>294</v>
      </c>
      <c r="H151" s="86">
        <v>45032</v>
      </c>
      <c r="I151" s="86">
        <v>45215</v>
      </c>
      <c r="J151" s="25"/>
      <c r="K151" s="32"/>
      <c r="L151" s="32" t="e">
        <f t="shared" si="45"/>
        <v>#NUM!</v>
      </c>
      <c r="M151" s="32" t="e">
        <f t="shared" si="46"/>
        <v>#NUM!</v>
      </c>
      <c r="N151" s="64">
        <f t="shared" si="47"/>
        <v>-121.46849315068494</v>
      </c>
      <c r="O151" s="25"/>
      <c r="P151" s="25"/>
      <c r="Q151" s="25"/>
      <c r="R151" s="25"/>
      <c r="S151" s="25"/>
      <c r="T151" s="25"/>
      <c r="U151" s="25"/>
      <c r="V151" s="25"/>
      <c r="W151" s="25"/>
      <c r="X151" s="25"/>
      <c r="Y151" s="25"/>
      <c r="Z151" s="25"/>
      <c r="AA151" s="25"/>
      <c r="AB151" s="25"/>
      <c r="AC151" s="25"/>
      <c r="AD151" s="25"/>
      <c r="AE151" s="25"/>
      <c r="AF151" s="25"/>
      <c r="AG151" s="25"/>
      <c r="AH151" s="32"/>
      <c r="AI151" s="32" t="e">
        <f t="shared" si="48"/>
        <v>#NUM!</v>
      </c>
      <c r="AJ151" s="32" t="e">
        <f t="shared" si="49"/>
        <v>#NUM!</v>
      </c>
      <c r="AK151" s="64">
        <f t="shared" si="50"/>
        <v>-121.46849315068494</v>
      </c>
      <c r="AL151" s="25"/>
      <c r="AM151" s="25"/>
      <c r="AN151" s="25"/>
      <c r="AO151" s="25"/>
      <c r="AP151" s="25"/>
      <c r="AQ151" s="25"/>
      <c r="AR151" s="25"/>
      <c r="AS151" s="32"/>
      <c r="AT151" s="32" t="e">
        <f t="shared" si="51"/>
        <v>#NUM!</v>
      </c>
      <c r="AU151" s="32" t="e">
        <f t="shared" si="52"/>
        <v>#NUM!</v>
      </c>
      <c r="AV151" s="64">
        <f t="shared" si="53"/>
        <v>-121.46849315068494</v>
      </c>
      <c r="AW151" s="25"/>
      <c r="AX151" s="32"/>
      <c r="AY151" s="32" t="e">
        <f t="shared" si="54"/>
        <v>#NUM!</v>
      </c>
      <c r="AZ151" s="64" t="e">
        <f t="shared" si="55"/>
        <v>#NUM!</v>
      </c>
      <c r="BA151" s="64">
        <f t="shared" si="56"/>
        <v>-121.46849315068494</v>
      </c>
      <c r="BB151" s="25"/>
      <c r="BC151" s="32"/>
      <c r="BD151" s="32" t="e">
        <f t="shared" si="57"/>
        <v>#NUM!</v>
      </c>
      <c r="BE151" s="64" t="e">
        <f t="shared" si="58"/>
        <v>#NUM!</v>
      </c>
      <c r="BF151" s="64">
        <f t="shared" si="59"/>
        <v>-121.46849315068494</v>
      </c>
      <c r="BG151" s="25"/>
      <c r="BH151" s="25">
        <v>0</v>
      </c>
    </row>
    <row r="152" spans="1:60" s="189" customFormat="1" ht="16">
      <c r="A152" s="99" t="s">
        <v>633</v>
      </c>
      <c r="B152" s="99">
        <v>22109051</v>
      </c>
      <c r="C152" s="99" t="s">
        <v>634</v>
      </c>
      <c r="D152" s="95">
        <v>44476</v>
      </c>
      <c r="E152" s="95">
        <v>44532</v>
      </c>
      <c r="F152" s="95">
        <v>44476</v>
      </c>
      <c r="G152" s="99">
        <v>32</v>
      </c>
      <c r="H152" s="101">
        <v>45232</v>
      </c>
      <c r="I152" s="101">
        <v>45414</v>
      </c>
      <c r="J152" s="95">
        <v>45260</v>
      </c>
      <c r="K152" s="95">
        <v>45260</v>
      </c>
      <c r="L152" s="99" t="str">
        <f t="shared" si="45"/>
        <v>2Y1M23D</v>
      </c>
      <c r="M152" s="99" t="str">
        <f t="shared" si="46"/>
        <v>1Y11M28D</v>
      </c>
      <c r="N152" s="102">
        <f t="shared" si="47"/>
        <v>2.1479452054794521</v>
      </c>
      <c r="O152" s="99">
        <v>3</v>
      </c>
      <c r="P152" s="99">
        <v>3</v>
      </c>
      <c r="Q152" s="99"/>
      <c r="R152" s="99">
        <v>3</v>
      </c>
      <c r="S152" s="99">
        <v>1</v>
      </c>
      <c r="T152" s="99"/>
      <c r="U152" s="99">
        <v>1.25</v>
      </c>
      <c r="V152" s="99" t="s">
        <v>1661</v>
      </c>
      <c r="W152" s="99">
        <v>1</v>
      </c>
      <c r="X152" s="99">
        <v>1</v>
      </c>
      <c r="Y152" s="99">
        <v>1</v>
      </c>
      <c r="Z152" s="99">
        <v>1</v>
      </c>
      <c r="AA152" s="99">
        <v>2</v>
      </c>
      <c r="AB152" s="99"/>
      <c r="AC152" s="99" t="s">
        <v>1710</v>
      </c>
      <c r="AD152" s="99">
        <v>1</v>
      </c>
      <c r="AE152" s="99">
        <v>1</v>
      </c>
      <c r="AF152" s="99">
        <v>1</v>
      </c>
      <c r="AG152" s="99">
        <v>1</v>
      </c>
      <c r="AH152" s="95">
        <v>45260</v>
      </c>
      <c r="AI152" s="99" t="str">
        <f t="shared" si="48"/>
        <v>2Y1M23D</v>
      </c>
      <c r="AJ152" s="99" t="str">
        <f t="shared" si="49"/>
        <v>1Y11M28D</v>
      </c>
      <c r="AK152" s="102">
        <f t="shared" si="50"/>
        <v>2.1479452054794521</v>
      </c>
      <c r="AL152" s="99"/>
      <c r="AM152" s="99"/>
      <c r="AN152" s="99">
        <v>1</v>
      </c>
      <c r="AO152" s="99"/>
      <c r="AP152" s="99"/>
      <c r="AQ152" s="99"/>
      <c r="AR152" s="99" t="s">
        <v>2598</v>
      </c>
      <c r="AS152" s="95">
        <v>45257</v>
      </c>
      <c r="AT152" s="99" t="str">
        <f t="shared" si="51"/>
        <v>2Y1M20D</v>
      </c>
      <c r="AU152" s="99" t="str">
        <f t="shared" si="52"/>
        <v>1Y11M25D</v>
      </c>
      <c r="AV152" s="102">
        <f t="shared" si="53"/>
        <v>2.1397260273972605</v>
      </c>
      <c r="AW152" s="99">
        <v>6</v>
      </c>
      <c r="AX152" s="95">
        <v>45257</v>
      </c>
      <c r="AY152" s="99" t="str">
        <f t="shared" si="54"/>
        <v>2Y1M20D</v>
      </c>
      <c r="AZ152" s="102" t="str">
        <f t="shared" si="55"/>
        <v>1Y11M25D</v>
      </c>
      <c r="BA152" s="102">
        <f t="shared" si="56"/>
        <v>2.1397260273972605</v>
      </c>
      <c r="BB152" s="99">
        <v>6</v>
      </c>
      <c r="BC152" s="95">
        <v>45260</v>
      </c>
      <c r="BD152" s="99" t="str">
        <f t="shared" si="57"/>
        <v>2Y1M23D</v>
      </c>
      <c r="BE152" s="102" t="str">
        <f t="shared" si="58"/>
        <v>1Y11M28D</v>
      </c>
      <c r="BF152" s="102">
        <f t="shared" si="59"/>
        <v>2.1479452054794521</v>
      </c>
      <c r="BG152" s="99">
        <v>2</v>
      </c>
      <c r="BH152" s="99">
        <v>1</v>
      </c>
    </row>
    <row r="153" spans="1:60" s="189" customFormat="1" ht="16">
      <c r="A153" s="99" t="s">
        <v>636</v>
      </c>
      <c r="B153" s="99">
        <v>22109052</v>
      </c>
      <c r="C153" s="99" t="s">
        <v>637</v>
      </c>
      <c r="D153" s="95">
        <v>44476</v>
      </c>
      <c r="E153" s="95">
        <v>44532</v>
      </c>
      <c r="F153" s="95">
        <v>44476</v>
      </c>
      <c r="G153" s="99">
        <v>32</v>
      </c>
      <c r="H153" s="101">
        <v>45232</v>
      </c>
      <c r="I153" s="101">
        <v>45414</v>
      </c>
      <c r="J153" s="95">
        <v>45264</v>
      </c>
      <c r="K153" s="95">
        <v>45264</v>
      </c>
      <c r="L153" s="99" t="str">
        <f t="shared" si="45"/>
        <v>2Y1M27D</v>
      </c>
      <c r="M153" s="99" t="str">
        <f t="shared" si="46"/>
        <v>2Y0M2D</v>
      </c>
      <c r="N153" s="102">
        <f t="shared" si="47"/>
        <v>2.1589041095890411</v>
      </c>
      <c r="O153" s="99">
        <v>3</v>
      </c>
      <c r="P153" s="99">
        <v>3</v>
      </c>
      <c r="Q153" s="99"/>
      <c r="R153" s="99">
        <v>3</v>
      </c>
      <c r="S153" s="99">
        <v>1</v>
      </c>
      <c r="T153" s="99"/>
      <c r="U153" s="99" t="s">
        <v>1711</v>
      </c>
      <c r="V153" s="99" t="s">
        <v>1661</v>
      </c>
      <c r="W153" s="99">
        <v>1</v>
      </c>
      <c r="X153" s="99">
        <v>1</v>
      </c>
      <c r="Y153" s="99">
        <v>1</v>
      </c>
      <c r="Z153" s="99">
        <v>1</v>
      </c>
      <c r="AA153" s="99">
        <v>2</v>
      </c>
      <c r="AB153" s="99"/>
      <c r="AC153" s="99" t="s">
        <v>2415</v>
      </c>
      <c r="AD153" s="99">
        <v>2</v>
      </c>
      <c r="AE153" s="99">
        <v>1</v>
      </c>
      <c r="AF153" s="99">
        <v>2</v>
      </c>
      <c r="AG153" s="99">
        <v>1</v>
      </c>
      <c r="AH153" s="95">
        <v>45260</v>
      </c>
      <c r="AI153" s="99" t="str">
        <f t="shared" si="48"/>
        <v>2Y1M23D</v>
      </c>
      <c r="AJ153" s="99" t="str">
        <f t="shared" si="49"/>
        <v>1Y11M28D</v>
      </c>
      <c r="AK153" s="102">
        <f t="shared" si="50"/>
        <v>2.1479452054794521</v>
      </c>
      <c r="AL153" s="99">
        <v>1</v>
      </c>
      <c r="AM153" s="99">
        <v>1</v>
      </c>
      <c r="AN153" s="99">
        <v>1</v>
      </c>
      <c r="AO153" s="99">
        <v>1</v>
      </c>
      <c r="AP153" s="99">
        <v>3</v>
      </c>
      <c r="AQ153" s="99">
        <v>3</v>
      </c>
      <c r="AR153" s="99"/>
      <c r="AS153" s="95">
        <v>45258</v>
      </c>
      <c r="AT153" s="99" t="str">
        <f t="shared" si="51"/>
        <v>2Y1M21D</v>
      </c>
      <c r="AU153" s="99" t="str">
        <f t="shared" si="52"/>
        <v>1Y11M26D</v>
      </c>
      <c r="AV153" s="102">
        <f t="shared" si="53"/>
        <v>2.1424657534246574</v>
      </c>
      <c r="AW153" s="99">
        <v>6</v>
      </c>
      <c r="AX153" s="99"/>
      <c r="AY153" s="99" t="e">
        <f t="shared" si="54"/>
        <v>#NUM!</v>
      </c>
      <c r="AZ153" s="102" t="e">
        <f t="shared" si="55"/>
        <v>#NUM!</v>
      </c>
      <c r="BA153" s="102">
        <f t="shared" si="56"/>
        <v>-121.85205479452055</v>
      </c>
      <c r="BB153" s="99"/>
      <c r="BC153" s="95">
        <v>45264</v>
      </c>
      <c r="BD153" s="99" t="str">
        <f t="shared" si="57"/>
        <v>2Y1M27D</v>
      </c>
      <c r="BE153" s="102" t="str">
        <f t="shared" si="58"/>
        <v>2Y0M2D</v>
      </c>
      <c r="BF153" s="102">
        <f t="shared" si="59"/>
        <v>2.1589041095890411</v>
      </c>
      <c r="BG153" s="99">
        <v>2</v>
      </c>
      <c r="BH153" s="99">
        <v>1</v>
      </c>
    </row>
    <row r="154" spans="1:60" s="189" customFormat="1" ht="16">
      <c r="A154" s="99" t="s">
        <v>638</v>
      </c>
      <c r="B154" s="99">
        <v>22100387</v>
      </c>
      <c r="C154" s="99" t="s">
        <v>639</v>
      </c>
      <c r="D154" s="95">
        <v>43640</v>
      </c>
      <c r="E154" s="95">
        <v>43747</v>
      </c>
      <c r="F154" s="95">
        <v>43747</v>
      </c>
      <c r="G154" s="99" t="s">
        <v>640</v>
      </c>
      <c r="H154" s="101">
        <v>44448</v>
      </c>
      <c r="I154" s="101">
        <v>44629</v>
      </c>
      <c r="J154" s="95">
        <v>44533</v>
      </c>
      <c r="K154" s="95">
        <v>44533</v>
      </c>
      <c r="L154" s="95" t="str">
        <f t="shared" si="45"/>
        <v>2Y5M9D</v>
      </c>
      <c r="M154" s="95" t="str">
        <f t="shared" si="46"/>
        <v>2Y1M24D</v>
      </c>
      <c r="N154" s="102">
        <f t="shared" si="47"/>
        <v>2.1534246575342464</v>
      </c>
      <c r="O154" s="99" t="s">
        <v>2609</v>
      </c>
      <c r="P154" s="99">
        <v>2</v>
      </c>
      <c r="Q154" s="99" t="s">
        <v>1761</v>
      </c>
      <c r="R154" s="98">
        <v>3</v>
      </c>
      <c r="S154" s="99">
        <v>1</v>
      </c>
      <c r="T154" s="99"/>
      <c r="U154" s="99" t="s">
        <v>1965</v>
      </c>
      <c r="V154" s="99" t="s">
        <v>1695</v>
      </c>
      <c r="W154" s="99">
        <v>1</v>
      </c>
      <c r="X154" s="99">
        <v>1</v>
      </c>
      <c r="Y154" s="99">
        <v>1</v>
      </c>
      <c r="Z154" s="99">
        <v>1</v>
      </c>
      <c r="AA154" s="99">
        <v>2</v>
      </c>
      <c r="AB154" s="99"/>
      <c r="AC154" s="99" t="s">
        <v>1678</v>
      </c>
      <c r="AD154" s="99">
        <v>1</v>
      </c>
      <c r="AE154" s="99">
        <v>1</v>
      </c>
      <c r="AF154" s="99">
        <v>1</v>
      </c>
      <c r="AG154" s="99">
        <v>1</v>
      </c>
      <c r="AH154" s="95">
        <v>44553</v>
      </c>
      <c r="AI154" s="95" t="str">
        <f t="shared" si="48"/>
        <v>2Y5M29D</v>
      </c>
      <c r="AJ154" s="95" t="str">
        <f t="shared" si="49"/>
        <v>2Y2M14D</v>
      </c>
      <c r="AK154" s="102">
        <f t="shared" si="50"/>
        <v>2.2082191780821918</v>
      </c>
      <c r="AL154" s="99"/>
      <c r="AM154" s="264">
        <v>1</v>
      </c>
      <c r="AN154" s="99">
        <v>1</v>
      </c>
      <c r="AO154" s="99">
        <v>1</v>
      </c>
      <c r="AP154" s="99">
        <v>2</v>
      </c>
      <c r="AQ154" s="99">
        <v>3</v>
      </c>
      <c r="AR154" s="99"/>
      <c r="AS154" s="95">
        <v>44552</v>
      </c>
      <c r="AT154" s="95" t="str">
        <f t="shared" si="51"/>
        <v>2Y5M28D</v>
      </c>
      <c r="AU154" s="95" t="str">
        <f t="shared" si="52"/>
        <v>2Y2M13D</v>
      </c>
      <c r="AV154" s="102">
        <f t="shared" si="53"/>
        <v>2.2054794520547945</v>
      </c>
      <c r="AW154" s="99" t="s">
        <v>2205</v>
      </c>
      <c r="AX154" s="95">
        <v>44564</v>
      </c>
      <c r="AY154" s="95" t="str">
        <f t="shared" si="54"/>
        <v>2Y6M10D</v>
      </c>
      <c r="AZ154" s="102" t="str">
        <f t="shared" si="55"/>
        <v>2Y2M25D</v>
      </c>
      <c r="BA154" s="102">
        <f t="shared" si="56"/>
        <v>2.2383561643835614</v>
      </c>
      <c r="BB154" s="99" t="s">
        <v>2205</v>
      </c>
      <c r="BC154" s="95">
        <v>44533</v>
      </c>
      <c r="BD154" s="95" t="str">
        <f t="shared" si="57"/>
        <v>2Y5M9D</v>
      </c>
      <c r="BE154" s="102" t="str">
        <f t="shared" si="58"/>
        <v>2Y1M24D</v>
      </c>
      <c r="BF154" s="102">
        <f t="shared" si="59"/>
        <v>2.1534246575342464</v>
      </c>
      <c r="BG154" s="99">
        <v>1</v>
      </c>
      <c r="BH154" s="99">
        <v>1</v>
      </c>
    </row>
    <row r="155" spans="1:60" s="189" customFormat="1" ht="16">
      <c r="A155" s="99" t="s">
        <v>642</v>
      </c>
      <c r="B155" s="99">
        <v>22108829</v>
      </c>
      <c r="C155" s="99" t="s">
        <v>643</v>
      </c>
      <c r="D155" s="95">
        <v>44449</v>
      </c>
      <c r="E155" s="95">
        <v>44523</v>
      </c>
      <c r="F155" s="95">
        <v>44523</v>
      </c>
      <c r="G155" s="99" t="s">
        <v>180</v>
      </c>
      <c r="H155" s="101">
        <v>45222</v>
      </c>
      <c r="I155" s="101">
        <v>45405</v>
      </c>
      <c r="J155" s="95">
        <v>45285</v>
      </c>
      <c r="K155" s="95">
        <v>45285</v>
      </c>
      <c r="L155" s="99" t="str">
        <f t="shared" si="45"/>
        <v>2Y3M15D</v>
      </c>
      <c r="M155" s="99" t="str">
        <f t="shared" si="46"/>
        <v>2Y1M2D</v>
      </c>
      <c r="N155" s="102">
        <f t="shared" si="47"/>
        <v>2.0876712328767124</v>
      </c>
      <c r="O155" s="99">
        <v>4</v>
      </c>
      <c r="P155" s="99">
        <v>3</v>
      </c>
      <c r="Q155" s="99"/>
      <c r="R155" s="99">
        <v>3</v>
      </c>
      <c r="S155" s="99">
        <v>1</v>
      </c>
      <c r="T155" s="99">
        <v>1</v>
      </c>
      <c r="U155" s="99" t="s">
        <v>1674</v>
      </c>
      <c r="V155" s="99" t="s">
        <v>1661</v>
      </c>
      <c r="W155" s="99">
        <v>2</v>
      </c>
      <c r="X155" s="99">
        <v>1</v>
      </c>
      <c r="Y155" s="99">
        <v>1</v>
      </c>
      <c r="Z155" s="99">
        <v>1</v>
      </c>
      <c r="AA155" s="99">
        <v>2</v>
      </c>
      <c r="AB155" s="99">
        <v>1</v>
      </c>
      <c r="AC155" s="99" t="s">
        <v>1689</v>
      </c>
      <c r="AD155" s="99">
        <v>2</v>
      </c>
      <c r="AE155" s="99">
        <v>1</v>
      </c>
      <c r="AF155" s="99">
        <v>2</v>
      </c>
      <c r="AG155" s="99">
        <v>1</v>
      </c>
      <c r="AH155" s="95">
        <v>45285</v>
      </c>
      <c r="AI155" s="99" t="str">
        <f t="shared" si="48"/>
        <v>2Y3M15D</v>
      </c>
      <c r="AJ155" s="99" t="str">
        <f t="shared" si="49"/>
        <v>2Y1M2D</v>
      </c>
      <c r="AK155" s="102">
        <f t="shared" si="50"/>
        <v>2.0876712328767124</v>
      </c>
      <c r="AL155" s="99">
        <v>1</v>
      </c>
      <c r="AM155" s="99">
        <v>1</v>
      </c>
      <c r="AN155" s="99">
        <v>2</v>
      </c>
      <c r="AO155" s="99">
        <v>1</v>
      </c>
      <c r="AP155" s="99">
        <v>3</v>
      </c>
      <c r="AQ155" s="99">
        <v>3</v>
      </c>
      <c r="AR155" s="99"/>
      <c r="AS155" s="95">
        <v>45279</v>
      </c>
      <c r="AT155" s="99" t="str">
        <f t="shared" si="51"/>
        <v>2Y3M9D</v>
      </c>
      <c r="AU155" s="99" t="str">
        <f t="shared" si="52"/>
        <v>2Y0M26D</v>
      </c>
      <c r="AV155" s="102">
        <f t="shared" si="53"/>
        <v>2.0712328767123287</v>
      </c>
      <c r="AW155" s="99">
        <v>7</v>
      </c>
      <c r="AX155" s="95">
        <v>45281</v>
      </c>
      <c r="AY155" s="99" t="str">
        <f t="shared" si="54"/>
        <v>2Y3M11D</v>
      </c>
      <c r="AZ155" s="102" t="str">
        <f t="shared" si="55"/>
        <v>2Y0M28D</v>
      </c>
      <c r="BA155" s="102">
        <f t="shared" si="56"/>
        <v>2.0767123287671234</v>
      </c>
      <c r="BB155" s="99">
        <v>7</v>
      </c>
      <c r="BC155" s="95">
        <v>45285</v>
      </c>
      <c r="BD155" s="99" t="str">
        <f t="shared" si="57"/>
        <v>2Y3M15D</v>
      </c>
      <c r="BE155" s="102" t="str">
        <f t="shared" si="58"/>
        <v>2Y1M2D</v>
      </c>
      <c r="BF155" s="102">
        <f t="shared" si="59"/>
        <v>2.0876712328767124</v>
      </c>
      <c r="BG155" s="99">
        <v>2</v>
      </c>
      <c r="BH155" s="99">
        <v>1</v>
      </c>
    </row>
    <row r="156" spans="1:60" s="193" customFormat="1" ht="16">
      <c r="A156" s="63" t="s">
        <v>645</v>
      </c>
      <c r="B156" s="63">
        <v>4998631</v>
      </c>
      <c r="C156" s="63" t="s">
        <v>646</v>
      </c>
      <c r="D156" s="43">
        <v>44421</v>
      </c>
      <c r="E156" s="43">
        <v>44490</v>
      </c>
      <c r="F156" s="43">
        <v>44490</v>
      </c>
      <c r="G156" s="63" t="s">
        <v>100</v>
      </c>
      <c r="H156" s="86">
        <v>45190</v>
      </c>
      <c r="I156" s="86">
        <v>45372</v>
      </c>
      <c r="J156" s="63"/>
      <c r="K156" s="63"/>
      <c r="L156" s="63" t="e">
        <f t="shared" si="45"/>
        <v>#NUM!</v>
      </c>
      <c r="M156" s="63" t="e">
        <f t="shared" si="46"/>
        <v>#NUM!</v>
      </c>
      <c r="N156" s="72">
        <f t="shared" si="47"/>
        <v>-121.89041095890411</v>
      </c>
      <c r="O156" s="25"/>
      <c r="P156" s="25"/>
      <c r="Q156" s="25"/>
      <c r="R156" s="25"/>
      <c r="S156" s="25"/>
      <c r="T156" s="25"/>
      <c r="U156" s="25"/>
      <c r="V156" s="25"/>
      <c r="W156" s="25"/>
      <c r="X156" s="25"/>
      <c r="Y156" s="25"/>
      <c r="Z156" s="25"/>
      <c r="AA156" s="25"/>
      <c r="AB156" s="25"/>
      <c r="AC156" s="25"/>
      <c r="AD156" s="25"/>
      <c r="AE156" s="25"/>
      <c r="AF156" s="25"/>
      <c r="AG156" s="25"/>
      <c r="AH156" s="63"/>
      <c r="AI156" s="63" t="e">
        <f t="shared" si="48"/>
        <v>#NUM!</v>
      </c>
      <c r="AJ156" s="63" t="e">
        <f t="shared" si="49"/>
        <v>#NUM!</v>
      </c>
      <c r="AK156" s="72">
        <f t="shared" si="50"/>
        <v>-121.89041095890411</v>
      </c>
      <c r="AL156" s="25"/>
      <c r="AM156" s="25"/>
      <c r="AN156" s="25"/>
      <c r="AO156" s="25"/>
      <c r="AP156" s="25"/>
      <c r="AQ156" s="25"/>
      <c r="AR156" s="25"/>
      <c r="AS156" s="63"/>
      <c r="AT156" s="63" t="e">
        <f t="shared" si="51"/>
        <v>#NUM!</v>
      </c>
      <c r="AU156" s="63" t="e">
        <f t="shared" si="52"/>
        <v>#NUM!</v>
      </c>
      <c r="AV156" s="72">
        <f t="shared" si="53"/>
        <v>-121.89041095890411</v>
      </c>
      <c r="AW156" s="25"/>
      <c r="AX156" s="63"/>
      <c r="AY156" s="63" t="e">
        <f t="shared" si="54"/>
        <v>#NUM!</v>
      </c>
      <c r="AZ156" s="72" t="e">
        <f t="shared" si="55"/>
        <v>#NUM!</v>
      </c>
      <c r="BA156" s="72">
        <f t="shared" si="56"/>
        <v>-121.89041095890411</v>
      </c>
      <c r="BB156" s="25"/>
      <c r="BC156" s="63"/>
      <c r="BD156" s="63" t="e">
        <f t="shared" si="57"/>
        <v>#NUM!</v>
      </c>
      <c r="BE156" s="72" t="e">
        <f t="shared" si="58"/>
        <v>#NUM!</v>
      </c>
      <c r="BF156" s="72">
        <f t="shared" si="59"/>
        <v>-121.89041095890411</v>
      </c>
      <c r="BG156" s="25"/>
      <c r="BH156" s="63">
        <v>1</v>
      </c>
    </row>
    <row r="157" spans="1:60" s="189" customFormat="1" ht="16">
      <c r="A157" s="99" t="s">
        <v>649</v>
      </c>
      <c r="B157" s="99">
        <v>22106106</v>
      </c>
      <c r="C157" s="99" t="s">
        <v>650</v>
      </c>
      <c r="D157" s="95">
        <v>44174</v>
      </c>
      <c r="E157" s="95">
        <v>44245</v>
      </c>
      <c r="F157" s="95">
        <v>44245</v>
      </c>
      <c r="G157" s="99" t="s">
        <v>289</v>
      </c>
      <c r="H157" s="101">
        <v>44944</v>
      </c>
      <c r="I157" s="101">
        <v>45125</v>
      </c>
      <c r="J157" s="95">
        <v>45050</v>
      </c>
      <c r="K157" s="95">
        <v>45050</v>
      </c>
      <c r="L157" s="95" t="str">
        <f t="shared" si="45"/>
        <v>2Y4M25D</v>
      </c>
      <c r="M157" s="95" t="str">
        <f t="shared" si="46"/>
        <v>2Y2M16D</v>
      </c>
      <c r="N157" s="102">
        <f t="shared" si="47"/>
        <v>2.2054794520547945</v>
      </c>
      <c r="O157" s="99">
        <v>4</v>
      </c>
      <c r="P157" s="99">
        <v>3</v>
      </c>
      <c r="Q157" s="99"/>
      <c r="R157" s="99">
        <v>3</v>
      </c>
      <c r="S157" s="99">
        <v>1</v>
      </c>
      <c r="T157" s="99">
        <v>1</v>
      </c>
      <c r="U157" s="99"/>
      <c r="V157" s="99" t="s">
        <v>2469</v>
      </c>
      <c r="W157" s="99">
        <v>1</v>
      </c>
      <c r="X157" s="99">
        <v>1</v>
      </c>
      <c r="Y157" s="99">
        <v>1</v>
      </c>
      <c r="Z157" s="99">
        <v>1</v>
      </c>
      <c r="AA157" s="99">
        <v>2</v>
      </c>
      <c r="AB157" s="99">
        <v>1</v>
      </c>
      <c r="AC157" s="99"/>
      <c r="AD157" s="99">
        <v>1</v>
      </c>
      <c r="AE157" s="99">
        <v>1</v>
      </c>
      <c r="AF157" s="99">
        <v>1</v>
      </c>
      <c r="AG157" s="99">
        <v>1</v>
      </c>
      <c r="AH157" s="95">
        <v>45050</v>
      </c>
      <c r="AI157" s="95" t="str">
        <f t="shared" si="48"/>
        <v>2Y4M25D</v>
      </c>
      <c r="AJ157" s="95" t="str">
        <f t="shared" si="49"/>
        <v>2Y2M16D</v>
      </c>
      <c r="AK157" s="102">
        <f t="shared" si="50"/>
        <v>2.2054794520547945</v>
      </c>
      <c r="AL157" s="99">
        <v>1</v>
      </c>
      <c r="AM157" s="99">
        <v>1</v>
      </c>
      <c r="AN157" s="99">
        <v>1</v>
      </c>
      <c r="AO157" s="99">
        <v>1</v>
      </c>
      <c r="AP157" s="99">
        <v>2</v>
      </c>
      <c r="AQ157" s="99">
        <v>3</v>
      </c>
      <c r="AR157" s="99"/>
      <c r="AS157" s="95">
        <v>45049</v>
      </c>
      <c r="AT157" s="95" t="str">
        <f t="shared" si="51"/>
        <v>2Y4M24D</v>
      </c>
      <c r="AU157" s="95" t="str">
        <f t="shared" si="52"/>
        <v>2Y2M15D</v>
      </c>
      <c r="AV157" s="102">
        <f t="shared" si="53"/>
        <v>2.2027397260273971</v>
      </c>
      <c r="AW157" s="99">
        <v>4</v>
      </c>
      <c r="AX157" s="95">
        <v>45050</v>
      </c>
      <c r="AY157" s="95" t="str">
        <f t="shared" si="54"/>
        <v>2Y4M25D</v>
      </c>
      <c r="AZ157" s="102" t="str">
        <f t="shared" si="55"/>
        <v>2Y2M16D</v>
      </c>
      <c r="BA157" s="102">
        <f t="shared" si="56"/>
        <v>2.2054794520547945</v>
      </c>
      <c r="BB157" s="99">
        <v>4</v>
      </c>
      <c r="BC157" s="95">
        <v>45050</v>
      </c>
      <c r="BD157" s="95" t="str">
        <f t="shared" si="57"/>
        <v>2Y4M25D</v>
      </c>
      <c r="BE157" s="102" t="str">
        <f t="shared" si="58"/>
        <v>2Y2M16D</v>
      </c>
      <c r="BF157" s="102">
        <f t="shared" si="59"/>
        <v>2.2054794520547945</v>
      </c>
      <c r="BG157" s="99">
        <v>2</v>
      </c>
      <c r="BH157" s="99">
        <v>1</v>
      </c>
    </row>
    <row r="158" spans="1:60" s="189" customFormat="1" ht="16">
      <c r="A158" s="99" t="s">
        <v>652</v>
      </c>
      <c r="B158" s="99">
        <v>22106107</v>
      </c>
      <c r="C158" s="99" t="s">
        <v>653</v>
      </c>
      <c r="D158" s="95">
        <v>44174</v>
      </c>
      <c r="E158" s="95">
        <v>44245</v>
      </c>
      <c r="F158" s="95">
        <v>44245</v>
      </c>
      <c r="G158" s="99" t="s">
        <v>289</v>
      </c>
      <c r="H158" s="101">
        <v>44944</v>
      </c>
      <c r="I158" s="101">
        <v>45125</v>
      </c>
      <c r="J158" s="95">
        <v>45057</v>
      </c>
      <c r="K158" s="95">
        <v>45057</v>
      </c>
      <c r="L158" s="95" t="str">
        <f t="shared" ref="L158:L189" si="60">DATEDIF(D158,K158,"y")&amp;"Y"&amp;DATEDIF(D158,K158,"ym")&amp;"M"&amp;DATEDIF(D158,K158,"md")&amp;"D"</f>
        <v>2Y5M2D</v>
      </c>
      <c r="M158" s="95" t="str">
        <f t="shared" ref="M158:M189" si="61">DATEDIF(E158,K158,"y")&amp;"Y"&amp;DATEDIF(E158,K158,"ym")&amp;"M"&amp;DATEDIF(E158,K158,"md")&amp;"D"</f>
        <v>2Y2M23D</v>
      </c>
      <c r="N158" s="102">
        <f t="shared" ref="N158:N189" si="62">(K158-F158)/365</f>
        <v>2.2246575342465755</v>
      </c>
      <c r="O158" s="99">
        <v>4</v>
      </c>
      <c r="P158" s="99">
        <v>3</v>
      </c>
      <c r="Q158" s="99"/>
      <c r="R158" s="99">
        <v>3</v>
      </c>
      <c r="S158" s="99">
        <v>1</v>
      </c>
      <c r="T158" s="99"/>
      <c r="U158" s="99"/>
      <c r="V158" s="99" t="s">
        <v>2469</v>
      </c>
      <c r="W158" s="99">
        <v>1</v>
      </c>
      <c r="X158" s="99">
        <v>1</v>
      </c>
      <c r="Y158" s="99">
        <v>1</v>
      </c>
      <c r="Z158" s="99">
        <v>1</v>
      </c>
      <c r="AA158" s="99">
        <v>2</v>
      </c>
      <c r="AB158" s="99">
        <v>1</v>
      </c>
      <c r="AC158" s="99" t="s">
        <v>1762</v>
      </c>
      <c r="AD158" s="99">
        <v>1</v>
      </c>
      <c r="AE158" s="99">
        <v>1</v>
      </c>
      <c r="AF158" s="99">
        <v>1</v>
      </c>
      <c r="AG158" s="99">
        <v>1</v>
      </c>
      <c r="AH158" s="95">
        <v>45057</v>
      </c>
      <c r="AI158" s="95" t="str">
        <f t="shared" ref="AI158:AI189" si="63">DATEDIF(D158,AH158,"y")&amp;"Y"&amp;DATEDIF(D158,AH158,"ym")&amp;"M"&amp;DATEDIF(D158,AH158,"md")&amp;"D"</f>
        <v>2Y5M2D</v>
      </c>
      <c r="AJ158" s="95" t="str">
        <f t="shared" ref="AJ158:AJ189" si="64">DATEDIF(E158,AH158,"y")&amp;"Y"&amp;DATEDIF(E158,AH158,"ym")&amp;"M"&amp;DATEDIF(E158,AH158,"md")&amp;"D"</f>
        <v>2Y2M23D</v>
      </c>
      <c r="AK158" s="102">
        <f t="shared" ref="AK158:AK189" si="65">(AH158-F158)/365</f>
        <v>2.2246575342465755</v>
      </c>
      <c r="AL158" s="99">
        <v>1</v>
      </c>
      <c r="AM158" s="99">
        <v>1</v>
      </c>
      <c r="AN158" s="99">
        <v>1</v>
      </c>
      <c r="AO158" s="99">
        <v>1</v>
      </c>
      <c r="AP158" s="99">
        <v>2</v>
      </c>
      <c r="AQ158" s="99">
        <v>3</v>
      </c>
      <c r="AR158" s="99"/>
      <c r="AS158" s="95">
        <v>45033</v>
      </c>
      <c r="AT158" s="95" t="str">
        <f t="shared" ref="AT158:AT189" si="66">DATEDIF(D158,AS158,"y")&amp;"Y"&amp;DATEDIF(D158,AS158,"ym")&amp;"M"&amp;DATEDIF(D158,AS158,"md")&amp;"D"</f>
        <v>2Y4M8D</v>
      </c>
      <c r="AU158" s="95" t="str">
        <f t="shared" ref="AU158:AU189" si="67">DATEDIF(E158,AS158,"y")&amp;"Y"&amp;DATEDIF(E158,AS158,"ym")&amp;"M"&amp;DATEDIF(E158,AS158,"md")&amp;"D"</f>
        <v>2Y1M30D</v>
      </c>
      <c r="AV158" s="102">
        <f t="shared" ref="AV158:AV189" si="68">(AS158-F158)/365</f>
        <v>2.1589041095890411</v>
      </c>
      <c r="AW158" s="99">
        <v>4</v>
      </c>
      <c r="AX158" s="95">
        <v>45057</v>
      </c>
      <c r="AY158" s="95" t="str">
        <f t="shared" ref="AY158:AY189" si="69">DATEDIF(D158,AX158,"y")&amp;"Y"&amp;DATEDIF(D158,AX158,"ym")&amp;"M"&amp;DATEDIF(D158,AX158,"md")&amp;"D"</f>
        <v>2Y5M2D</v>
      </c>
      <c r="AZ158" s="102" t="str">
        <f t="shared" ref="AZ158:AZ189" si="70">DATEDIF(E158,AX158,"y")&amp;"Y"&amp;DATEDIF(E158,AX158,"ym")&amp;"M"&amp;DATEDIF(E158,AX158,"md")&amp;"D"</f>
        <v>2Y2M23D</v>
      </c>
      <c r="BA158" s="102">
        <f t="shared" ref="BA158:BA189" si="71">(AX158-F158)/365</f>
        <v>2.2246575342465755</v>
      </c>
      <c r="BB158" s="99">
        <v>4</v>
      </c>
      <c r="BC158" s="95">
        <v>45057</v>
      </c>
      <c r="BD158" s="95" t="str">
        <f t="shared" ref="BD158:BD189" si="72">DATEDIF(D158,BC158,"y")&amp;"Y"&amp;DATEDIF(D158,BC158,"ym")&amp;"M"&amp;DATEDIF(D158,BC158,"md")&amp;"D"</f>
        <v>2Y5M2D</v>
      </c>
      <c r="BE158" s="102" t="str">
        <f t="shared" ref="BE158:BE189" si="73">DATEDIF(E158,BC158,"y")&amp;"Y"&amp;DATEDIF(E158,BC158,"ym")&amp;"M"&amp;DATEDIF(E158,BC158,"md")&amp;"D"</f>
        <v>2Y2M23D</v>
      </c>
      <c r="BF158" s="102">
        <f t="shared" ref="BF158:BF189" si="74">(BC158-F158)/365</f>
        <v>2.2246575342465755</v>
      </c>
      <c r="BG158" s="99">
        <v>2</v>
      </c>
      <c r="BH158" s="99">
        <v>1</v>
      </c>
    </row>
    <row r="159" spans="1:60" s="110" customFormat="1" ht="16">
      <c r="A159" s="17" t="s">
        <v>655</v>
      </c>
      <c r="B159" s="17">
        <v>22107905</v>
      </c>
      <c r="C159" s="17" t="s">
        <v>656</v>
      </c>
      <c r="D159" s="40">
        <v>44349</v>
      </c>
      <c r="E159" s="40">
        <v>44360</v>
      </c>
      <c r="F159" s="40">
        <v>44349</v>
      </c>
      <c r="G159" s="17" t="s">
        <v>658</v>
      </c>
      <c r="H159" s="75">
        <v>45059</v>
      </c>
      <c r="I159" s="75">
        <v>45243</v>
      </c>
      <c r="J159" s="40"/>
      <c r="K159" s="40"/>
      <c r="L159" s="40" t="e">
        <f t="shared" si="60"/>
        <v>#NUM!</v>
      </c>
      <c r="M159" s="40" t="e">
        <f t="shared" si="61"/>
        <v>#NUM!</v>
      </c>
      <c r="N159" s="21">
        <f t="shared" si="62"/>
        <v>-121.50410958904109</v>
      </c>
      <c r="O159" s="17"/>
      <c r="P159" s="17"/>
      <c r="Q159" s="17"/>
      <c r="R159" s="17"/>
      <c r="S159" s="17"/>
      <c r="T159" s="17"/>
      <c r="U159" s="17"/>
      <c r="V159" s="17"/>
      <c r="W159" s="17"/>
      <c r="X159" s="17"/>
      <c r="Y159" s="17"/>
      <c r="Z159" s="17"/>
      <c r="AA159" s="17"/>
      <c r="AB159" s="17"/>
      <c r="AC159" s="17"/>
      <c r="AD159" s="17"/>
      <c r="AE159" s="17"/>
      <c r="AF159" s="17"/>
      <c r="AG159" s="17"/>
      <c r="AH159" s="40">
        <v>45181</v>
      </c>
      <c r="AI159" s="40" t="str">
        <f t="shared" si="63"/>
        <v>2Y3M10D</v>
      </c>
      <c r="AJ159" s="40" t="str">
        <f t="shared" si="64"/>
        <v>2Y2M30D</v>
      </c>
      <c r="AK159" s="21">
        <f t="shared" si="65"/>
        <v>2.2794520547945205</v>
      </c>
      <c r="AL159" s="17">
        <v>1</v>
      </c>
      <c r="AM159" s="17">
        <v>1</v>
      </c>
      <c r="AN159" s="17">
        <v>1</v>
      </c>
      <c r="AO159" s="17">
        <v>1</v>
      </c>
      <c r="AP159" s="17">
        <v>2</v>
      </c>
      <c r="AQ159" s="17">
        <v>3</v>
      </c>
      <c r="AR159" s="17"/>
      <c r="AS159" s="40">
        <v>45178</v>
      </c>
      <c r="AT159" s="40" t="str">
        <f t="shared" si="66"/>
        <v>2Y3M7D</v>
      </c>
      <c r="AU159" s="40" t="str">
        <f t="shared" si="67"/>
        <v>2Y2M27D</v>
      </c>
      <c r="AV159" s="21">
        <f t="shared" si="68"/>
        <v>2.2712328767123289</v>
      </c>
      <c r="AW159" s="17">
        <v>5</v>
      </c>
      <c r="AX159" s="40"/>
      <c r="AY159" s="40" t="e">
        <f t="shared" si="69"/>
        <v>#NUM!</v>
      </c>
      <c r="AZ159" s="21" t="e">
        <f t="shared" si="70"/>
        <v>#NUM!</v>
      </c>
      <c r="BA159" s="21">
        <f t="shared" si="71"/>
        <v>-121.50410958904109</v>
      </c>
      <c r="BB159" s="17"/>
      <c r="BC159" s="40"/>
      <c r="BD159" s="40" t="e">
        <f t="shared" si="72"/>
        <v>#NUM!</v>
      </c>
      <c r="BE159" s="21" t="e">
        <f t="shared" si="73"/>
        <v>#NUM!</v>
      </c>
      <c r="BF159" s="21">
        <f t="shared" si="74"/>
        <v>-121.50410958904109</v>
      </c>
      <c r="BG159" s="17"/>
      <c r="BH159" s="17">
        <v>0</v>
      </c>
    </row>
    <row r="160" spans="1:60" s="189" customFormat="1" ht="16">
      <c r="A160" s="99" t="s">
        <v>660</v>
      </c>
      <c r="B160" s="99">
        <v>22105736</v>
      </c>
      <c r="C160" s="99" t="s">
        <v>846</v>
      </c>
      <c r="D160" s="95">
        <v>44138</v>
      </c>
      <c r="E160" s="95">
        <v>44229</v>
      </c>
      <c r="F160" s="95">
        <v>44229</v>
      </c>
      <c r="G160" s="99">
        <v>27</v>
      </c>
      <c r="H160" s="101">
        <v>44928</v>
      </c>
      <c r="I160" s="101">
        <v>45109</v>
      </c>
      <c r="J160" s="95">
        <v>44993</v>
      </c>
      <c r="K160" s="95">
        <v>44993</v>
      </c>
      <c r="L160" s="95" t="str">
        <f t="shared" si="60"/>
        <v>2Y4M5D</v>
      </c>
      <c r="M160" s="95" t="str">
        <f t="shared" si="61"/>
        <v>2Y1M6D</v>
      </c>
      <c r="N160" s="102">
        <f t="shared" si="62"/>
        <v>2.0931506849315067</v>
      </c>
      <c r="O160" s="99">
        <v>4</v>
      </c>
      <c r="P160" s="99">
        <v>2</v>
      </c>
      <c r="Q160" s="99"/>
      <c r="R160" s="99">
        <v>3</v>
      </c>
      <c r="S160" s="99">
        <v>1</v>
      </c>
      <c r="T160" s="99">
        <v>1</v>
      </c>
      <c r="U160" s="99"/>
      <c r="V160" s="99" t="s">
        <v>2469</v>
      </c>
      <c r="W160" s="99">
        <v>1</v>
      </c>
      <c r="X160" s="99">
        <v>1</v>
      </c>
      <c r="Y160" s="99">
        <v>1</v>
      </c>
      <c r="Z160" s="99">
        <v>1</v>
      </c>
      <c r="AA160" s="99"/>
      <c r="AB160" s="99"/>
      <c r="AC160" s="99"/>
      <c r="AD160" s="99"/>
      <c r="AE160" s="99"/>
      <c r="AF160" s="99"/>
      <c r="AG160" s="99"/>
      <c r="AH160" s="95">
        <v>45024</v>
      </c>
      <c r="AI160" s="95" t="str">
        <f t="shared" si="63"/>
        <v>2Y5M5D</v>
      </c>
      <c r="AJ160" s="95" t="str">
        <f t="shared" si="64"/>
        <v>2Y2M6D</v>
      </c>
      <c r="AK160" s="102">
        <f t="shared" si="65"/>
        <v>2.1780821917808217</v>
      </c>
      <c r="AL160" s="99">
        <v>1</v>
      </c>
      <c r="AM160" s="99">
        <v>1</v>
      </c>
      <c r="AN160" s="99">
        <v>1</v>
      </c>
      <c r="AO160" s="99">
        <v>1</v>
      </c>
      <c r="AP160" s="99">
        <v>2</v>
      </c>
      <c r="AQ160" s="99">
        <v>3</v>
      </c>
      <c r="AR160" s="99"/>
      <c r="AS160" s="95">
        <v>44981</v>
      </c>
      <c r="AT160" s="95" t="str">
        <f t="shared" si="66"/>
        <v>2Y3M21D</v>
      </c>
      <c r="AU160" s="95" t="str">
        <f t="shared" si="67"/>
        <v>2Y0M22D</v>
      </c>
      <c r="AV160" s="102">
        <f t="shared" si="68"/>
        <v>2.0602739726027397</v>
      </c>
      <c r="AW160" s="99">
        <v>3</v>
      </c>
      <c r="AX160" s="95">
        <v>44992</v>
      </c>
      <c r="AY160" s="95" t="str">
        <f t="shared" si="69"/>
        <v>2Y4M4D</v>
      </c>
      <c r="AZ160" s="102" t="str">
        <f t="shared" si="70"/>
        <v>2Y1M5D</v>
      </c>
      <c r="BA160" s="102">
        <f t="shared" si="71"/>
        <v>2.0904109589041098</v>
      </c>
      <c r="BB160" s="99">
        <v>3</v>
      </c>
      <c r="BC160" s="95">
        <v>44993</v>
      </c>
      <c r="BD160" s="95" t="str">
        <f t="shared" si="72"/>
        <v>2Y4M5D</v>
      </c>
      <c r="BE160" s="102" t="str">
        <f t="shared" si="73"/>
        <v>2Y1M6D</v>
      </c>
      <c r="BF160" s="102">
        <f t="shared" si="74"/>
        <v>2.0931506849315067</v>
      </c>
      <c r="BG160" s="99">
        <v>1</v>
      </c>
      <c r="BH160" s="99">
        <v>1</v>
      </c>
    </row>
    <row r="161" spans="1:60" s="189" customFormat="1" ht="16">
      <c r="A161" s="99" t="s">
        <v>664</v>
      </c>
      <c r="B161" s="99">
        <v>22105737</v>
      </c>
      <c r="C161" s="99" t="s">
        <v>665</v>
      </c>
      <c r="D161" s="95">
        <v>44138</v>
      </c>
      <c r="E161" s="95">
        <v>44229</v>
      </c>
      <c r="F161" s="95">
        <v>44229</v>
      </c>
      <c r="G161" s="99">
        <v>27</v>
      </c>
      <c r="H161" s="101">
        <v>44928</v>
      </c>
      <c r="I161" s="101">
        <v>45109</v>
      </c>
      <c r="J161" s="95">
        <v>44993</v>
      </c>
      <c r="K161" s="95">
        <v>44993</v>
      </c>
      <c r="L161" s="95" t="str">
        <f t="shared" si="60"/>
        <v>2Y4M5D</v>
      </c>
      <c r="M161" s="95" t="str">
        <f t="shared" si="61"/>
        <v>2Y1M6D</v>
      </c>
      <c r="N161" s="102">
        <f t="shared" si="62"/>
        <v>2.0931506849315067</v>
      </c>
      <c r="O161" s="99">
        <v>4</v>
      </c>
      <c r="P161" s="99">
        <v>2</v>
      </c>
      <c r="Q161" s="99"/>
      <c r="R161" s="99">
        <v>3</v>
      </c>
      <c r="S161" s="99"/>
      <c r="T161" s="99"/>
      <c r="U161" s="99" t="s">
        <v>2193</v>
      </c>
      <c r="V161" s="99" t="s">
        <v>2469</v>
      </c>
      <c r="W161" s="99">
        <v>1</v>
      </c>
      <c r="X161" s="99">
        <v>1</v>
      </c>
      <c r="Y161" s="99">
        <v>1</v>
      </c>
      <c r="Z161" s="99">
        <v>1</v>
      </c>
      <c r="AA161" s="99">
        <v>2</v>
      </c>
      <c r="AB161" s="99"/>
      <c r="AC161" s="99" t="s">
        <v>2204</v>
      </c>
      <c r="AD161" s="99"/>
      <c r="AE161" s="99"/>
      <c r="AF161" s="99"/>
      <c r="AG161" s="99"/>
      <c r="AH161" s="95">
        <v>45024</v>
      </c>
      <c r="AI161" s="95" t="str">
        <f t="shared" si="63"/>
        <v>2Y5M5D</v>
      </c>
      <c r="AJ161" s="95" t="str">
        <f t="shared" si="64"/>
        <v>2Y2M6D</v>
      </c>
      <c r="AK161" s="102">
        <f t="shared" si="65"/>
        <v>2.1780821917808217</v>
      </c>
      <c r="AL161" s="99">
        <v>1</v>
      </c>
      <c r="AM161" s="99">
        <v>1</v>
      </c>
      <c r="AN161" s="99">
        <v>2</v>
      </c>
      <c r="AO161" s="99">
        <v>1</v>
      </c>
      <c r="AP161" s="99">
        <v>2</v>
      </c>
      <c r="AQ161" s="99">
        <v>3</v>
      </c>
      <c r="AR161" s="99"/>
      <c r="AS161" s="95">
        <v>44981</v>
      </c>
      <c r="AT161" s="95" t="str">
        <f t="shared" si="66"/>
        <v>2Y3M21D</v>
      </c>
      <c r="AU161" s="95" t="str">
        <f t="shared" si="67"/>
        <v>2Y0M22D</v>
      </c>
      <c r="AV161" s="102">
        <f t="shared" si="68"/>
        <v>2.0602739726027397</v>
      </c>
      <c r="AW161" s="99">
        <v>3</v>
      </c>
      <c r="AX161" s="95">
        <v>44984</v>
      </c>
      <c r="AY161" s="95" t="str">
        <f t="shared" si="69"/>
        <v>2Y3M24D</v>
      </c>
      <c r="AZ161" s="102" t="str">
        <f t="shared" si="70"/>
        <v>2Y0M25D</v>
      </c>
      <c r="BA161" s="102">
        <f t="shared" si="71"/>
        <v>2.0684931506849313</v>
      </c>
      <c r="BB161" s="99">
        <v>3</v>
      </c>
      <c r="BC161" s="95">
        <v>44993</v>
      </c>
      <c r="BD161" s="95" t="str">
        <f t="shared" si="72"/>
        <v>2Y4M5D</v>
      </c>
      <c r="BE161" s="102" t="str">
        <f t="shared" si="73"/>
        <v>2Y1M6D</v>
      </c>
      <c r="BF161" s="102">
        <f t="shared" si="74"/>
        <v>2.0931506849315067</v>
      </c>
      <c r="BG161" s="99"/>
      <c r="BH161" s="99">
        <v>1</v>
      </c>
    </row>
    <row r="162" spans="1:60" s="193" customFormat="1" ht="16">
      <c r="A162" s="25" t="s">
        <v>667</v>
      </c>
      <c r="B162" s="25">
        <v>22107737</v>
      </c>
      <c r="C162" s="25" t="s">
        <v>668</v>
      </c>
      <c r="D162" s="32">
        <v>44330</v>
      </c>
      <c r="E162" s="32">
        <v>44330</v>
      </c>
      <c r="F162" s="32">
        <v>44330</v>
      </c>
      <c r="G162" s="25">
        <v>39</v>
      </c>
      <c r="H162" s="86">
        <v>45030</v>
      </c>
      <c r="I162" s="86">
        <v>45213</v>
      </c>
      <c r="J162" s="25"/>
      <c r="K162" s="25"/>
      <c r="L162" s="25" t="e">
        <f t="shared" si="60"/>
        <v>#NUM!</v>
      </c>
      <c r="M162" s="25" t="e">
        <f t="shared" si="61"/>
        <v>#NUM!</v>
      </c>
      <c r="N162" s="64">
        <f t="shared" si="62"/>
        <v>-121.45205479452055</v>
      </c>
      <c r="O162" s="25"/>
      <c r="P162" s="25"/>
      <c r="Q162" s="25"/>
      <c r="R162" s="25"/>
      <c r="S162" s="25"/>
      <c r="T162" s="25"/>
      <c r="U162" s="25"/>
      <c r="V162" s="25"/>
      <c r="W162" s="25"/>
      <c r="X162" s="25"/>
      <c r="Y162" s="25"/>
      <c r="Z162" s="25"/>
      <c r="AA162" s="25"/>
      <c r="AB162" s="25"/>
      <c r="AC162" s="25"/>
      <c r="AD162" s="25"/>
      <c r="AE162" s="25"/>
      <c r="AF162" s="25"/>
      <c r="AG162" s="25"/>
      <c r="AH162" s="25"/>
      <c r="AI162" s="25" t="e">
        <f t="shared" si="63"/>
        <v>#NUM!</v>
      </c>
      <c r="AJ162" s="25" t="e">
        <f t="shared" si="64"/>
        <v>#NUM!</v>
      </c>
      <c r="AK162" s="64">
        <f t="shared" si="65"/>
        <v>-121.45205479452055</v>
      </c>
      <c r="AL162" s="25"/>
      <c r="AM162" s="25"/>
      <c r="AN162" s="25"/>
      <c r="AO162" s="25"/>
      <c r="AP162" s="25"/>
      <c r="AQ162" s="25"/>
      <c r="AR162" s="25"/>
      <c r="AS162" s="25"/>
      <c r="AT162" s="25" t="e">
        <f t="shared" si="66"/>
        <v>#NUM!</v>
      </c>
      <c r="AU162" s="25" t="e">
        <f t="shared" si="67"/>
        <v>#NUM!</v>
      </c>
      <c r="AV162" s="64">
        <f t="shared" si="68"/>
        <v>-121.45205479452055</v>
      </c>
      <c r="AW162" s="25"/>
      <c r="AX162" s="25"/>
      <c r="AY162" s="25" t="e">
        <f t="shared" si="69"/>
        <v>#NUM!</v>
      </c>
      <c r="AZ162" s="64" t="e">
        <f t="shared" si="70"/>
        <v>#NUM!</v>
      </c>
      <c r="BA162" s="64">
        <f t="shared" si="71"/>
        <v>-121.45205479452055</v>
      </c>
      <c r="BB162" s="25"/>
      <c r="BC162" s="25"/>
      <c r="BD162" s="25" t="e">
        <f t="shared" si="72"/>
        <v>#NUM!</v>
      </c>
      <c r="BE162" s="64" t="e">
        <f t="shared" si="73"/>
        <v>#NUM!</v>
      </c>
      <c r="BF162" s="64">
        <f t="shared" si="74"/>
        <v>-121.45205479452055</v>
      </c>
      <c r="BG162" s="25"/>
      <c r="BH162" s="25">
        <v>0</v>
      </c>
    </row>
    <row r="163" spans="1:60" s="110" customFormat="1" ht="16">
      <c r="A163" s="17" t="s">
        <v>670</v>
      </c>
      <c r="B163" s="17">
        <v>22107854</v>
      </c>
      <c r="C163" s="17" t="s">
        <v>671</v>
      </c>
      <c r="D163" s="40">
        <v>44343</v>
      </c>
      <c r="E163" s="40">
        <v>44352</v>
      </c>
      <c r="F163" s="40">
        <v>44343</v>
      </c>
      <c r="G163" s="17" t="s">
        <v>155</v>
      </c>
      <c r="H163" s="75">
        <v>45051</v>
      </c>
      <c r="I163" s="75">
        <v>45235</v>
      </c>
      <c r="J163" s="40">
        <v>45258</v>
      </c>
      <c r="K163" s="40">
        <v>45258</v>
      </c>
      <c r="L163" s="40" t="str">
        <f t="shared" si="60"/>
        <v>2Y6M1D</v>
      </c>
      <c r="M163" s="40" t="str">
        <f t="shared" si="61"/>
        <v>2Y5M23D</v>
      </c>
      <c r="N163" s="21">
        <f t="shared" si="62"/>
        <v>2.506849315068493</v>
      </c>
      <c r="O163" s="17">
        <v>4</v>
      </c>
      <c r="P163" s="17">
        <v>2</v>
      </c>
      <c r="Q163" s="17"/>
      <c r="R163" s="17">
        <v>3</v>
      </c>
      <c r="S163" s="17">
        <v>1</v>
      </c>
      <c r="T163" s="17"/>
      <c r="U163" s="17" t="s">
        <v>1710</v>
      </c>
      <c r="V163" s="17" t="s">
        <v>1661</v>
      </c>
      <c r="W163" s="17">
        <v>1</v>
      </c>
      <c r="X163" s="17">
        <v>1</v>
      </c>
      <c r="Y163" s="17">
        <v>1</v>
      </c>
      <c r="Z163" s="17">
        <v>1</v>
      </c>
      <c r="AA163" s="17">
        <v>2</v>
      </c>
      <c r="AB163" s="17"/>
      <c r="AC163" s="17" t="s">
        <v>1710</v>
      </c>
      <c r="AD163" s="17">
        <v>1</v>
      </c>
      <c r="AE163" s="17">
        <v>1</v>
      </c>
      <c r="AF163" s="17">
        <v>1</v>
      </c>
      <c r="AG163" s="17">
        <v>1</v>
      </c>
      <c r="AH163" s="40">
        <v>45166</v>
      </c>
      <c r="AI163" s="40" t="str">
        <f t="shared" si="63"/>
        <v>2Y3M1D</v>
      </c>
      <c r="AJ163" s="40" t="str">
        <f t="shared" si="64"/>
        <v>2Y2M23D</v>
      </c>
      <c r="AK163" s="21">
        <f t="shared" si="65"/>
        <v>2.2547945205479452</v>
      </c>
      <c r="AL163" s="17">
        <v>1</v>
      </c>
      <c r="AM163" s="17">
        <v>1</v>
      </c>
      <c r="AN163" s="17">
        <v>2</v>
      </c>
      <c r="AO163" s="17">
        <v>1</v>
      </c>
      <c r="AP163" s="17">
        <v>2</v>
      </c>
      <c r="AQ163" s="17">
        <v>1</v>
      </c>
      <c r="AR163" s="17"/>
      <c r="AS163" s="40">
        <v>45166</v>
      </c>
      <c r="AT163" s="40" t="str">
        <f t="shared" si="66"/>
        <v>2Y3M1D</v>
      </c>
      <c r="AU163" s="40" t="str">
        <f t="shared" si="67"/>
        <v>2Y2M23D</v>
      </c>
      <c r="AV163" s="21">
        <f t="shared" si="68"/>
        <v>2.2547945205479452</v>
      </c>
      <c r="AW163" s="17">
        <v>5</v>
      </c>
      <c r="AX163" s="40">
        <v>45189</v>
      </c>
      <c r="AY163" s="40" t="str">
        <f t="shared" si="69"/>
        <v>2Y3M24D</v>
      </c>
      <c r="AZ163" s="21" t="str">
        <f t="shared" si="70"/>
        <v>2Y3M15D</v>
      </c>
      <c r="BA163" s="21">
        <f t="shared" si="71"/>
        <v>2.3178082191780822</v>
      </c>
      <c r="BB163" s="17">
        <v>5</v>
      </c>
      <c r="BC163" s="40"/>
      <c r="BD163" s="40" t="e">
        <f t="shared" si="72"/>
        <v>#NUM!</v>
      </c>
      <c r="BE163" s="21" t="e">
        <f t="shared" si="73"/>
        <v>#NUM!</v>
      </c>
      <c r="BF163" s="21">
        <f t="shared" si="74"/>
        <v>-121.48767123287671</v>
      </c>
      <c r="BG163" s="17"/>
      <c r="BH163" s="17">
        <v>0</v>
      </c>
    </row>
    <row r="164" spans="1:60" s="189" customFormat="1" ht="16">
      <c r="A164" s="99" t="s">
        <v>673</v>
      </c>
      <c r="B164" s="99">
        <v>22101304</v>
      </c>
      <c r="C164" s="99" t="s">
        <v>674</v>
      </c>
      <c r="D164" s="95">
        <v>43720</v>
      </c>
      <c r="E164" s="95">
        <v>43797</v>
      </c>
      <c r="F164" s="95">
        <v>43797</v>
      </c>
      <c r="G164" s="99">
        <v>29</v>
      </c>
      <c r="H164" s="101">
        <v>44497</v>
      </c>
      <c r="I164" s="101">
        <v>44679</v>
      </c>
      <c r="J164" s="95">
        <v>44547</v>
      </c>
      <c r="K164" s="95">
        <v>44547</v>
      </c>
      <c r="L164" s="95" t="str">
        <f t="shared" si="60"/>
        <v>2Y3M5D</v>
      </c>
      <c r="M164" s="95" t="str">
        <f t="shared" si="61"/>
        <v>2Y0M19D</v>
      </c>
      <c r="N164" s="102">
        <f t="shared" si="62"/>
        <v>2.0547945205479454</v>
      </c>
      <c r="O164" s="99">
        <v>4</v>
      </c>
      <c r="P164" s="99">
        <v>4</v>
      </c>
      <c r="Q164" s="99" t="s">
        <v>1739</v>
      </c>
      <c r="R164" s="98">
        <v>3</v>
      </c>
      <c r="S164" s="99">
        <v>1</v>
      </c>
      <c r="T164" s="99">
        <v>1</v>
      </c>
      <c r="U164" s="99" t="s">
        <v>1728</v>
      </c>
      <c r="V164" s="99" t="s">
        <v>1664</v>
      </c>
      <c r="W164" s="99">
        <v>1</v>
      </c>
      <c r="X164" s="99">
        <v>1</v>
      </c>
      <c r="Y164" s="99">
        <v>1</v>
      </c>
      <c r="Z164" s="99">
        <v>1</v>
      </c>
      <c r="AA164" s="99">
        <v>2</v>
      </c>
      <c r="AB164" s="99">
        <v>1</v>
      </c>
      <c r="AC164" s="99" t="s">
        <v>1733</v>
      </c>
      <c r="AD164" s="99">
        <v>1</v>
      </c>
      <c r="AE164" s="99">
        <v>1</v>
      </c>
      <c r="AF164" s="99">
        <v>1</v>
      </c>
      <c r="AG164" s="99">
        <v>1</v>
      </c>
      <c r="AH164" s="95">
        <v>44558</v>
      </c>
      <c r="AI164" s="95" t="str">
        <f t="shared" si="63"/>
        <v>2Y3M16D</v>
      </c>
      <c r="AJ164" s="95" t="str">
        <f t="shared" si="64"/>
        <v>2Y1M0D</v>
      </c>
      <c r="AK164" s="102">
        <f t="shared" si="65"/>
        <v>2.0849315068493151</v>
      </c>
      <c r="AL164" s="99"/>
      <c r="AM164" s="264">
        <v>1</v>
      </c>
      <c r="AN164" s="99">
        <v>2</v>
      </c>
      <c r="AO164" s="99">
        <v>1</v>
      </c>
      <c r="AP164" s="99">
        <v>2</v>
      </c>
      <c r="AQ164" s="99">
        <v>1</v>
      </c>
      <c r="AR164" s="99" t="s">
        <v>1707</v>
      </c>
      <c r="AS164" s="95">
        <v>44550</v>
      </c>
      <c r="AT164" s="95" t="str">
        <f t="shared" si="66"/>
        <v>2Y3M8D</v>
      </c>
      <c r="AU164" s="95" t="str">
        <f t="shared" si="67"/>
        <v>2Y0M22D</v>
      </c>
      <c r="AV164" s="102">
        <f t="shared" si="68"/>
        <v>2.0630136986301371</v>
      </c>
      <c r="AW164" s="99">
        <v>2</v>
      </c>
      <c r="AX164" s="95">
        <v>44557</v>
      </c>
      <c r="AY164" s="95" t="str">
        <f t="shared" si="69"/>
        <v>2Y3M15D</v>
      </c>
      <c r="AZ164" s="102" t="str">
        <f t="shared" si="70"/>
        <v>2Y0M29D</v>
      </c>
      <c r="BA164" s="102">
        <f t="shared" si="71"/>
        <v>2.0821917808219177</v>
      </c>
      <c r="BB164" s="99">
        <v>2</v>
      </c>
      <c r="BC164" s="95">
        <v>44547</v>
      </c>
      <c r="BD164" s="95" t="str">
        <f t="shared" si="72"/>
        <v>2Y3M5D</v>
      </c>
      <c r="BE164" s="102" t="str">
        <f t="shared" si="73"/>
        <v>2Y0M19D</v>
      </c>
      <c r="BF164" s="102">
        <f t="shared" si="74"/>
        <v>2.0547945205479454</v>
      </c>
      <c r="BG164" s="99">
        <v>1</v>
      </c>
      <c r="BH164" s="99">
        <v>1</v>
      </c>
    </row>
    <row r="165" spans="1:60" s="193" customFormat="1" ht="16">
      <c r="A165" s="25" t="s">
        <v>677</v>
      </c>
      <c r="B165" s="25">
        <v>22109289</v>
      </c>
      <c r="C165" s="25" t="s">
        <v>678</v>
      </c>
      <c r="D165" s="32">
        <v>44501</v>
      </c>
      <c r="E165" s="32">
        <v>44561</v>
      </c>
      <c r="F165" s="32">
        <v>44561</v>
      </c>
      <c r="G165" s="25" t="s">
        <v>105</v>
      </c>
      <c r="H165" s="86">
        <v>45260</v>
      </c>
      <c r="I165" s="86">
        <v>45443</v>
      </c>
      <c r="J165" s="25"/>
      <c r="K165" s="25"/>
      <c r="L165" s="25" t="e">
        <f t="shared" si="60"/>
        <v>#NUM!</v>
      </c>
      <c r="M165" s="25" t="e">
        <f t="shared" si="61"/>
        <v>#NUM!</v>
      </c>
      <c r="N165" s="64">
        <f t="shared" si="62"/>
        <v>-122.08493150684932</v>
      </c>
      <c r="O165" s="25"/>
      <c r="P165" s="25"/>
      <c r="Q165" s="25"/>
      <c r="R165" s="25"/>
      <c r="S165" s="25"/>
      <c r="T165" s="25"/>
      <c r="U165" s="25"/>
      <c r="V165" s="25"/>
      <c r="W165" s="25"/>
      <c r="X165" s="25"/>
      <c r="Y165" s="25"/>
      <c r="Z165" s="25"/>
      <c r="AA165" s="25"/>
      <c r="AB165" s="25"/>
      <c r="AC165" s="25"/>
      <c r="AD165" s="25"/>
      <c r="AE165" s="25"/>
      <c r="AF165" s="25"/>
      <c r="AG165" s="25"/>
      <c r="AH165" s="25"/>
      <c r="AI165" s="25" t="e">
        <f t="shared" si="63"/>
        <v>#NUM!</v>
      </c>
      <c r="AJ165" s="25" t="e">
        <f t="shared" si="64"/>
        <v>#NUM!</v>
      </c>
      <c r="AK165" s="64">
        <f t="shared" si="65"/>
        <v>-122.08493150684932</v>
      </c>
      <c r="AL165" s="25"/>
      <c r="AM165" s="25"/>
      <c r="AN165" s="25"/>
      <c r="AO165" s="25"/>
      <c r="AP165" s="25"/>
      <c r="AQ165" s="25"/>
      <c r="AR165" s="25"/>
      <c r="AS165" s="25"/>
      <c r="AT165" s="25" t="e">
        <f t="shared" si="66"/>
        <v>#NUM!</v>
      </c>
      <c r="AU165" s="25" t="e">
        <f t="shared" si="67"/>
        <v>#NUM!</v>
      </c>
      <c r="AV165" s="64">
        <f t="shared" si="68"/>
        <v>-122.08493150684932</v>
      </c>
      <c r="AW165" s="25"/>
      <c r="AX165" s="25"/>
      <c r="AY165" s="25" t="e">
        <f t="shared" si="69"/>
        <v>#NUM!</v>
      </c>
      <c r="AZ165" s="64" t="e">
        <f t="shared" si="70"/>
        <v>#NUM!</v>
      </c>
      <c r="BA165" s="64">
        <f t="shared" si="71"/>
        <v>-122.08493150684932</v>
      </c>
      <c r="BB165" s="25"/>
      <c r="BC165" s="25"/>
      <c r="BD165" s="25" t="e">
        <f t="shared" si="72"/>
        <v>#NUM!</v>
      </c>
      <c r="BE165" s="64" t="e">
        <f t="shared" si="73"/>
        <v>#NUM!</v>
      </c>
      <c r="BF165" s="64">
        <f t="shared" si="74"/>
        <v>-122.08493150684932</v>
      </c>
      <c r="BG165" s="25"/>
      <c r="BH165" s="25">
        <v>1</v>
      </c>
    </row>
    <row r="166" spans="1:60" s="193" customFormat="1" ht="16">
      <c r="A166" s="25" t="s">
        <v>681</v>
      </c>
      <c r="B166" s="25">
        <v>22109290</v>
      </c>
      <c r="C166" s="25" t="s">
        <v>682</v>
      </c>
      <c r="D166" s="32">
        <v>44501</v>
      </c>
      <c r="E166" s="32">
        <v>44561</v>
      </c>
      <c r="F166" s="32">
        <v>44561</v>
      </c>
      <c r="G166" s="25" t="s">
        <v>105</v>
      </c>
      <c r="H166" s="86">
        <v>45260</v>
      </c>
      <c r="I166" s="86">
        <v>45443</v>
      </c>
      <c r="J166" s="25"/>
      <c r="K166" s="25"/>
      <c r="L166" s="25" t="e">
        <f t="shared" si="60"/>
        <v>#NUM!</v>
      </c>
      <c r="M166" s="25" t="e">
        <f t="shared" si="61"/>
        <v>#NUM!</v>
      </c>
      <c r="N166" s="64">
        <f t="shared" si="62"/>
        <v>-122.08493150684932</v>
      </c>
      <c r="O166" s="25"/>
      <c r="P166" s="25"/>
      <c r="Q166" s="25"/>
      <c r="R166" s="25"/>
      <c r="S166" s="25"/>
      <c r="T166" s="25"/>
      <c r="U166" s="25"/>
      <c r="V166" s="25"/>
      <c r="W166" s="25"/>
      <c r="X166" s="25"/>
      <c r="Y166" s="25"/>
      <c r="Z166" s="25"/>
      <c r="AA166" s="25"/>
      <c r="AB166" s="25"/>
      <c r="AC166" s="25"/>
      <c r="AD166" s="25"/>
      <c r="AE166" s="25"/>
      <c r="AF166" s="25"/>
      <c r="AG166" s="25"/>
      <c r="AH166" s="25"/>
      <c r="AI166" s="25" t="e">
        <f t="shared" si="63"/>
        <v>#NUM!</v>
      </c>
      <c r="AJ166" s="25" t="e">
        <f t="shared" si="64"/>
        <v>#NUM!</v>
      </c>
      <c r="AK166" s="64">
        <f t="shared" si="65"/>
        <v>-122.08493150684932</v>
      </c>
      <c r="AL166" s="25"/>
      <c r="AM166" s="25"/>
      <c r="AN166" s="25"/>
      <c r="AO166" s="25"/>
      <c r="AP166" s="25"/>
      <c r="AQ166" s="25"/>
      <c r="AR166" s="25"/>
      <c r="AS166" s="25"/>
      <c r="AT166" s="25" t="e">
        <f t="shared" si="66"/>
        <v>#NUM!</v>
      </c>
      <c r="AU166" s="25" t="e">
        <f t="shared" si="67"/>
        <v>#NUM!</v>
      </c>
      <c r="AV166" s="64">
        <f t="shared" si="68"/>
        <v>-122.08493150684932</v>
      </c>
      <c r="AW166" s="25"/>
      <c r="AX166" s="25"/>
      <c r="AY166" s="25" t="e">
        <f t="shared" si="69"/>
        <v>#NUM!</v>
      </c>
      <c r="AZ166" s="64" t="e">
        <f t="shared" si="70"/>
        <v>#NUM!</v>
      </c>
      <c r="BA166" s="64">
        <f t="shared" si="71"/>
        <v>-122.08493150684932</v>
      </c>
      <c r="BB166" s="25"/>
      <c r="BC166" s="25"/>
      <c r="BD166" s="25" t="e">
        <f t="shared" si="72"/>
        <v>#NUM!</v>
      </c>
      <c r="BE166" s="64" t="e">
        <f t="shared" si="73"/>
        <v>#NUM!</v>
      </c>
      <c r="BF166" s="64">
        <f t="shared" si="74"/>
        <v>-122.08493150684932</v>
      </c>
      <c r="BG166" s="25"/>
      <c r="BH166" s="25">
        <v>1</v>
      </c>
    </row>
    <row r="167" spans="1:60" s="110" customFormat="1" ht="16">
      <c r="A167" s="17" t="s">
        <v>683</v>
      </c>
      <c r="B167" s="17">
        <v>22108656</v>
      </c>
      <c r="C167" s="17" t="s">
        <v>684</v>
      </c>
      <c r="D167" s="40">
        <v>44428</v>
      </c>
      <c r="E167" s="40">
        <v>44434</v>
      </c>
      <c r="F167" s="40">
        <v>44428</v>
      </c>
      <c r="G167" s="17" t="s">
        <v>110</v>
      </c>
      <c r="H167" s="75">
        <v>45133</v>
      </c>
      <c r="I167" s="75">
        <v>45317</v>
      </c>
      <c r="J167" s="17"/>
      <c r="K167" s="17"/>
      <c r="L167" s="17" t="e">
        <f t="shared" si="60"/>
        <v>#NUM!</v>
      </c>
      <c r="M167" s="17" t="e">
        <f t="shared" si="61"/>
        <v>#NUM!</v>
      </c>
      <c r="N167" s="21">
        <f t="shared" si="62"/>
        <v>-121.72054794520548</v>
      </c>
      <c r="O167" s="17"/>
      <c r="P167" s="17"/>
      <c r="Q167" s="17"/>
      <c r="R167" s="17"/>
      <c r="S167" s="17"/>
      <c r="T167" s="17"/>
      <c r="U167" s="17"/>
      <c r="V167" s="17"/>
      <c r="W167" s="17"/>
      <c r="X167" s="17"/>
      <c r="Y167" s="17"/>
      <c r="Z167" s="17"/>
      <c r="AA167" s="17"/>
      <c r="AB167" s="17"/>
      <c r="AC167" s="17"/>
      <c r="AD167" s="17"/>
      <c r="AE167" s="17"/>
      <c r="AF167" s="17"/>
      <c r="AG167" s="17"/>
      <c r="AH167" s="40">
        <v>45261</v>
      </c>
      <c r="AI167" s="17" t="str">
        <f t="shared" si="63"/>
        <v>2Y3M11D</v>
      </c>
      <c r="AJ167" s="17" t="str">
        <f t="shared" si="64"/>
        <v>2Y3M5D</v>
      </c>
      <c r="AK167" s="21">
        <f t="shared" si="65"/>
        <v>2.2821917808219179</v>
      </c>
      <c r="AL167" s="17">
        <v>1</v>
      </c>
      <c r="AM167" s="17">
        <v>1</v>
      </c>
      <c r="AN167" s="17">
        <v>2</v>
      </c>
      <c r="AO167" s="17">
        <v>1</v>
      </c>
      <c r="AP167" s="17">
        <v>3</v>
      </c>
      <c r="AQ167" s="17">
        <v>3</v>
      </c>
      <c r="AR167" s="17"/>
      <c r="AS167" s="40">
        <v>45257</v>
      </c>
      <c r="AT167" s="17" t="str">
        <f t="shared" si="66"/>
        <v>2Y3M7D</v>
      </c>
      <c r="AU167" s="17" t="str">
        <f t="shared" si="67"/>
        <v>2Y3M1D</v>
      </c>
      <c r="AV167" s="21">
        <f t="shared" si="68"/>
        <v>2.2712328767123289</v>
      </c>
      <c r="AW167" s="17">
        <v>6</v>
      </c>
      <c r="AX167" s="40">
        <v>45259</v>
      </c>
      <c r="AY167" s="17" t="str">
        <f t="shared" si="69"/>
        <v>2Y3M9D</v>
      </c>
      <c r="AZ167" s="21" t="str">
        <f t="shared" si="70"/>
        <v>2Y3M3D</v>
      </c>
      <c r="BA167" s="21">
        <f t="shared" si="71"/>
        <v>2.2767123287671232</v>
      </c>
      <c r="BB167" s="17">
        <v>6</v>
      </c>
      <c r="BC167" s="17"/>
      <c r="BD167" s="17" t="e">
        <f t="shared" si="72"/>
        <v>#NUM!</v>
      </c>
      <c r="BE167" s="21" t="e">
        <f t="shared" si="73"/>
        <v>#NUM!</v>
      </c>
      <c r="BF167" s="21">
        <f t="shared" si="74"/>
        <v>-121.72054794520548</v>
      </c>
      <c r="BG167" s="17"/>
      <c r="BH167" s="17">
        <v>0</v>
      </c>
    </row>
    <row r="168" spans="1:60" s="110" customFormat="1" ht="16">
      <c r="A168" s="17" t="s">
        <v>686</v>
      </c>
      <c r="B168" s="17">
        <v>22105237</v>
      </c>
      <c r="C168" s="17" t="s">
        <v>687</v>
      </c>
      <c r="D168" s="40">
        <v>44086</v>
      </c>
      <c r="E168" s="40">
        <v>44184</v>
      </c>
      <c r="F168" s="40">
        <v>44184</v>
      </c>
      <c r="G168" s="17">
        <v>26</v>
      </c>
      <c r="H168" s="75">
        <v>44884</v>
      </c>
      <c r="I168" s="75">
        <v>45065</v>
      </c>
      <c r="J168" s="40"/>
      <c r="K168" s="46" t="s">
        <v>1718</v>
      </c>
      <c r="L168" s="46" t="e">
        <f t="shared" si="60"/>
        <v>#VALUE!</v>
      </c>
      <c r="M168" s="46" t="e">
        <f t="shared" si="61"/>
        <v>#VALUE!</v>
      </c>
      <c r="N168" s="70" t="e">
        <f t="shared" si="62"/>
        <v>#VALUE!</v>
      </c>
      <c r="O168" s="17"/>
      <c r="P168" s="17"/>
      <c r="Q168" s="17"/>
      <c r="R168" s="17"/>
      <c r="S168" s="17"/>
      <c r="T168" s="17"/>
      <c r="U168" s="17"/>
      <c r="V168" s="17"/>
      <c r="W168" s="17"/>
      <c r="X168" s="17"/>
      <c r="Y168" s="17"/>
      <c r="Z168" s="17"/>
      <c r="AA168" s="17"/>
      <c r="AB168" s="17"/>
      <c r="AC168" s="17"/>
      <c r="AD168" s="17"/>
      <c r="AE168" s="17"/>
      <c r="AF168" s="17"/>
      <c r="AG168" s="17"/>
      <c r="AH168" s="40"/>
      <c r="AI168" s="40" t="e">
        <f t="shared" si="63"/>
        <v>#NUM!</v>
      </c>
      <c r="AJ168" s="40" t="e">
        <f t="shared" si="64"/>
        <v>#NUM!</v>
      </c>
      <c r="AK168" s="21">
        <f t="shared" si="65"/>
        <v>-121.05205479452054</v>
      </c>
      <c r="AL168" s="17"/>
      <c r="AM168" s="17"/>
      <c r="AN168" s="17"/>
      <c r="AO168" s="17"/>
      <c r="AP168" s="17"/>
      <c r="AQ168" s="17"/>
      <c r="AR168" s="17"/>
      <c r="AS168" s="40">
        <v>44928</v>
      </c>
      <c r="AT168" s="40" t="str">
        <f t="shared" si="66"/>
        <v>2Y3M21D</v>
      </c>
      <c r="AU168" s="40" t="str">
        <f t="shared" si="67"/>
        <v>2Y0M14D</v>
      </c>
      <c r="AV168" s="21">
        <f t="shared" si="68"/>
        <v>2.0383561643835617</v>
      </c>
      <c r="AW168" s="17">
        <v>3</v>
      </c>
      <c r="AX168" s="40">
        <v>44928</v>
      </c>
      <c r="AY168" s="40" t="str">
        <f t="shared" si="69"/>
        <v>2Y3M21D</v>
      </c>
      <c r="AZ168" s="21" t="str">
        <f t="shared" si="70"/>
        <v>2Y0M14D</v>
      </c>
      <c r="BA168" s="21">
        <f t="shared" si="71"/>
        <v>2.0383561643835617</v>
      </c>
      <c r="BB168" s="17">
        <v>3</v>
      </c>
      <c r="BC168" s="40">
        <v>44957</v>
      </c>
      <c r="BD168" s="40" t="str">
        <f t="shared" si="72"/>
        <v>2Y4M19D</v>
      </c>
      <c r="BE168" s="21" t="str">
        <f t="shared" si="73"/>
        <v>2Y1M12D</v>
      </c>
      <c r="BF168" s="21">
        <f t="shared" si="74"/>
        <v>2.117808219178082</v>
      </c>
      <c r="BG168" s="17"/>
      <c r="BH168" s="17">
        <v>1</v>
      </c>
    </row>
    <row r="169" spans="1:60" s="193" customFormat="1" ht="16">
      <c r="A169" s="25" t="s">
        <v>690</v>
      </c>
      <c r="B169" s="25">
        <v>22108457</v>
      </c>
      <c r="C169" s="25" t="s">
        <v>691</v>
      </c>
      <c r="D169" s="32">
        <v>44406</v>
      </c>
      <c r="E169" s="32">
        <v>44406</v>
      </c>
      <c r="F169" s="32">
        <v>44406</v>
      </c>
      <c r="G169" s="25">
        <v>38</v>
      </c>
      <c r="H169" s="86">
        <v>45106</v>
      </c>
      <c r="I169" s="86">
        <v>45289</v>
      </c>
      <c r="J169" s="25"/>
      <c r="K169" s="25"/>
      <c r="L169" s="25" t="e">
        <f t="shared" si="60"/>
        <v>#NUM!</v>
      </c>
      <c r="M169" s="25" t="e">
        <f t="shared" si="61"/>
        <v>#NUM!</v>
      </c>
      <c r="N169" s="64">
        <f t="shared" si="62"/>
        <v>-121.66027397260274</v>
      </c>
      <c r="O169" s="25"/>
      <c r="P169" s="25"/>
      <c r="Q169" s="25"/>
      <c r="R169" s="25"/>
      <c r="S169" s="25"/>
      <c r="T169" s="25"/>
      <c r="U169" s="25"/>
      <c r="V169" s="25"/>
      <c r="W169" s="25"/>
      <c r="X169" s="25"/>
      <c r="Y169" s="25"/>
      <c r="Z169" s="25"/>
      <c r="AA169" s="25"/>
      <c r="AB169" s="25"/>
      <c r="AC169" s="25"/>
      <c r="AD169" s="25"/>
      <c r="AE169" s="25"/>
      <c r="AF169" s="25"/>
      <c r="AG169" s="25"/>
      <c r="AH169" s="25"/>
      <c r="AI169" s="25" t="e">
        <f t="shared" si="63"/>
        <v>#NUM!</v>
      </c>
      <c r="AJ169" s="25" t="e">
        <f t="shared" si="64"/>
        <v>#NUM!</v>
      </c>
      <c r="AK169" s="64">
        <f t="shared" si="65"/>
        <v>-121.66027397260274</v>
      </c>
      <c r="AL169" s="25"/>
      <c r="AM169" s="25"/>
      <c r="AN169" s="25"/>
      <c r="AO169" s="25"/>
      <c r="AP169" s="25"/>
      <c r="AQ169" s="25"/>
      <c r="AR169" s="25"/>
      <c r="AS169" s="25"/>
      <c r="AT169" s="25" t="e">
        <f t="shared" si="66"/>
        <v>#NUM!</v>
      </c>
      <c r="AU169" s="25" t="e">
        <f t="shared" si="67"/>
        <v>#NUM!</v>
      </c>
      <c r="AV169" s="64">
        <f t="shared" si="68"/>
        <v>-121.66027397260274</v>
      </c>
      <c r="AW169" s="25"/>
      <c r="AX169" s="25"/>
      <c r="AY169" s="25" t="e">
        <f t="shared" si="69"/>
        <v>#NUM!</v>
      </c>
      <c r="AZ169" s="64" t="e">
        <f t="shared" si="70"/>
        <v>#NUM!</v>
      </c>
      <c r="BA169" s="64">
        <f t="shared" si="71"/>
        <v>-121.66027397260274</v>
      </c>
      <c r="BB169" s="25"/>
      <c r="BC169" s="25"/>
      <c r="BD169" s="25" t="e">
        <f t="shared" si="72"/>
        <v>#NUM!</v>
      </c>
      <c r="BE169" s="64" t="e">
        <f t="shared" si="73"/>
        <v>#NUM!</v>
      </c>
      <c r="BF169" s="64">
        <f t="shared" si="74"/>
        <v>-121.66027397260274</v>
      </c>
      <c r="BG169" s="25"/>
      <c r="BH169" s="25">
        <v>0</v>
      </c>
    </row>
    <row r="170" spans="1:60" s="110" customFormat="1" ht="16">
      <c r="A170" s="17" t="s">
        <v>694</v>
      </c>
      <c r="B170" s="2">
        <v>22109237</v>
      </c>
      <c r="C170" s="2" t="s">
        <v>695</v>
      </c>
      <c r="D170" s="23">
        <v>44496</v>
      </c>
      <c r="E170" s="23">
        <v>44509</v>
      </c>
      <c r="F170" s="23">
        <v>44496</v>
      </c>
      <c r="G170" s="2" t="s">
        <v>697</v>
      </c>
      <c r="H170" s="38">
        <v>45208</v>
      </c>
      <c r="I170" s="38">
        <v>45391</v>
      </c>
      <c r="J170" s="17"/>
      <c r="K170" s="17"/>
      <c r="L170" s="17" t="e">
        <f t="shared" si="60"/>
        <v>#NUM!</v>
      </c>
      <c r="M170" s="17" t="e">
        <f t="shared" si="61"/>
        <v>#NUM!</v>
      </c>
      <c r="N170" s="21">
        <f t="shared" si="62"/>
        <v>-121.9068493150685</v>
      </c>
      <c r="O170" s="17"/>
      <c r="P170" s="17"/>
      <c r="Q170" s="17"/>
      <c r="R170" s="17"/>
      <c r="S170" s="17"/>
      <c r="T170" s="17"/>
      <c r="U170" s="17"/>
      <c r="V170" s="17"/>
      <c r="W170" s="17"/>
      <c r="X170" s="17"/>
      <c r="Y170" s="17"/>
      <c r="Z170" s="17"/>
      <c r="AA170" s="17"/>
      <c r="AB170" s="17"/>
      <c r="AC170" s="17"/>
      <c r="AD170" s="17"/>
      <c r="AE170" s="17"/>
      <c r="AF170" s="17"/>
      <c r="AG170" s="17"/>
      <c r="AH170" s="40">
        <v>45380</v>
      </c>
      <c r="AI170" s="17" t="str">
        <f t="shared" si="63"/>
        <v>2Y5M2D</v>
      </c>
      <c r="AJ170" s="17" t="str">
        <f t="shared" si="64"/>
        <v>2Y4M20D</v>
      </c>
      <c r="AK170" s="21">
        <f t="shared" si="65"/>
        <v>2.4219178082191779</v>
      </c>
      <c r="AL170" s="17">
        <v>2</v>
      </c>
      <c r="AM170" s="17">
        <v>1</v>
      </c>
      <c r="AN170" s="17">
        <v>2</v>
      </c>
      <c r="AO170" s="17">
        <v>1</v>
      </c>
      <c r="AP170" s="17">
        <v>4</v>
      </c>
      <c r="AQ170" s="17">
        <v>3</v>
      </c>
      <c r="AR170" s="17"/>
      <c r="AS170" s="40">
        <v>45379</v>
      </c>
      <c r="AT170" s="17" t="str">
        <f t="shared" si="66"/>
        <v>2Y5M1D</v>
      </c>
      <c r="AU170" s="17" t="str">
        <f t="shared" si="67"/>
        <v>2Y4M19D</v>
      </c>
      <c r="AV170" s="21">
        <f t="shared" si="68"/>
        <v>2.419178082191781</v>
      </c>
      <c r="AW170" s="17">
        <v>8</v>
      </c>
      <c r="AX170" s="40">
        <v>45306</v>
      </c>
      <c r="AY170" s="17" t="str">
        <f t="shared" si="69"/>
        <v>2Y2M19D</v>
      </c>
      <c r="AZ170" s="21" t="str">
        <f t="shared" si="70"/>
        <v>2Y2M6D</v>
      </c>
      <c r="BA170" s="21">
        <f t="shared" si="71"/>
        <v>2.2191780821917808</v>
      </c>
      <c r="BB170" s="17">
        <v>8</v>
      </c>
      <c r="BC170" s="17"/>
      <c r="BD170" s="17" t="e">
        <f t="shared" si="72"/>
        <v>#NUM!</v>
      </c>
      <c r="BE170" s="21" t="e">
        <f t="shared" si="73"/>
        <v>#NUM!</v>
      </c>
      <c r="BF170" s="21">
        <f t="shared" si="74"/>
        <v>-121.9068493150685</v>
      </c>
      <c r="BG170" s="17"/>
      <c r="BH170" s="17">
        <v>0</v>
      </c>
    </row>
    <row r="171" spans="1:60" s="110" customFormat="1" ht="16">
      <c r="A171" s="17" t="s">
        <v>699</v>
      </c>
      <c r="B171" s="17">
        <v>22108488</v>
      </c>
      <c r="C171" s="17" t="s">
        <v>700</v>
      </c>
      <c r="D171" s="40">
        <v>44408</v>
      </c>
      <c r="E171" s="40">
        <v>44493</v>
      </c>
      <c r="F171" s="40">
        <v>44493</v>
      </c>
      <c r="G171" s="17" t="s">
        <v>701</v>
      </c>
      <c r="H171" s="75">
        <v>45193</v>
      </c>
      <c r="I171" s="75">
        <v>45375</v>
      </c>
      <c r="J171" s="17"/>
      <c r="K171" s="17"/>
      <c r="L171" s="17" t="e">
        <f t="shared" si="60"/>
        <v>#NUM!</v>
      </c>
      <c r="M171" s="17" t="e">
        <f t="shared" si="61"/>
        <v>#NUM!</v>
      </c>
      <c r="N171" s="21">
        <f t="shared" si="62"/>
        <v>-121.8986301369863</v>
      </c>
      <c r="O171" s="17"/>
      <c r="P171" s="17"/>
      <c r="Q171" s="17"/>
      <c r="R171" s="17"/>
      <c r="S171" s="17"/>
      <c r="T171" s="17"/>
      <c r="U171" s="17"/>
      <c r="V171" s="17"/>
      <c r="W171" s="17"/>
      <c r="X171" s="17"/>
      <c r="Y171" s="17"/>
      <c r="Z171" s="17"/>
      <c r="AA171" s="17"/>
      <c r="AB171" s="17"/>
      <c r="AC171" s="17"/>
      <c r="AD171" s="17"/>
      <c r="AE171" s="17"/>
      <c r="AF171" s="17"/>
      <c r="AG171" s="17"/>
      <c r="AH171" s="40">
        <v>45237</v>
      </c>
      <c r="AI171" s="17" t="str">
        <f t="shared" si="63"/>
        <v>2Y3M7D</v>
      </c>
      <c r="AJ171" s="17" t="str">
        <f t="shared" si="64"/>
        <v>2Y0M14D</v>
      </c>
      <c r="AK171" s="21">
        <f t="shared" si="65"/>
        <v>2.0383561643835617</v>
      </c>
      <c r="AL171" s="17">
        <v>1</v>
      </c>
      <c r="AM171" s="17">
        <v>1</v>
      </c>
      <c r="AN171" s="17">
        <v>2</v>
      </c>
      <c r="AO171" s="17">
        <v>1</v>
      </c>
      <c r="AP171" s="17"/>
      <c r="AQ171" s="17"/>
      <c r="AR171" s="17"/>
      <c r="AS171" s="40">
        <v>45235</v>
      </c>
      <c r="AT171" s="17" t="str">
        <f t="shared" si="66"/>
        <v>2Y3M5D</v>
      </c>
      <c r="AU171" s="17" t="str">
        <f t="shared" si="67"/>
        <v>2Y0M12D</v>
      </c>
      <c r="AV171" s="21">
        <f t="shared" si="68"/>
        <v>2.032876712328767</v>
      </c>
      <c r="AW171" s="17">
        <v>6</v>
      </c>
      <c r="AX171" s="40"/>
      <c r="AY171" s="17" t="e">
        <f t="shared" si="69"/>
        <v>#NUM!</v>
      </c>
      <c r="AZ171" s="21" t="e">
        <f t="shared" si="70"/>
        <v>#NUM!</v>
      </c>
      <c r="BA171" s="21">
        <f t="shared" si="71"/>
        <v>-121.8986301369863</v>
      </c>
      <c r="BB171" s="17"/>
      <c r="BC171" s="40">
        <v>45237</v>
      </c>
      <c r="BD171" s="17" t="str">
        <f t="shared" si="72"/>
        <v>2Y3M7D</v>
      </c>
      <c r="BE171" s="21" t="str">
        <f t="shared" si="73"/>
        <v>2Y0M14D</v>
      </c>
      <c r="BF171" s="21">
        <f t="shared" si="74"/>
        <v>2.0383561643835617</v>
      </c>
      <c r="BG171" s="17">
        <v>2</v>
      </c>
      <c r="BH171" s="17">
        <v>1</v>
      </c>
    </row>
    <row r="172" spans="1:60" s="189" customFormat="1" ht="16">
      <c r="A172" s="99" t="s">
        <v>703</v>
      </c>
      <c r="B172" s="99">
        <v>22107816</v>
      </c>
      <c r="C172" s="99" t="s">
        <v>704</v>
      </c>
      <c r="D172" s="95">
        <v>44338</v>
      </c>
      <c r="E172" s="95">
        <v>44338</v>
      </c>
      <c r="F172" s="95">
        <v>44338</v>
      </c>
      <c r="G172" s="99">
        <v>40</v>
      </c>
      <c r="H172" s="101">
        <v>45038</v>
      </c>
      <c r="I172" s="101">
        <v>45221</v>
      </c>
      <c r="J172" s="95">
        <v>45069</v>
      </c>
      <c r="K172" s="95">
        <v>45069</v>
      </c>
      <c r="L172" s="95" t="str">
        <f t="shared" si="60"/>
        <v>2Y0M1D</v>
      </c>
      <c r="M172" s="95" t="str">
        <f t="shared" si="61"/>
        <v>2Y0M1D</v>
      </c>
      <c r="N172" s="102">
        <f t="shared" si="62"/>
        <v>2.0027397260273974</v>
      </c>
      <c r="O172" s="99">
        <v>4</v>
      </c>
      <c r="P172" s="99">
        <v>3</v>
      </c>
      <c r="Q172" s="99"/>
      <c r="R172" s="99">
        <v>3</v>
      </c>
      <c r="S172" s="99">
        <v>1</v>
      </c>
      <c r="T172" s="99">
        <v>1</v>
      </c>
      <c r="U172" s="99"/>
      <c r="V172" s="99" t="s">
        <v>2469</v>
      </c>
      <c r="W172" s="99">
        <v>1</v>
      </c>
      <c r="X172" s="99">
        <v>1</v>
      </c>
      <c r="Y172" s="99">
        <v>1</v>
      </c>
      <c r="Z172" s="99">
        <v>1</v>
      </c>
      <c r="AA172" s="99">
        <v>2</v>
      </c>
      <c r="AB172" s="99"/>
      <c r="AC172" s="99" t="s">
        <v>2482</v>
      </c>
      <c r="AD172" s="99"/>
      <c r="AE172" s="99"/>
      <c r="AF172" s="99"/>
      <c r="AG172" s="99"/>
      <c r="AH172" s="95">
        <v>45131</v>
      </c>
      <c r="AI172" s="99" t="str">
        <f t="shared" si="63"/>
        <v>2Y2M2D</v>
      </c>
      <c r="AJ172" s="99" t="str">
        <f t="shared" si="64"/>
        <v>2Y2M2D</v>
      </c>
      <c r="AK172" s="102">
        <f t="shared" si="65"/>
        <v>2.1726027397260275</v>
      </c>
      <c r="AL172" s="99">
        <v>1</v>
      </c>
      <c r="AM172" s="99">
        <v>1</v>
      </c>
      <c r="AN172" s="99">
        <v>2</v>
      </c>
      <c r="AO172" s="99">
        <v>1</v>
      </c>
      <c r="AP172" s="99">
        <v>2</v>
      </c>
      <c r="AQ172" s="99">
        <v>2</v>
      </c>
      <c r="AR172" s="99"/>
      <c r="AS172" s="95">
        <v>45069</v>
      </c>
      <c r="AT172" s="95" t="str">
        <f t="shared" si="66"/>
        <v>2Y0M1D</v>
      </c>
      <c r="AU172" s="95" t="str">
        <f t="shared" si="67"/>
        <v>2Y0M1D</v>
      </c>
      <c r="AV172" s="102">
        <f t="shared" si="68"/>
        <v>2.0027397260273974</v>
      </c>
      <c r="AW172" s="99">
        <v>4</v>
      </c>
      <c r="AX172" s="95">
        <v>45069</v>
      </c>
      <c r="AY172" s="99" t="str">
        <f t="shared" si="69"/>
        <v>2Y0M1D</v>
      </c>
      <c r="AZ172" s="102" t="str">
        <f t="shared" si="70"/>
        <v>2Y0M1D</v>
      </c>
      <c r="BA172" s="102">
        <f t="shared" si="71"/>
        <v>2.0027397260273974</v>
      </c>
      <c r="BB172" s="99">
        <v>4</v>
      </c>
      <c r="BC172" s="95">
        <v>45069</v>
      </c>
      <c r="BD172" s="95" t="str">
        <f t="shared" si="72"/>
        <v>2Y0M1D</v>
      </c>
      <c r="BE172" s="102" t="str">
        <f t="shared" si="73"/>
        <v>2Y0M1D</v>
      </c>
      <c r="BF172" s="102">
        <f t="shared" si="74"/>
        <v>2.0027397260273974</v>
      </c>
      <c r="BG172" s="99">
        <v>2</v>
      </c>
      <c r="BH172" s="99">
        <v>0</v>
      </c>
    </row>
    <row r="173" spans="1:60" s="193" customFormat="1" ht="16">
      <c r="A173" s="25" t="s">
        <v>707</v>
      </c>
      <c r="B173" s="25">
        <v>22109442</v>
      </c>
      <c r="C173" s="25" t="s">
        <v>708</v>
      </c>
      <c r="D173" s="32">
        <v>44388</v>
      </c>
      <c r="E173" s="32">
        <v>44472</v>
      </c>
      <c r="F173" s="32">
        <v>44472</v>
      </c>
      <c r="G173" s="25">
        <v>28</v>
      </c>
      <c r="H173" s="86">
        <v>45172</v>
      </c>
      <c r="I173" s="86">
        <v>45354</v>
      </c>
      <c r="J173" s="25"/>
      <c r="K173" s="25"/>
      <c r="L173" s="25" t="e">
        <f t="shared" si="60"/>
        <v>#NUM!</v>
      </c>
      <c r="M173" s="25" t="e">
        <f t="shared" si="61"/>
        <v>#NUM!</v>
      </c>
      <c r="N173" s="64">
        <f t="shared" si="62"/>
        <v>-121.84109589041095</v>
      </c>
      <c r="O173" s="25"/>
      <c r="P173" s="25"/>
      <c r="Q173" s="25"/>
      <c r="R173" s="25"/>
      <c r="S173" s="25"/>
      <c r="T173" s="25"/>
      <c r="U173" s="25"/>
      <c r="V173" s="25"/>
      <c r="W173" s="25"/>
      <c r="X173" s="25"/>
      <c r="Y173" s="25"/>
      <c r="Z173" s="25"/>
      <c r="AA173" s="25"/>
      <c r="AB173" s="25"/>
      <c r="AC173" s="25"/>
      <c r="AD173" s="25"/>
      <c r="AE173" s="25"/>
      <c r="AF173" s="25"/>
      <c r="AG173" s="25"/>
      <c r="AH173" s="25"/>
      <c r="AI173" s="25" t="e">
        <f t="shared" si="63"/>
        <v>#NUM!</v>
      </c>
      <c r="AJ173" s="25" t="e">
        <f t="shared" si="64"/>
        <v>#NUM!</v>
      </c>
      <c r="AK173" s="64">
        <f t="shared" si="65"/>
        <v>-121.84109589041095</v>
      </c>
      <c r="AL173" s="25"/>
      <c r="AM173" s="25"/>
      <c r="AN173" s="25"/>
      <c r="AO173" s="25"/>
      <c r="AP173" s="25"/>
      <c r="AQ173" s="25"/>
      <c r="AR173" s="25"/>
      <c r="AS173" s="25"/>
      <c r="AT173" s="25" t="e">
        <f t="shared" si="66"/>
        <v>#NUM!</v>
      </c>
      <c r="AU173" s="25" t="e">
        <f t="shared" si="67"/>
        <v>#NUM!</v>
      </c>
      <c r="AV173" s="64">
        <f t="shared" si="68"/>
        <v>-121.84109589041095</v>
      </c>
      <c r="AW173" s="25"/>
      <c r="AX173" s="25"/>
      <c r="AY173" s="25" t="e">
        <f t="shared" si="69"/>
        <v>#NUM!</v>
      </c>
      <c r="AZ173" s="64" t="e">
        <f t="shared" si="70"/>
        <v>#NUM!</v>
      </c>
      <c r="BA173" s="64">
        <f t="shared" si="71"/>
        <v>-121.84109589041095</v>
      </c>
      <c r="BB173" s="25"/>
      <c r="BC173" s="25"/>
      <c r="BD173" s="25" t="e">
        <f t="shared" si="72"/>
        <v>#NUM!</v>
      </c>
      <c r="BE173" s="64" t="e">
        <f t="shared" si="73"/>
        <v>#NUM!</v>
      </c>
      <c r="BF173" s="64">
        <f t="shared" si="74"/>
        <v>-121.84109589041095</v>
      </c>
      <c r="BG173" s="25"/>
      <c r="BH173" s="25">
        <v>1</v>
      </c>
    </row>
    <row r="174" spans="1:60" s="189" customFormat="1" ht="16">
      <c r="A174" s="99" t="s">
        <v>711</v>
      </c>
      <c r="B174" s="99">
        <v>22109297</v>
      </c>
      <c r="C174" s="99" t="s">
        <v>712</v>
      </c>
      <c r="D174" s="95">
        <v>44501</v>
      </c>
      <c r="E174" s="95">
        <v>44512</v>
      </c>
      <c r="F174" s="95">
        <v>44501</v>
      </c>
      <c r="G174" s="99" t="s">
        <v>658</v>
      </c>
      <c r="H174" s="101">
        <v>45211</v>
      </c>
      <c r="I174" s="101">
        <v>45394</v>
      </c>
      <c r="J174" s="95">
        <v>45224</v>
      </c>
      <c r="K174" s="95">
        <v>45224</v>
      </c>
      <c r="L174" s="99" t="str">
        <f t="shared" si="60"/>
        <v>1Y11M24D</v>
      </c>
      <c r="M174" s="99" t="str">
        <f t="shared" si="61"/>
        <v>1Y11M13D</v>
      </c>
      <c r="N174" s="102">
        <f t="shared" si="62"/>
        <v>1.9808219178082191</v>
      </c>
      <c r="O174" s="99">
        <v>4</v>
      </c>
      <c r="P174" s="99">
        <v>3</v>
      </c>
      <c r="Q174" s="99"/>
      <c r="R174" s="99">
        <v>3</v>
      </c>
      <c r="S174" s="99">
        <v>1</v>
      </c>
      <c r="T174" s="99"/>
      <c r="U174" s="99" t="s">
        <v>1710</v>
      </c>
      <c r="V174" s="99" t="s">
        <v>2565</v>
      </c>
      <c r="W174" s="99">
        <v>2</v>
      </c>
      <c r="X174" s="99">
        <v>1</v>
      </c>
      <c r="Y174" s="99">
        <v>1</v>
      </c>
      <c r="Z174" s="99">
        <v>1</v>
      </c>
      <c r="AA174" s="99">
        <v>2</v>
      </c>
      <c r="AB174" s="99"/>
      <c r="AC174" s="99" t="s">
        <v>1710</v>
      </c>
      <c r="AD174" s="99">
        <v>1</v>
      </c>
      <c r="AE174" s="99">
        <v>1</v>
      </c>
      <c r="AF174" s="99">
        <v>1</v>
      </c>
      <c r="AG174" s="99">
        <v>1</v>
      </c>
      <c r="AH174" s="95">
        <v>45224</v>
      </c>
      <c r="AI174" s="99" t="str">
        <f t="shared" si="63"/>
        <v>1Y11M24D</v>
      </c>
      <c r="AJ174" s="99" t="str">
        <f t="shared" si="64"/>
        <v>1Y11M13D</v>
      </c>
      <c r="AK174" s="102">
        <f t="shared" si="65"/>
        <v>1.9808219178082191</v>
      </c>
      <c r="AL174" s="99">
        <v>1</v>
      </c>
      <c r="AM174" s="99">
        <v>1</v>
      </c>
      <c r="AN174" s="99">
        <v>2</v>
      </c>
      <c r="AO174" s="99">
        <v>1</v>
      </c>
      <c r="AP174" s="99">
        <v>3</v>
      </c>
      <c r="AQ174" s="99">
        <v>3</v>
      </c>
      <c r="AR174" s="99"/>
      <c r="AS174" s="95">
        <v>45224</v>
      </c>
      <c r="AT174" s="99" t="str">
        <f t="shared" si="66"/>
        <v>1Y11M24D</v>
      </c>
      <c r="AU174" s="99" t="str">
        <f t="shared" si="67"/>
        <v>1Y11M13D</v>
      </c>
      <c r="AV174" s="102">
        <f t="shared" si="68"/>
        <v>1.9808219178082191</v>
      </c>
      <c r="AW174" s="99">
        <v>6</v>
      </c>
      <c r="AX174" s="95">
        <v>45225</v>
      </c>
      <c r="AY174" s="99" t="str">
        <f t="shared" si="69"/>
        <v>1Y11M25D</v>
      </c>
      <c r="AZ174" s="102" t="str">
        <f t="shared" si="70"/>
        <v>1Y11M14D</v>
      </c>
      <c r="BA174" s="102">
        <f t="shared" si="71"/>
        <v>1.9835616438356165</v>
      </c>
      <c r="BB174" s="99">
        <v>6</v>
      </c>
      <c r="BC174" s="95">
        <v>45224</v>
      </c>
      <c r="BD174" s="99" t="str">
        <f t="shared" si="72"/>
        <v>1Y11M24D</v>
      </c>
      <c r="BE174" s="102" t="str">
        <f t="shared" si="73"/>
        <v>1Y11M13D</v>
      </c>
      <c r="BF174" s="102">
        <f t="shared" si="74"/>
        <v>1.9808219178082191</v>
      </c>
      <c r="BG174" s="99">
        <v>2</v>
      </c>
      <c r="BH174" s="99">
        <v>0</v>
      </c>
    </row>
    <row r="175" spans="1:60" s="189" customFormat="1" ht="16">
      <c r="A175" s="99" t="s">
        <v>714</v>
      </c>
      <c r="B175" s="99">
        <v>22103382</v>
      </c>
      <c r="C175" s="99" t="s">
        <v>715</v>
      </c>
      <c r="D175" s="95">
        <v>43897</v>
      </c>
      <c r="E175" s="95">
        <v>43910</v>
      </c>
      <c r="F175" s="95">
        <v>43897</v>
      </c>
      <c r="G175" s="99" t="s">
        <v>697</v>
      </c>
      <c r="H175" s="101">
        <v>44612</v>
      </c>
      <c r="I175" s="101">
        <v>44793</v>
      </c>
      <c r="J175" s="95">
        <v>44726</v>
      </c>
      <c r="K175" s="95">
        <v>44726</v>
      </c>
      <c r="L175" s="95" t="str">
        <f t="shared" si="60"/>
        <v>2Y3M7D</v>
      </c>
      <c r="M175" s="95" t="str">
        <f t="shared" si="61"/>
        <v>2Y2M25D</v>
      </c>
      <c r="N175" s="102">
        <f t="shared" si="62"/>
        <v>2.2712328767123289</v>
      </c>
      <c r="O175" s="99">
        <v>4</v>
      </c>
      <c r="P175" s="99">
        <v>4</v>
      </c>
      <c r="Q175" s="99" t="s">
        <v>1666</v>
      </c>
      <c r="R175" s="98">
        <v>3</v>
      </c>
      <c r="S175" s="99">
        <v>1</v>
      </c>
      <c r="T175" s="99">
        <v>2</v>
      </c>
      <c r="U175" s="99" t="s">
        <v>1660</v>
      </c>
      <c r="V175" s="99" t="s">
        <v>1661</v>
      </c>
      <c r="W175" s="99">
        <v>2</v>
      </c>
      <c r="X175" s="99">
        <v>1</v>
      </c>
      <c r="Y175" s="99">
        <v>1</v>
      </c>
      <c r="Z175" s="99">
        <v>1</v>
      </c>
      <c r="AA175" s="99">
        <v>2</v>
      </c>
      <c r="AB175" s="99">
        <v>1</v>
      </c>
      <c r="AC175" s="99" t="s">
        <v>1663</v>
      </c>
      <c r="AD175" s="99">
        <v>1</v>
      </c>
      <c r="AE175" s="99">
        <v>1</v>
      </c>
      <c r="AF175" s="99">
        <v>1</v>
      </c>
      <c r="AG175" s="99">
        <v>1</v>
      </c>
      <c r="AH175" s="95">
        <v>44725</v>
      </c>
      <c r="AI175" s="95" t="str">
        <f t="shared" si="63"/>
        <v>2Y3M6D</v>
      </c>
      <c r="AJ175" s="95" t="str">
        <f t="shared" si="64"/>
        <v>2Y2M24D</v>
      </c>
      <c r="AK175" s="102">
        <f t="shared" si="65"/>
        <v>2.2684931506849315</v>
      </c>
      <c r="AL175" s="99"/>
      <c r="AM175" s="264">
        <v>1</v>
      </c>
      <c r="AN175" s="99">
        <v>2</v>
      </c>
      <c r="AO175" s="99">
        <v>1</v>
      </c>
      <c r="AP175" s="99">
        <v>1</v>
      </c>
      <c r="AQ175" s="99">
        <v>3</v>
      </c>
      <c r="AR175" s="99"/>
      <c r="AS175" s="95">
        <v>44725</v>
      </c>
      <c r="AT175" s="95" t="str">
        <f t="shared" si="66"/>
        <v>2Y3M6D</v>
      </c>
      <c r="AU175" s="95" t="str">
        <f t="shared" si="67"/>
        <v>2Y2M24D</v>
      </c>
      <c r="AV175" s="102">
        <f t="shared" si="68"/>
        <v>2.2684931506849315</v>
      </c>
      <c r="AW175" s="99">
        <v>2</v>
      </c>
      <c r="AX175" s="95">
        <v>44725</v>
      </c>
      <c r="AY175" s="95" t="str">
        <f t="shared" si="69"/>
        <v>2Y3M6D</v>
      </c>
      <c r="AZ175" s="102" t="str">
        <f t="shared" si="70"/>
        <v>2Y2M24D</v>
      </c>
      <c r="BA175" s="102">
        <f t="shared" si="71"/>
        <v>2.2684931506849315</v>
      </c>
      <c r="BB175" s="99">
        <v>2</v>
      </c>
      <c r="BC175" s="95">
        <v>44726</v>
      </c>
      <c r="BD175" s="95" t="str">
        <f t="shared" si="72"/>
        <v>2Y3M7D</v>
      </c>
      <c r="BE175" s="102" t="str">
        <f t="shared" si="73"/>
        <v>2Y2M25D</v>
      </c>
      <c r="BF175" s="102">
        <f t="shared" si="74"/>
        <v>2.2712328767123289</v>
      </c>
      <c r="BG175" s="99">
        <v>1</v>
      </c>
      <c r="BH175" s="99">
        <v>0</v>
      </c>
    </row>
    <row r="176" spans="1:60" s="189" customFormat="1" ht="16">
      <c r="A176" s="99" t="s">
        <v>718</v>
      </c>
      <c r="B176" s="99">
        <v>22103953</v>
      </c>
      <c r="C176" s="99" t="s">
        <v>719</v>
      </c>
      <c r="D176" s="95">
        <v>43961</v>
      </c>
      <c r="E176" s="95">
        <v>43961</v>
      </c>
      <c r="F176" s="95">
        <v>43961</v>
      </c>
      <c r="G176" s="99" t="s">
        <v>39</v>
      </c>
      <c r="H176" s="101">
        <v>44661</v>
      </c>
      <c r="I176" s="101">
        <v>44844</v>
      </c>
      <c r="J176" s="95">
        <v>44791</v>
      </c>
      <c r="K176" s="95">
        <v>44791</v>
      </c>
      <c r="L176" s="95" t="str">
        <f t="shared" si="60"/>
        <v>2Y3M8D</v>
      </c>
      <c r="M176" s="95" t="str">
        <f t="shared" si="61"/>
        <v>2Y3M8D</v>
      </c>
      <c r="N176" s="102">
        <f t="shared" si="62"/>
        <v>2.2739726027397262</v>
      </c>
      <c r="O176" s="99">
        <v>4</v>
      </c>
      <c r="P176" s="99">
        <v>3</v>
      </c>
      <c r="Q176" s="99" t="s">
        <v>1709</v>
      </c>
      <c r="R176" s="98">
        <v>3</v>
      </c>
      <c r="S176" s="99">
        <v>1</v>
      </c>
      <c r="T176" s="99">
        <v>1</v>
      </c>
      <c r="U176" s="99" t="s">
        <v>1966</v>
      </c>
      <c r="V176" s="99" t="s">
        <v>1661</v>
      </c>
      <c r="W176" s="99">
        <v>2</v>
      </c>
      <c r="X176" s="99">
        <v>1</v>
      </c>
      <c r="Y176" s="99">
        <v>1</v>
      </c>
      <c r="Z176" s="99">
        <v>1</v>
      </c>
      <c r="AA176" s="99">
        <v>2</v>
      </c>
      <c r="AB176" s="99">
        <v>1</v>
      </c>
      <c r="AC176" s="99" t="s">
        <v>1684</v>
      </c>
      <c r="AD176" s="99">
        <v>1</v>
      </c>
      <c r="AE176" s="99">
        <v>1</v>
      </c>
      <c r="AF176" s="99">
        <v>1</v>
      </c>
      <c r="AG176" s="99">
        <v>1</v>
      </c>
      <c r="AH176" s="95">
        <v>44791</v>
      </c>
      <c r="AI176" s="95" t="str">
        <f t="shared" si="63"/>
        <v>2Y3M8D</v>
      </c>
      <c r="AJ176" s="95" t="str">
        <f t="shared" si="64"/>
        <v>2Y3M8D</v>
      </c>
      <c r="AK176" s="102">
        <f t="shared" si="65"/>
        <v>2.2739726027397262</v>
      </c>
      <c r="AL176" s="99"/>
      <c r="AM176" s="264">
        <v>1</v>
      </c>
      <c r="AN176" s="99">
        <v>2</v>
      </c>
      <c r="AO176" s="99">
        <v>1</v>
      </c>
      <c r="AP176" s="99">
        <v>1</v>
      </c>
      <c r="AQ176" s="99">
        <v>3</v>
      </c>
      <c r="AR176" s="99"/>
      <c r="AS176" s="95">
        <v>44788</v>
      </c>
      <c r="AT176" s="95" t="str">
        <f t="shared" si="66"/>
        <v>2Y3M5D</v>
      </c>
      <c r="AU176" s="95" t="str">
        <f t="shared" si="67"/>
        <v>2Y3M5D</v>
      </c>
      <c r="AV176" s="102">
        <f t="shared" si="68"/>
        <v>2.2657534246575342</v>
      </c>
      <c r="AW176" s="99">
        <v>2</v>
      </c>
      <c r="AX176" s="95">
        <v>44791</v>
      </c>
      <c r="AY176" s="95" t="str">
        <f t="shared" si="69"/>
        <v>2Y3M8D</v>
      </c>
      <c r="AZ176" s="102" t="str">
        <f t="shared" si="70"/>
        <v>2Y3M8D</v>
      </c>
      <c r="BA176" s="102">
        <f t="shared" si="71"/>
        <v>2.2739726027397262</v>
      </c>
      <c r="BB176" s="99">
        <v>2</v>
      </c>
      <c r="BC176" s="95">
        <v>44791</v>
      </c>
      <c r="BD176" s="95" t="str">
        <f t="shared" si="72"/>
        <v>2Y3M8D</v>
      </c>
      <c r="BE176" s="102" t="str">
        <f t="shared" si="73"/>
        <v>2Y3M8D</v>
      </c>
      <c r="BF176" s="102">
        <f t="shared" si="74"/>
        <v>2.2739726027397262</v>
      </c>
      <c r="BG176" s="99">
        <v>1</v>
      </c>
      <c r="BH176" s="99">
        <v>0</v>
      </c>
    </row>
    <row r="177" spans="1:60" s="189" customFormat="1" ht="16">
      <c r="A177" s="99" t="s">
        <v>722</v>
      </c>
      <c r="B177" s="99">
        <v>22109329</v>
      </c>
      <c r="C177" s="99" t="s">
        <v>723</v>
      </c>
      <c r="D177" s="95">
        <v>44505</v>
      </c>
      <c r="E177" s="95">
        <v>44516</v>
      </c>
      <c r="F177" s="95">
        <v>44505</v>
      </c>
      <c r="G177" s="99" t="s">
        <v>658</v>
      </c>
      <c r="H177" s="101">
        <v>45215</v>
      </c>
      <c r="I177" s="101">
        <v>45398</v>
      </c>
      <c r="J177" s="95">
        <v>45342</v>
      </c>
      <c r="K177" s="95">
        <v>45342</v>
      </c>
      <c r="L177" s="99" t="str">
        <f t="shared" si="60"/>
        <v>2Y3M15D</v>
      </c>
      <c r="M177" s="99" t="str">
        <f t="shared" si="61"/>
        <v>2Y3M4D</v>
      </c>
      <c r="N177" s="102">
        <f t="shared" si="62"/>
        <v>2.2931506849315069</v>
      </c>
      <c r="O177" s="99">
        <v>4</v>
      </c>
      <c r="P177" s="99">
        <v>3</v>
      </c>
      <c r="Q177" s="99"/>
      <c r="R177" s="99">
        <v>3</v>
      </c>
      <c r="S177" s="99">
        <v>1</v>
      </c>
      <c r="T177" s="99">
        <v>1</v>
      </c>
      <c r="U177" s="99"/>
      <c r="V177" s="99" t="s">
        <v>1661</v>
      </c>
      <c r="W177" s="99">
        <v>2</v>
      </c>
      <c r="X177" s="99">
        <v>1</v>
      </c>
      <c r="Y177" s="99"/>
      <c r="Z177" s="99">
        <v>1</v>
      </c>
      <c r="AA177" s="99">
        <v>2</v>
      </c>
      <c r="AB177" s="99"/>
      <c r="AC177" s="99" t="s">
        <v>1678</v>
      </c>
      <c r="AD177" s="99">
        <v>2</v>
      </c>
      <c r="AE177" s="99">
        <v>1</v>
      </c>
      <c r="AF177" s="99">
        <v>2</v>
      </c>
      <c r="AG177" s="99">
        <v>1</v>
      </c>
      <c r="AH177" s="285">
        <v>45342</v>
      </c>
      <c r="AI177" s="99" t="str">
        <f t="shared" si="63"/>
        <v>2Y3M15D</v>
      </c>
      <c r="AJ177" s="99" t="str">
        <f t="shared" si="64"/>
        <v>2Y3M4D</v>
      </c>
      <c r="AK177" s="102">
        <f t="shared" si="65"/>
        <v>2.2931506849315069</v>
      </c>
      <c r="AL177" s="99">
        <v>1</v>
      </c>
      <c r="AM177" s="99">
        <v>1</v>
      </c>
      <c r="AN177" s="99">
        <v>2</v>
      </c>
      <c r="AO177" s="99">
        <v>1</v>
      </c>
      <c r="AP177" s="99">
        <v>3</v>
      </c>
      <c r="AQ177" s="99">
        <v>3</v>
      </c>
      <c r="AR177" s="99"/>
      <c r="AS177" s="95">
        <v>45339</v>
      </c>
      <c r="AT177" s="99" t="str">
        <f t="shared" si="66"/>
        <v>2Y3M12D</v>
      </c>
      <c r="AU177" s="99" t="str">
        <f t="shared" si="67"/>
        <v>2Y3M1D</v>
      </c>
      <c r="AV177" s="102">
        <f t="shared" si="68"/>
        <v>2.2849315068493152</v>
      </c>
      <c r="AW177" s="99">
        <v>7</v>
      </c>
      <c r="AX177" s="95">
        <v>45341</v>
      </c>
      <c r="AY177" s="99" t="str">
        <f t="shared" si="69"/>
        <v>2Y3M14D</v>
      </c>
      <c r="AZ177" s="102" t="str">
        <f t="shared" si="70"/>
        <v>2Y3M3D</v>
      </c>
      <c r="BA177" s="102">
        <f t="shared" si="71"/>
        <v>2.2904109589041095</v>
      </c>
      <c r="BB177" s="99">
        <v>7</v>
      </c>
      <c r="BC177" s="95">
        <v>45342</v>
      </c>
      <c r="BD177" s="99" t="str">
        <f t="shared" si="72"/>
        <v>2Y3M15D</v>
      </c>
      <c r="BE177" s="102" t="str">
        <f t="shared" si="73"/>
        <v>2Y3M4D</v>
      </c>
      <c r="BF177" s="102">
        <f t="shared" si="74"/>
        <v>2.2931506849315069</v>
      </c>
      <c r="BG177" s="99">
        <v>2</v>
      </c>
      <c r="BH177" s="99">
        <v>1</v>
      </c>
    </row>
    <row r="178" spans="1:60" s="189" customFormat="1" ht="16">
      <c r="A178" s="99" t="s">
        <v>726</v>
      </c>
      <c r="B178" s="99">
        <v>22108528</v>
      </c>
      <c r="C178" s="99" t="s">
        <v>727</v>
      </c>
      <c r="D178" s="95">
        <v>44413</v>
      </c>
      <c r="E178" s="95">
        <v>44418</v>
      </c>
      <c r="F178" s="95">
        <v>44413</v>
      </c>
      <c r="G178" s="99" t="s">
        <v>110</v>
      </c>
      <c r="H178" s="101">
        <v>45117</v>
      </c>
      <c r="I178" s="101">
        <v>45301</v>
      </c>
      <c r="J178" s="95">
        <v>45252</v>
      </c>
      <c r="K178" s="95">
        <v>45252</v>
      </c>
      <c r="L178" s="99" t="str">
        <f t="shared" si="60"/>
        <v>2Y3M17D</v>
      </c>
      <c r="M178" s="99" t="str">
        <f t="shared" si="61"/>
        <v>2Y3M12D</v>
      </c>
      <c r="N178" s="102">
        <f t="shared" si="62"/>
        <v>2.2986301369863016</v>
      </c>
      <c r="O178" s="99">
        <v>4</v>
      </c>
      <c r="P178" s="99">
        <v>3</v>
      </c>
      <c r="Q178" s="99"/>
      <c r="R178" s="99">
        <v>3</v>
      </c>
      <c r="S178" s="99">
        <v>1</v>
      </c>
      <c r="T178" s="99"/>
      <c r="U178" s="99" t="s">
        <v>1710</v>
      </c>
      <c r="V178" s="99" t="s">
        <v>1661</v>
      </c>
      <c r="W178" s="99">
        <v>2</v>
      </c>
      <c r="X178" s="99">
        <v>1</v>
      </c>
      <c r="Y178" s="99">
        <v>1</v>
      </c>
      <c r="Z178" s="99">
        <v>1</v>
      </c>
      <c r="AA178" s="99">
        <v>2</v>
      </c>
      <c r="AB178" s="99"/>
      <c r="AC178" s="99" t="s">
        <v>1710</v>
      </c>
      <c r="AD178" s="99">
        <v>1</v>
      </c>
      <c r="AE178" s="99">
        <v>1</v>
      </c>
      <c r="AF178" s="99">
        <v>1</v>
      </c>
      <c r="AG178" s="99">
        <v>1</v>
      </c>
      <c r="AH178" s="95">
        <v>45252</v>
      </c>
      <c r="AI178" s="99" t="str">
        <f t="shared" si="63"/>
        <v>2Y3M17D</v>
      </c>
      <c r="AJ178" s="99" t="str">
        <f t="shared" si="64"/>
        <v>2Y3M12D</v>
      </c>
      <c r="AK178" s="102">
        <f t="shared" si="65"/>
        <v>2.2986301369863016</v>
      </c>
      <c r="AL178" s="99">
        <v>1</v>
      </c>
      <c r="AM178" s="99">
        <v>1</v>
      </c>
      <c r="AN178" s="99">
        <v>2</v>
      </c>
      <c r="AO178" s="99">
        <v>1</v>
      </c>
      <c r="AP178" s="99"/>
      <c r="AQ178" s="99"/>
      <c r="AR178" s="99"/>
      <c r="AS178" s="95">
        <v>45251</v>
      </c>
      <c r="AT178" s="99" t="str">
        <f t="shared" si="66"/>
        <v>2Y3M16D</v>
      </c>
      <c r="AU178" s="99" t="str">
        <f t="shared" si="67"/>
        <v>2Y3M11D</v>
      </c>
      <c r="AV178" s="102">
        <f t="shared" si="68"/>
        <v>2.2958904109589042</v>
      </c>
      <c r="AW178" s="99">
        <v>6</v>
      </c>
      <c r="AX178" s="99"/>
      <c r="AY178" s="99" t="e">
        <f t="shared" si="69"/>
        <v>#NUM!</v>
      </c>
      <c r="AZ178" s="102" t="e">
        <f t="shared" si="70"/>
        <v>#NUM!</v>
      </c>
      <c r="BA178" s="102">
        <f t="shared" si="71"/>
        <v>-121.67945205479452</v>
      </c>
      <c r="BB178" s="99"/>
      <c r="BC178" s="95">
        <v>45252</v>
      </c>
      <c r="BD178" s="99" t="str">
        <f t="shared" si="72"/>
        <v>2Y3M17D</v>
      </c>
      <c r="BE178" s="102" t="str">
        <f t="shared" si="73"/>
        <v>2Y3M12D</v>
      </c>
      <c r="BF178" s="102">
        <f t="shared" si="74"/>
        <v>2.2986301369863016</v>
      </c>
      <c r="BG178" s="99">
        <v>2</v>
      </c>
      <c r="BH178" s="99">
        <v>1</v>
      </c>
    </row>
    <row r="179" spans="1:60" s="193" customFormat="1" ht="16">
      <c r="A179" s="25" t="s">
        <v>729</v>
      </c>
      <c r="B179" s="25">
        <v>22108317</v>
      </c>
      <c r="C179" s="25" t="s">
        <v>730</v>
      </c>
      <c r="D179" s="32">
        <v>44391</v>
      </c>
      <c r="E179" s="32">
        <v>44497</v>
      </c>
      <c r="F179" s="32">
        <v>44497</v>
      </c>
      <c r="G179" s="25" t="s">
        <v>732</v>
      </c>
      <c r="H179" s="86">
        <v>45197</v>
      </c>
      <c r="I179" s="86">
        <v>45379</v>
      </c>
      <c r="J179" s="25"/>
      <c r="K179" s="25"/>
      <c r="L179" s="25" t="e">
        <f t="shared" si="60"/>
        <v>#NUM!</v>
      </c>
      <c r="M179" s="25" t="e">
        <f t="shared" si="61"/>
        <v>#NUM!</v>
      </c>
      <c r="N179" s="64">
        <f t="shared" si="62"/>
        <v>-121.90958904109588</v>
      </c>
      <c r="O179" s="25"/>
      <c r="P179" s="25"/>
      <c r="Q179" s="25"/>
      <c r="R179" s="25"/>
      <c r="S179" s="25"/>
      <c r="T179" s="25"/>
      <c r="U179" s="25"/>
      <c r="V179" s="25"/>
      <c r="W179" s="25"/>
      <c r="X179" s="25"/>
      <c r="Y179" s="25"/>
      <c r="Z179" s="25"/>
      <c r="AA179" s="25"/>
      <c r="AB179" s="25"/>
      <c r="AC179" s="25"/>
      <c r="AD179" s="25"/>
      <c r="AE179" s="25"/>
      <c r="AF179" s="25"/>
      <c r="AG179" s="25"/>
      <c r="AH179" s="25"/>
      <c r="AI179" s="25" t="e">
        <f t="shared" si="63"/>
        <v>#NUM!</v>
      </c>
      <c r="AJ179" s="25" t="e">
        <f t="shared" si="64"/>
        <v>#NUM!</v>
      </c>
      <c r="AK179" s="64">
        <f t="shared" si="65"/>
        <v>-121.90958904109588</v>
      </c>
      <c r="AL179" s="25"/>
      <c r="AM179" s="25"/>
      <c r="AN179" s="25"/>
      <c r="AO179" s="25"/>
      <c r="AP179" s="25"/>
      <c r="AQ179" s="25"/>
      <c r="AR179" s="25"/>
      <c r="AS179" s="25"/>
      <c r="AT179" s="25" t="e">
        <f t="shared" si="66"/>
        <v>#NUM!</v>
      </c>
      <c r="AU179" s="25" t="e">
        <f t="shared" si="67"/>
        <v>#NUM!</v>
      </c>
      <c r="AV179" s="64">
        <f t="shared" si="68"/>
        <v>-121.90958904109588</v>
      </c>
      <c r="AW179" s="25"/>
      <c r="AX179" s="25"/>
      <c r="AY179" s="25" t="e">
        <f t="shared" si="69"/>
        <v>#NUM!</v>
      </c>
      <c r="AZ179" s="64" t="e">
        <f t="shared" si="70"/>
        <v>#NUM!</v>
      </c>
      <c r="BA179" s="64">
        <f t="shared" si="71"/>
        <v>-121.90958904109588</v>
      </c>
      <c r="BB179" s="25"/>
      <c r="BC179" s="25"/>
      <c r="BD179" s="25" t="e">
        <f t="shared" si="72"/>
        <v>#NUM!</v>
      </c>
      <c r="BE179" s="64" t="e">
        <f t="shared" si="73"/>
        <v>#NUM!</v>
      </c>
      <c r="BF179" s="64">
        <f t="shared" si="74"/>
        <v>-121.90958904109588</v>
      </c>
      <c r="BG179" s="25"/>
      <c r="BH179" s="25">
        <v>1</v>
      </c>
    </row>
    <row r="180" spans="1:60" s="193" customFormat="1" ht="16">
      <c r="A180" s="25" t="s">
        <v>734</v>
      </c>
      <c r="B180" s="25">
        <v>22104263</v>
      </c>
      <c r="C180" s="88" t="s">
        <v>735</v>
      </c>
      <c r="D180" s="32">
        <v>43993</v>
      </c>
      <c r="E180" s="32">
        <v>43993</v>
      </c>
      <c r="F180" s="32">
        <v>43993</v>
      </c>
      <c r="G180" s="25" t="s">
        <v>39</v>
      </c>
      <c r="H180" s="86">
        <v>44692</v>
      </c>
      <c r="I180" s="86">
        <v>44876</v>
      </c>
      <c r="J180" s="32"/>
      <c r="K180" s="67"/>
      <c r="L180" s="67" t="e">
        <f t="shared" si="60"/>
        <v>#NUM!</v>
      </c>
      <c r="M180" s="67" t="e">
        <f t="shared" si="61"/>
        <v>#NUM!</v>
      </c>
      <c r="N180" s="74">
        <f t="shared" si="62"/>
        <v>-120.52876712328766</v>
      </c>
      <c r="O180" s="25"/>
      <c r="P180" s="25"/>
      <c r="Q180" s="25"/>
      <c r="R180" s="25"/>
      <c r="S180" s="25"/>
      <c r="T180" s="25"/>
      <c r="U180" s="25"/>
      <c r="V180" s="25"/>
      <c r="W180" s="25"/>
      <c r="X180" s="25"/>
      <c r="Y180" s="25"/>
      <c r="Z180" s="25"/>
      <c r="AA180" s="25"/>
      <c r="AB180" s="25"/>
      <c r="AC180" s="25"/>
      <c r="AD180" s="25"/>
      <c r="AE180" s="25"/>
      <c r="AF180" s="25"/>
      <c r="AG180" s="25"/>
      <c r="AH180" s="67"/>
      <c r="AI180" s="67" t="e">
        <f t="shared" si="63"/>
        <v>#NUM!</v>
      </c>
      <c r="AJ180" s="67" t="e">
        <f t="shared" si="64"/>
        <v>#NUM!</v>
      </c>
      <c r="AK180" s="74">
        <f t="shared" si="65"/>
        <v>-120.52876712328766</v>
      </c>
      <c r="AL180" s="25"/>
      <c r="AM180" s="25"/>
      <c r="AN180" s="25"/>
      <c r="AO180" s="25"/>
      <c r="AP180" s="25"/>
      <c r="AQ180" s="25"/>
      <c r="AR180" s="25"/>
      <c r="AS180" s="67"/>
      <c r="AT180" s="67" t="e">
        <f t="shared" si="66"/>
        <v>#NUM!</v>
      </c>
      <c r="AU180" s="67" t="e">
        <f t="shared" si="67"/>
        <v>#NUM!</v>
      </c>
      <c r="AV180" s="74">
        <f t="shared" si="68"/>
        <v>-120.52876712328766</v>
      </c>
      <c r="AW180" s="25"/>
      <c r="AX180" s="67"/>
      <c r="AY180" s="67" t="e">
        <f t="shared" si="69"/>
        <v>#NUM!</v>
      </c>
      <c r="AZ180" s="74" t="e">
        <f t="shared" si="70"/>
        <v>#NUM!</v>
      </c>
      <c r="BA180" s="74">
        <f t="shared" si="71"/>
        <v>-120.52876712328766</v>
      </c>
      <c r="BB180" s="25"/>
      <c r="BC180" s="25"/>
      <c r="BD180" s="25" t="e">
        <f t="shared" si="72"/>
        <v>#NUM!</v>
      </c>
      <c r="BE180" s="64" t="e">
        <f t="shared" si="73"/>
        <v>#NUM!</v>
      </c>
      <c r="BF180" s="64">
        <f t="shared" si="74"/>
        <v>-120.52876712328766</v>
      </c>
      <c r="BG180" s="25"/>
      <c r="BH180" s="25">
        <v>0</v>
      </c>
    </row>
    <row r="181" spans="1:60" s="189" customFormat="1" ht="16">
      <c r="A181" s="99" t="s">
        <v>737</v>
      </c>
      <c r="B181" s="2">
        <v>22109759</v>
      </c>
      <c r="C181" s="53" t="s">
        <v>738</v>
      </c>
      <c r="D181" s="23">
        <v>44552</v>
      </c>
      <c r="E181" s="23">
        <v>44572</v>
      </c>
      <c r="F181" s="23">
        <v>44552</v>
      </c>
      <c r="G181" s="2" t="s">
        <v>740</v>
      </c>
      <c r="H181" s="38">
        <v>45271</v>
      </c>
      <c r="I181" s="38">
        <v>45454</v>
      </c>
      <c r="J181" s="95">
        <v>45425</v>
      </c>
      <c r="K181" s="95">
        <v>45425</v>
      </c>
      <c r="L181" s="99" t="str">
        <f t="shared" si="60"/>
        <v>2Y4M21D</v>
      </c>
      <c r="M181" s="99" t="str">
        <f t="shared" si="61"/>
        <v>2Y4M2D</v>
      </c>
      <c r="N181" s="102">
        <f t="shared" si="62"/>
        <v>2.3917808219178083</v>
      </c>
      <c r="O181" s="99">
        <v>4</v>
      </c>
      <c r="P181" s="99">
        <v>4</v>
      </c>
      <c r="Q181" s="99" t="s">
        <v>1712</v>
      </c>
      <c r="R181" s="99">
        <v>4</v>
      </c>
      <c r="S181" s="99">
        <v>1</v>
      </c>
      <c r="T181" s="99">
        <v>1</v>
      </c>
      <c r="U181" s="99" t="s">
        <v>1669</v>
      </c>
      <c r="V181" s="99" t="s">
        <v>1685</v>
      </c>
      <c r="W181" s="99">
        <v>2</v>
      </c>
      <c r="X181" s="99">
        <v>1</v>
      </c>
      <c r="Y181" s="99">
        <v>1</v>
      </c>
      <c r="Z181" s="99">
        <v>1</v>
      </c>
      <c r="AA181" s="99">
        <v>2</v>
      </c>
      <c r="AB181" s="99">
        <v>1</v>
      </c>
      <c r="AC181" s="99" t="s">
        <v>1660</v>
      </c>
      <c r="AD181" s="99">
        <v>2</v>
      </c>
      <c r="AE181" s="99">
        <v>1</v>
      </c>
      <c r="AF181" s="99">
        <v>2</v>
      </c>
      <c r="AG181" s="99">
        <v>1</v>
      </c>
      <c r="AH181" s="95">
        <v>45416</v>
      </c>
      <c r="AI181" s="99" t="str">
        <f t="shared" si="63"/>
        <v>2Y4M12D</v>
      </c>
      <c r="AJ181" s="99" t="str">
        <f t="shared" si="64"/>
        <v>2Y3M23D</v>
      </c>
      <c r="AK181" s="102">
        <f t="shared" si="65"/>
        <v>2.3671232876712329</v>
      </c>
      <c r="AL181" s="99">
        <v>2</v>
      </c>
      <c r="AM181" s="99">
        <v>1</v>
      </c>
      <c r="AN181" s="99">
        <v>2</v>
      </c>
      <c r="AO181" s="99">
        <v>1</v>
      </c>
      <c r="AP181" s="99">
        <v>4</v>
      </c>
      <c r="AQ181" s="99">
        <v>3</v>
      </c>
      <c r="AR181" s="99"/>
      <c r="AS181" s="95">
        <v>45421</v>
      </c>
      <c r="AT181" s="99" t="str">
        <f t="shared" si="66"/>
        <v>2Y4M17D</v>
      </c>
      <c r="AU181" s="99" t="str">
        <f t="shared" si="67"/>
        <v>2Y3M28D</v>
      </c>
      <c r="AV181" s="102">
        <f t="shared" si="68"/>
        <v>2.3808219178082193</v>
      </c>
      <c r="AW181" s="99">
        <v>8</v>
      </c>
      <c r="AX181" s="95">
        <v>45438</v>
      </c>
      <c r="AY181" s="99" t="str">
        <f t="shared" si="69"/>
        <v>2Y5M4D</v>
      </c>
      <c r="AZ181" s="102" t="str">
        <f t="shared" si="70"/>
        <v>2Y4M15D</v>
      </c>
      <c r="BA181" s="102">
        <f t="shared" si="71"/>
        <v>2.4273972602739726</v>
      </c>
      <c r="BB181" s="99">
        <v>8</v>
      </c>
      <c r="BC181" s="95">
        <v>45425</v>
      </c>
      <c r="BD181" s="99" t="str">
        <f t="shared" si="72"/>
        <v>2Y4M21D</v>
      </c>
      <c r="BE181" s="102" t="str">
        <f t="shared" si="73"/>
        <v>2Y4M2D</v>
      </c>
      <c r="BF181" s="102">
        <f t="shared" si="74"/>
        <v>2.3917808219178083</v>
      </c>
      <c r="BG181" s="99">
        <v>2</v>
      </c>
      <c r="BH181" s="99">
        <v>0</v>
      </c>
    </row>
    <row r="182" spans="1:60" s="193" customFormat="1" ht="16">
      <c r="A182" s="25" t="s">
        <v>742</v>
      </c>
      <c r="B182" s="2">
        <v>16903095</v>
      </c>
      <c r="C182" s="53" t="s">
        <v>743</v>
      </c>
      <c r="D182" s="23">
        <v>44523</v>
      </c>
      <c r="E182" s="23">
        <v>44526</v>
      </c>
      <c r="F182" s="23">
        <v>44523</v>
      </c>
      <c r="G182" s="2" t="s">
        <v>745</v>
      </c>
      <c r="H182" s="38">
        <v>45225</v>
      </c>
      <c r="I182" s="38">
        <v>45408</v>
      </c>
      <c r="J182" s="25"/>
      <c r="K182" s="25"/>
      <c r="L182" s="25" t="e">
        <f t="shared" si="60"/>
        <v>#NUM!</v>
      </c>
      <c r="M182" s="25" t="e">
        <f t="shared" si="61"/>
        <v>#NUM!</v>
      </c>
      <c r="N182" s="64">
        <f t="shared" si="62"/>
        <v>-121.98082191780821</v>
      </c>
      <c r="O182" s="25"/>
      <c r="P182" s="25"/>
      <c r="Q182" s="25"/>
      <c r="R182" s="25"/>
      <c r="S182" s="25"/>
      <c r="T182" s="25"/>
      <c r="U182" s="25"/>
      <c r="V182" s="25"/>
      <c r="W182" s="25"/>
      <c r="X182" s="25"/>
      <c r="Y182" s="25"/>
      <c r="Z182" s="25"/>
      <c r="AA182" s="25"/>
      <c r="AB182" s="25"/>
      <c r="AC182" s="25"/>
      <c r="AD182" s="25"/>
      <c r="AE182" s="25"/>
      <c r="AF182" s="25"/>
      <c r="AG182" s="25"/>
      <c r="AH182" s="25"/>
      <c r="AI182" s="25" t="e">
        <f t="shared" si="63"/>
        <v>#NUM!</v>
      </c>
      <c r="AJ182" s="25" t="e">
        <f t="shared" si="64"/>
        <v>#NUM!</v>
      </c>
      <c r="AK182" s="64">
        <f t="shared" si="65"/>
        <v>-121.98082191780821</v>
      </c>
      <c r="AL182" s="25"/>
      <c r="AM182" s="25"/>
      <c r="AN182" s="25"/>
      <c r="AO182" s="25"/>
      <c r="AP182" s="25"/>
      <c r="AQ182" s="25"/>
      <c r="AR182" s="25"/>
      <c r="AS182" s="25"/>
      <c r="AT182" s="25" t="e">
        <f t="shared" si="66"/>
        <v>#NUM!</v>
      </c>
      <c r="AU182" s="25" t="e">
        <f t="shared" si="67"/>
        <v>#NUM!</v>
      </c>
      <c r="AV182" s="64">
        <f t="shared" si="68"/>
        <v>-121.98082191780821</v>
      </c>
      <c r="AW182" s="25"/>
      <c r="AX182" s="25"/>
      <c r="AY182" s="25" t="e">
        <f t="shared" si="69"/>
        <v>#NUM!</v>
      </c>
      <c r="AZ182" s="64" t="e">
        <f t="shared" si="70"/>
        <v>#NUM!</v>
      </c>
      <c r="BA182" s="64">
        <f t="shared" si="71"/>
        <v>-121.98082191780821</v>
      </c>
      <c r="BB182" s="25"/>
      <c r="BC182" s="25"/>
      <c r="BD182" s="25" t="e">
        <f t="shared" si="72"/>
        <v>#NUM!</v>
      </c>
      <c r="BE182" s="64" t="e">
        <f t="shared" si="73"/>
        <v>#NUM!</v>
      </c>
      <c r="BF182" s="64">
        <f t="shared" si="74"/>
        <v>-121.98082191780821</v>
      </c>
      <c r="BG182" s="25"/>
      <c r="BH182" s="25">
        <v>0</v>
      </c>
    </row>
    <row r="183" spans="1:60" s="193" customFormat="1" ht="16">
      <c r="A183" s="25" t="s">
        <v>747</v>
      </c>
      <c r="B183" s="25">
        <v>22109538</v>
      </c>
      <c r="C183" s="88" t="s">
        <v>748</v>
      </c>
      <c r="D183" s="32">
        <v>44526</v>
      </c>
      <c r="E183" s="32">
        <v>44541</v>
      </c>
      <c r="F183" s="32">
        <v>44526</v>
      </c>
      <c r="G183" s="25" t="s">
        <v>750</v>
      </c>
      <c r="H183" s="86">
        <v>45241</v>
      </c>
      <c r="I183" s="86">
        <v>45423</v>
      </c>
      <c r="J183" s="25"/>
      <c r="K183" s="25"/>
      <c r="L183" s="25" t="e">
        <f t="shared" si="60"/>
        <v>#NUM!</v>
      </c>
      <c r="M183" s="25" t="e">
        <f t="shared" si="61"/>
        <v>#NUM!</v>
      </c>
      <c r="N183" s="64">
        <f t="shared" si="62"/>
        <v>-121.98904109589041</v>
      </c>
      <c r="O183" s="25"/>
      <c r="P183" s="25"/>
      <c r="Q183" s="25"/>
      <c r="R183" s="25"/>
      <c r="S183" s="25"/>
      <c r="T183" s="25"/>
      <c r="U183" s="25"/>
      <c r="V183" s="25"/>
      <c r="W183" s="25"/>
      <c r="X183" s="25"/>
      <c r="Y183" s="25"/>
      <c r="Z183" s="25"/>
      <c r="AA183" s="25"/>
      <c r="AB183" s="25"/>
      <c r="AC183" s="25"/>
      <c r="AD183" s="25"/>
      <c r="AE183" s="25"/>
      <c r="AF183" s="25"/>
      <c r="AG183" s="25"/>
      <c r="AH183" s="25"/>
      <c r="AI183" s="25" t="e">
        <f t="shared" si="63"/>
        <v>#NUM!</v>
      </c>
      <c r="AJ183" s="25" t="e">
        <f t="shared" si="64"/>
        <v>#NUM!</v>
      </c>
      <c r="AK183" s="64">
        <f t="shared" si="65"/>
        <v>-121.98904109589041</v>
      </c>
      <c r="AL183" s="25"/>
      <c r="AM183" s="25"/>
      <c r="AN183" s="25"/>
      <c r="AO183" s="25"/>
      <c r="AP183" s="25"/>
      <c r="AQ183" s="25"/>
      <c r="AR183" s="25"/>
      <c r="AS183" s="25"/>
      <c r="AT183" s="25" t="e">
        <f t="shared" si="66"/>
        <v>#NUM!</v>
      </c>
      <c r="AU183" s="25" t="e">
        <f t="shared" si="67"/>
        <v>#NUM!</v>
      </c>
      <c r="AV183" s="64">
        <f t="shared" si="68"/>
        <v>-121.98904109589041</v>
      </c>
      <c r="AW183" s="25"/>
      <c r="AX183" s="25"/>
      <c r="AY183" s="25" t="e">
        <f t="shared" si="69"/>
        <v>#NUM!</v>
      </c>
      <c r="AZ183" s="64" t="e">
        <f t="shared" si="70"/>
        <v>#NUM!</v>
      </c>
      <c r="BA183" s="64">
        <f t="shared" si="71"/>
        <v>-121.98904109589041</v>
      </c>
      <c r="BB183" s="25"/>
      <c r="BC183" s="25"/>
      <c r="BD183" s="25" t="e">
        <f t="shared" si="72"/>
        <v>#NUM!</v>
      </c>
      <c r="BE183" s="64" t="e">
        <f t="shared" si="73"/>
        <v>#NUM!</v>
      </c>
      <c r="BF183" s="64">
        <f t="shared" si="74"/>
        <v>-121.98904109589041</v>
      </c>
      <c r="BG183" s="25"/>
      <c r="BH183" s="25">
        <v>1</v>
      </c>
    </row>
    <row r="184" spans="1:60" s="110" customFormat="1" ht="16">
      <c r="A184" s="17" t="s">
        <v>752</v>
      </c>
      <c r="B184" s="17">
        <v>22109793</v>
      </c>
      <c r="C184" s="22" t="s">
        <v>753</v>
      </c>
      <c r="D184" s="40">
        <v>44555</v>
      </c>
      <c r="E184" s="40">
        <v>44561</v>
      </c>
      <c r="F184" s="40">
        <v>44555</v>
      </c>
      <c r="G184" s="17" t="s">
        <v>110</v>
      </c>
      <c r="H184" s="75">
        <v>45260</v>
      </c>
      <c r="I184" s="75">
        <v>45443</v>
      </c>
      <c r="J184" s="17"/>
      <c r="K184" s="17"/>
      <c r="L184" s="17" t="e">
        <f t="shared" si="60"/>
        <v>#NUM!</v>
      </c>
      <c r="M184" s="17" t="e">
        <f t="shared" si="61"/>
        <v>#NUM!</v>
      </c>
      <c r="N184" s="21">
        <f t="shared" si="62"/>
        <v>-122.06849315068493</v>
      </c>
      <c r="O184" s="17"/>
      <c r="P184" s="17"/>
      <c r="Q184" s="17"/>
      <c r="R184" s="17"/>
      <c r="S184" s="17"/>
      <c r="T184" s="17"/>
      <c r="U184" s="17"/>
      <c r="V184" s="17"/>
      <c r="W184" s="17"/>
      <c r="X184" s="17"/>
      <c r="Y184" s="17"/>
      <c r="Z184" s="17"/>
      <c r="AA184" s="17"/>
      <c r="AB184" s="17"/>
      <c r="AC184" s="17"/>
      <c r="AD184" s="17"/>
      <c r="AE184" s="17"/>
      <c r="AF184" s="17"/>
      <c r="AG184" s="17"/>
      <c r="AH184" s="40">
        <v>45274</v>
      </c>
      <c r="AI184" s="17" t="str">
        <f t="shared" si="63"/>
        <v>1Y11M19D</v>
      </c>
      <c r="AJ184" s="17" t="str">
        <f t="shared" si="64"/>
        <v>1Y11M13D</v>
      </c>
      <c r="AK184" s="21">
        <f t="shared" si="65"/>
        <v>1.9698630136986301</v>
      </c>
      <c r="AL184" s="17">
        <v>1</v>
      </c>
      <c r="AM184" s="17">
        <v>1</v>
      </c>
      <c r="AN184" s="17">
        <v>2</v>
      </c>
      <c r="AO184" s="17">
        <v>1</v>
      </c>
      <c r="AP184" s="17">
        <v>3</v>
      </c>
      <c r="AQ184" s="17">
        <v>3</v>
      </c>
      <c r="AR184" s="17"/>
      <c r="AS184" s="40">
        <v>45261</v>
      </c>
      <c r="AT184" s="17" t="str">
        <f t="shared" si="66"/>
        <v>1Y11M6D</v>
      </c>
      <c r="AU184" s="17" t="str">
        <f t="shared" si="67"/>
        <v>1Y11M0D</v>
      </c>
      <c r="AV184" s="21">
        <f t="shared" si="68"/>
        <v>1.9342465753424658</v>
      </c>
      <c r="AW184" s="17">
        <v>7</v>
      </c>
      <c r="AX184" s="40">
        <v>45270</v>
      </c>
      <c r="AY184" s="17" t="str">
        <f t="shared" si="69"/>
        <v>1Y11M15D</v>
      </c>
      <c r="AZ184" s="21" t="str">
        <f t="shared" si="70"/>
        <v>1Y11M9D</v>
      </c>
      <c r="BA184" s="21">
        <f t="shared" si="71"/>
        <v>1.9589041095890412</v>
      </c>
      <c r="BB184" s="17">
        <v>7</v>
      </c>
      <c r="BC184" s="17"/>
      <c r="BD184" s="17" t="e">
        <f t="shared" si="72"/>
        <v>#NUM!</v>
      </c>
      <c r="BE184" s="21" t="e">
        <f t="shared" si="73"/>
        <v>#NUM!</v>
      </c>
      <c r="BF184" s="21">
        <f t="shared" si="74"/>
        <v>-122.06849315068493</v>
      </c>
      <c r="BG184" s="17"/>
      <c r="BH184" s="17">
        <v>0</v>
      </c>
    </row>
    <row r="185" spans="1:60" s="193" customFormat="1" ht="16">
      <c r="A185" s="25" t="s">
        <v>756</v>
      </c>
      <c r="B185" s="25">
        <v>22109501</v>
      </c>
      <c r="C185" s="88" t="s">
        <v>757</v>
      </c>
      <c r="D185" s="32">
        <v>44523</v>
      </c>
      <c r="E185" s="32">
        <v>44581</v>
      </c>
      <c r="F185" s="32">
        <v>44581</v>
      </c>
      <c r="G185" s="25" t="s">
        <v>119</v>
      </c>
      <c r="H185" s="86">
        <v>45280</v>
      </c>
      <c r="I185" s="86">
        <v>45463</v>
      </c>
      <c r="J185" s="25"/>
      <c r="K185" s="25"/>
      <c r="L185" s="25" t="e">
        <f t="shared" si="60"/>
        <v>#NUM!</v>
      </c>
      <c r="M185" s="25" t="e">
        <f t="shared" si="61"/>
        <v>#NUM!</v>
      </c>
      <c r="N185" s="64">
        <f t="shared" si="62"/>
        <v>-122.13972602739726</v>
      </c>
      <c r="O185" s="25"/>
      <c r="P185" s="25"/>
      <c r="Q185" s="25"/>
      <c r="R185" s="25"/>
      <c r="S185" s="25"/>
      <c r="T185" s="25"/>
      <c r="U185" s="25"/>
      <c r="V185" s="25"/>
      <c r="W185" s="25"/>
      <c r="X185" s="25"/>
      <c r="Y185" s="25"/>
      <c r="Z185" s="25"/>
      <c r="AA185" s="25"/>
      <c r="AB185" s="25"/>
      <c r="AC185" s="25"/>
      <c r="AD185" s="25"/>
      <c r="AE185" s="25"/>
      <c r="AF185" s="25"/>
      <c r="AG185" s="25"/>
      <c r="AH185" s="25"/>
      <c r="AI185" s="25" t="e">
        <f t="shared" si="63"/>
        <v>#NUM!</v>
      </c>
      <c r="AJ185" s="25" t="e">
        <f t="shared" si="64"/>
        <v>#NUM!</v>
      </c>
      <c r="AK185" s="64">
        <f t="shared" si="65"/>
        <v>-122.13972602739726</v>
      </c>
      <c r="AL185" s="25"/>
      <c r="AM185" s="25"/>
      <c r="AN185" s="25"/>
      <c r="AO185" s="25"/>
      <c r="AP185" s="25"/>
      <c r="AQ185" s="25"/>
      <c r="AR185" s="25"/>
      <c r="AS185" s="25"/>
      <c r="AT185" s="25" t="e">
        <f t="shared" si="66"/>
        <v>#NUM!</v>
      </c>
      <c r="AU185" s="25" t="e">
        <f t="shared" si="67"/>
        <v>#NUM!</v>
      </c>
      <c r="AV185" s="64">
        <f t="shared" si="68"/>
        <v>-122.13972602739726</v>
      </c>
      <c r="AW185" s="25"/>
      <c r="AX185" s="25"/>
      <c r="AY185" s="25" t="e">
        <f t="shared" si="69"/>
        <v>#NUM!</v>
      </c>
      <c r="AZ185" s="64" t="e">
        <f t="shared" si="70"/>
        <v>#NUM!</v>
      </c>
      <c r="BA185" s="64">
        <f t="shared" si="71"/>
        <v>-122.13972602739726</v>
      </c>
      <c r="BB185" s="25"/>
      <c r="BC185" s="25"/>
      <c r="BD185" s="25" t="e">
        <f t="shared" si="72"/>
        <v>#NUM!</v>
      </c>
      <c r="BE185" s="64" t="e">
        <f t="shared" si="73"/>
        <v>#NUM!</v>
      </c>
      <c r="BF185" s="64">
        <f t="shared" si="74"/>
        <v>-122.13972602739726</v>
      </c>
      <c r="BG185" s="25"/>
      <c r="BH185" s="25">
        <v>1</v>
      </c>
    </row>
    <row r="186" spans="1:60" s="193" customFormat="1" ht="16">
      <c r="A186" s="25" t="s">
        <v>759</v>
      </c>
      <c r="B186" s="25">
        <v>22109705</v>
      </c>
      <c r="C186" s="88" t="s">
        <v>760</v>
      </c>
      <c r="D186" s="32">
        <v>44545</v>
      </c>
      <c r="E186" s="32">
        <v>44558</v>
      </c>
      <c r="F186" s="32">
        <v>44545</v>
      </c>
      <c r="G186" s="25" t="s">
        <v>697</v>
      </c>
      <c r="H186" s="86">
        <v>44893</v>
      </c>
      <c r="I186" s="86">
        <v>45074</v>
      </c>
      <c r="J186" s="25"/>
      <c r="K186" s="25"/>
      <c r="L186" s="25" t="e">
        <f t="shared" si="60"/>
        <v>#NUM!</v>
      </c>
      <c r="M186" s="25" t="e">
        <f t="shared" si="61"/>
        <v>#NUM!</v>
      </c>
      <c r="N186" s="64">
        <f t="shared" si="62"/>
        <v>-122.04109589041096</v>
      </c>
      <c r="O186" s="25"/>
      <c r="P186" s="25"/>
      <c r="Q186" s="25"/>
      <c r="R186" s="25"/>
      <c r="S186" s="25"/>
      <c r="T186" s="25"/>
      <c r="U186" s="25"/>
      <c r="V186" s="25"/>
      <c r="W186" s="25"/>
      <c r="X186" s="25"/>
      <c r="Y186" s="25"/>
      <c r="Z186" s="25"/>
      <c r="AA186" s="25"/>
      <c r="AB186" s="25"/>
      <c r="AC186" s="25"/>
      <c r="AD186" s="25"/>
      <c r="AE186" s="25"/>
      <c r="AF186" s="25"/>
      <c r="AG186" s="25"/>
      <c r="AH186" s="25"/>
      <c r="AI186" s="25" t="e">
        <f t="shared" si="63"/>
        <v>#NUM!</v>
      </c>
      <c r="AJ186" s="25" t="e">
        <f t="shared" si="64"/>
        <v>#NUM!</v>
      </c>
      <c r="AK186" s="64">
        <f t="shared" si="65"/>
        <v>-122.04109589041096</v>
      </c>
      <c r="AL186" s="25"/>
      <c r="AM186" s="25"/>
      <c r="AN186" s="25"/>
      <c r="AO186" s="25"/>
      <c r="AP186" s="25"/>
      <c r="AQ186" s="25"/>
      <c r="AR186" s="25"/>
      <c r="AS186" s="25"/>
      <c r="AT186" s="25" t="e">
        <f t="shared" si="66"/>
        <v>#NUM!</v>
      </c>
      <c r="AU186" s="25" t="e">
        <f t="shared" si="67"/>
        <v>#NUM!</v>
      </c>
      <c r="AV186" s="64">
        <f t="shared" si="68"/>
        <v>-122.04109589041096</v>
      </c>
      <c r="AW186" s="25"/>
      <c r="AX186" s="25"/>
      <c r="AY186" s="25" t="e">
        <f t="shared" si="69"/>
        <v>#NUM!</v>
      </c>
      <c r="AZ186" s="64" t="e">
        <f t="shared" si="70"/>
        <v>#NUM!</v>
      </c>
      <c r="BA186" s="64">
        <f t="shared" si="71"/>
        <v>-122.04109589041096</v>
      </c>
      <c r="BB186" s="25"/>
      <c r="BC186" s="25"/>
      <c r="BD186" s="25" t="e">
        <f t="shared" si="72"/>
        <v>#NUM!</v>
      </c>
      <c r="BE186" s="64" t="e">
        <f t="shared" si="73"/>
        <v>#NUM!</v>
      </c>
      <c r="BF186" s="64">
        <f t="shared" si="74"/>
        <v>-122.04109589041096</v>
      </c>
      <c r="BG186" s="25"/>
      <c r="BH186" s="25">
        <v>1</v>
      </c>
    </row>
    <row r="187" spans="1:60" s="203" customFormat="1" ht="16">
      <c r="A187" s="60" t="s">
        <v>762</v>
      </c>
      <c r="B187" s="60">
        <v>22109441</v>
      </c>
      <c r="C187" s="89" t="s">
        <v>763</v>
      </c>
      <c r="D187" s="90">
        <v>44517</v>
      </c>
      <c r="E187" s="90">
        <v>44604</v>
      </c>
      <c r="F187" s="90">
        <v>44604</v>
      </c>
      <c r="G187" s="60" t="s">
        <v>144</v>
      </c>
      <c r="H187" s="91">
        <v>45303</v>
      </c>
      <c r="I187" s="91">
        <v>45485</v>
      </c>
      <c r="J187" s="60"/>
      <c r="K187" s="60"/>
      <c r="L187" s="60" t="e">
        <f t="shared" si="60"/>
        <v>#NUM!</v>
      </c>
      <c r="M187" s="60" t="e">
        <f t="shared" si="61"/>
        <v>#NUM!</v>
      </c>
      <c r="N187" s="73">
        <f t="shared" si="62"/>
        <v>-122.2027397260274</v>
      </c>
      <c r="O187" s="60"/>
      <c r="P187" s="60"/>
      <c r="Q187" s="60"/>
      <c r="R187" s="60"/>
      <c r="S187" s="60"/>
      <c r="T187" s="60"/>
      <c r="U187" s="60"/>
      <c r="V187" s="60"/>
      <c r="W187" s="60"/>
      <c r="X187" s="60"/>
      <c r="Y187" s="60"/>
      <c r="Z187" s="60"/>
      <c r="AA187" s="60"/>
      <c r="AB187" s="60"/>
      <c r="AC187" s="60"/>
      <c r="AD187" s="60"/>
      <c r="AE187" s="60"/>
      <c r="AF187" s="60"/>
      <c r="AG187" s="60"/>
      <c r="AH187" s="60"/>
      <c r="AI187" s="60" t="e">
        <f t="shared" si="63"/>
        <v>#NUM!</v>
      </c>
      <c r="AJ187" s="60" t="e">
        <f t="shared" si="64"/>
        <v>#NUM!</v>
      </c>
      <c r="AK187" s="73">
        <f t="shared" si="65"/>
        <v>-122.2027397260274</v>
      </c>
      <c r="AL187" s="60"/>
      <c r="AM187" s="60"/>
      <c r="AN187" s="60"/>
      <c r="AO187" s="60"/>
      <c r="AP187" s="60"/>
      <c r="AQ187" s="60"/>
      <c r="AR187" s="60"/>
      <c r="AS187" s="60"/>
      <c r="AT187" s="60" t="e">
        <f t="shared" si="66"/>
        <v>#NUM!</v>
      </c>
      <c r="AU187" s="60" t="e">
        <f t="shared" si="67"/>
        <v>#NUM!</v>
      </c>
      <c r="AV187" s="73">
        <f t="shared" si="68"/>
        <v>-122.2027397260274</v>
      </c>
      <c r="AW187" s="60"/>
      <c r="AX187" s="60"/>
      <c r="AY187" s="60" t="e">
        <f t="shared" si="69"/>
        <v>#NUM!</v>
      </c>
      <c r="AZ187" s="73" t="e">
        <f t="shared" si="70"/>
        <v>#NUM!</v>
      </c>
      <c r="BA187" s="73">
        <f t="shared" si="71"/>
        <v>-122.2027397260274</v>
      </c>
      <c r="BB187" s="60"/>
      <c r="BC187" s="60"/>
      <c r="BD187" s="60" t="e">
        <f t="shared" si="72"/>
        <v>#NUM!</v>
      </c>
      <c r="BE187" s="73" t="e">
        <f t="shared" si="73"/>
        <v>#NUM!</v>
      </c>
      <c r="BF187" s="73">
        <f t="shared" si="74"/>
        <v>-122.2027397260274</v>
      </c>
      <c r="BG187" s="60"/>
      <c r="BH187" s="60">
        <v>1</v>
      </c>
    </row>
    <row r="188" spans="1:60" s="189" customFormat="1" ht="16">
      <c r="A188" s="99" t="s">
        <v>766</v>
      </c>
      <c r="B188" s="99">
        <v>22108398</v>
      </c>
      <c r="C188" s="105" t="s">
        <v>767</v>
      </c>
      <c r="D188" s="95">
        <v>44398</v>
      </c>
      <c r="E188" s="95">
        <v>44486</v>
      </c>
      <c r="F188" s="95">
        <v>44486</v>
      </c>
      <c r="G188" s="99" t="s">
        <v>461</v>
      </c>
      <c r="H188" s="101">
        <v>45186</v>
      </c>
      <c r="I188" s="101">
        <v>45368</v>
      </c>
      <c r="J188" s="95">
        <v>45222</v>
      </c>
      <c r="K188" s="95">
        <v>45222</v>
      </c>
      <c r="L188" s="99" t="str">
        <f t="shared" si="60"/>
        <v>2Y3M2D</v>
      </c>
      <c r="M188" s="99" t="str">
        <f t="shared" si="61"/>
        <v>2Y0M6D</v>
      </c>
      <c r="N188" s="102">
        <f t="shared" si="62"/>
        <v>2.0164383561643837</v>
      </c>
      <c r="O188" s="99">
        <v>4</v>
      </c>
      <c r="P188" s="99">
        <v>3</v>
      </c>
      <c r="Q188" s="99"/>
      <c r="R188" s="99">
        <v>3</v>
      </c>
      <c r="S188" s="99">
        <v>1</v>
      </c>
      <c r="T188" s="99">
        <v>1</v>
      </c>
      <c r="U188" s="99" t="s">
        <v>1666</v>
      </c>
      <c r="V188" s="99" t="s">
        <v>1661</v>
      </c>
      <c r="W188" s="99">
        <v>2</v>
      </c>
      <c r="X188" s="99">
        <v>1</v>
      </c>
      <c r="Y188" s="99">
        <v>1</v>
      </c>
      <c r="Z188" s="99">
        <v>1</v>
      </c>
      <c r="AA188" s="99">
        <v>2</v>
      </c>
      <c r="AB188" s="99">
        <v>1</v>
      </c>
      <c r="AC188" s="99"/>
      <c r="AD188" s="99">
        <v>1</v>
      </c>
      <c r="AE188" s="99">
        <v>1</v>
      </c>
      <c r="AF188" s="99">
        <v>1</v>
      </c>
      <c r="AG188" s="99">
        <v>1</v>
      </c>
      <c r="AH188" s="95">
        <v>45222</v>
      </c>
      <c r="AI188" s="99" t="str">
        <f t="shared" si="63"/>
        <v>2Y3M2D</v>
      </c>
      <c r="AJ188" s="99" t="str">
        <f t="shared" si="64"/>
        <v>2Y0M6D</v>
      </c>
      <c r="AK188" s="102">
        <f t="shared" si="65"/>
        <v>2.0164383561643837</v>
      </c>
      <c r="AL188" s="99">
        <v>1</v>
      </c>
      <c r="AM188" s="99">
        <v>1</v>
      </c>
      <c r="AN188" s="99">
        <v>2</v>
      </c>
      <c r="AO188" s="99">
        <v>1</v>
      </c>
      <c r="AP188" s="99">
        <v>3</v>
      </c>
      <c r="AQ188" s="99">
        <v>3</v>
      </c>
      <c r="AR188" s="99"/>
      <c r="AS188" s="95">
        <v>45221</v>
      </c>
      <c r="AT188" s="99" t="str">
        <f t="shared" si="66"/>
        <v>2Y3M1D</v>
      </c>
      <c r="AU188" s="99" t="str">
        <f t="shared" si="67"/>
        <v>2Y0M5D</v>
      </c>
      <c r="AV188" s="102">
        <f t="shared" si="68"/>
        <v>2.0136986301369864</v>
      </c>
      <c r="AW188" s="99">
        <v>6</v>
      </c>
      <c r="AX188" s="95">
        <v>45222</v>
      </c>
      <c r="AY188" s="99" t="str">
        <f t="shared" si="69"/>
        <v>2Y3M2D</v>
      </c>
      <c r="AZ188" s="102" t="str">
        <f t="shared" si="70"/>
        <v>2Y0M6D</v>
      </c>
      <c r="BA188" s="102">
        <f t="shared" si="71"/>
        <v>2.0164383561643837</v>
      </c>
      <c r="BB188" s="99">
        <v>6</v>
      </c>
      <c r="BC188" s="95">
        <v>45222</v>
      </c>
      <c r="BD188" s="99" t="str">
        <f t="shared" si="72"/>
        <v>2Y3M2D</v>
      </c>
      <c r="BE188" s="102" t="str">
        <f t="shared" si="73"/>
        <v>2Y0M6D</v>
      </c>
      <c r="BF188" s="102">
        <f t="shared" si="74"/>
        <v>2.0164383561643837</v>
      </c>
      <c r="BG188" s="99">
        <v>2</v>
      </c>
      <c r="BH188" s="99">
        <v>1</v>
      </c>
    </row>
    <row r="189" spans="1:60" s="110" customFormat="1" ht="16">
      <c r="A189" s="17" t="s">
        <v>770</v>
      </c>
      <c r="B189" s="17">
        <v>22109053</v>
      </c>
      <c r="C189" s="22" t="s">
        <v>771</v>
      </c>
      <c r="D189" s="40">
        <v>44476</v>
      </c>
      <c r="E189" s="40">
        <v>44568</v>
      </c>
      <c r="F189" s="40">
        <v>44568</v>
      </c>
      <c r="G189" s="17" t="s">
        <v>165</v>
      </c>
      <c r="H189" s="75">
        <v>45267</v>
      </c>
      <c r="I189" s="75">
        <v>45450</v>
      </c>
      <c r="J189" s="17"/>
      <c r="K189" s="17"/>
      <c r="L189" s="17" t="e">
        <f t="shared" si="60"/>
        <v>#NUM!</v>
      </c>
      <c r="M189" s="17" t="e">
        <f t="shared" si="61"/>
        <v>#NUM!</v>
      </c>
      <c r="N189" s="21">
        <f t="shared" si="62"/>
        <v>-122.1041095890411</v>
      </c>
      <c r="O189" s="17"/>
      <c r="P189" s="17"/>
      <c r="Q189" s="17"/>
      <c r="R189" s="17"/>
      <c r="S189" s="17"/>
      <c r="T189" s="17"/>
      <c r="U189" s="17"/>
      <c r="V189" s="17"/>
      <c r="W189" s="17"/>
      <c r="X189" s="17"/>
      <c r="Y189" s="17"/>
      <c r="Z189" s="17"/>
      <c r="AA189" s="17"/>
      <c r="AB189" s="17"/>
      <c r="AC189" s="17"/>
      <c r="AD189" s="17"/>
      <c r="AE189" s="17"/>
      <c r="AF189" s="17"/>
      <c r="AG189" s="17"/>
      <c r="AH189" s="17"/>
      <c r="AI189" s="17" t="e">
        <f t="shared" si="63"/>
        <v>#NUM!</v>
      </c>
      <c r="AJ189" s="17" t="e">
        <f t="shared" si="64"/>
        <v>#NUM!</v>
      </c>
      <c r="AK189" s="21">
        <f t="shared" si="65"/>
        <v>-122.1041095890411</v>
      </c>
      <c r="AL189" s="17"/>
      <c r="AM189" s="17"/>
      <c r="AN189" s="17"/>
      <c r="AO189" s="17"/>
      <c r="AP189" s="17"/>
      <c r="AQ189" s="17"/>
      <c r="AR189" s="17"/>
      <c r="AS189" s="40">
        <v>45309</v>
      </c>
      <c r="AT189" s="17" t="str">
        <f t="shared" si="66"/>
        <v>2Y3M11D</v>
      </c>
      <c r="AU189" s="17" t="str">
        <f t="shared" si="67"/>
        <v>2Y0M11D</v>
      </c>
      <c r="AV189" s="21">
        <f t="shared" si="68"/>
        <v>2.0301369863013701</v>
      </c>
      <c r="AW189" s="17">
        <v>7</v>
      </c>
      <c r="AX189" s="17"/>
      <c r="AY189" s="17" t="e">
        <f t="shared" si="69"/>
        <v>#NUM!</v>
      </c>
      <c r="AZ189" s="21" t="e">
        <f t="shared" si="70"/>
        <v>#NUM!</v>
      </c>
      <c r="BA189" s="21">
        <f t="shared" si="71"/>
        <v>-122.1041095890411</v>
      </c>
      <c r="BB189" s="17"/>
      <c r="BC189" s="40">
        <v>45309</v>
      </c>
      <c r="BD189" s="17" t="str">
        <f t="shared" si="72"/>
        <v>2Y3M11D</v>
      </c>
      <c r="BE189" s="21" t="str">
        <f t="shared" si="73"/>
        <v>2Y0M11D</v>
      </c>
      <c r="BF189" s="21">
        <f t="shared" si="74"/>
        <v>2.0301369863013701</v>
      </c>
      <c r="BG189" s="17">
        <v>2</v>
      </c>
      <c r="BH189" s="17">
        <v>1</v>
      </c>
    </row>
    <row r="190" spans="1:60" s="189" customFormat="1" ht="16">
      <c r="A190" s="99" t="s">
        <v>773</v>
      </c>
      <c r="B190" s="99">
        <v>22108554</v>
      </c>
      <c r="C190" s="105" t="s">
        <v>774</v>
      </c>
      <c r="D190" s="95">
        <v>44416</v>
      </c>
      <c r="E190" s="95">
        <v>44426</v>
      </c>
      <c r="F190" s="95">
        <v>44416</v>
      </c>
      <c r="G190" s="99" t="s">
        <v>391</v>
      </c>
      <c r="H190" s="101">
        <v>45125</v>
      </c>
      <c r="I190" s="101">
        <v>45309</v>
      </c>
      <c r="J190" s="95">
        <v>45262</v>
      </c>
      <c r="K190" s="95">
        <v>45262</v>
      </c>
      <c r="L190" s="99" t="str">
        <f t="shared" ref="L190:L207" si="75">DATEDIF(D190,K190,"y")&amp;"Y"&amp;DATEDIF(D190,K190,"ym")&amp;"M"&amp;DATEDIF(D190,K190,"md")&amp;"D"</f>
        <v>2Y3M24D</v>
      </c>
      <c r="M190" s="99" t="str">
        <f t="shared" ref="M190:M207" si="76">DATEDIF(E190,K190,"y")&amp;"Y"&amp;DATEDIF(E190,K190,"ym")&amp;"M"&amp;DATEDIF(E190,K190,"md")&amp;"D"</f>
        <v>2Y3M14D</v>
      </c>
      <c r="N190" s="102">
        <f t="shared" ref="N190:N207" si="77">(K190-F190)/365</f>
        <v>2.3178082191780822</v>
      </c>
      <c r="O190" s="99">
        <v>4</v>
      </c>
      <c r="P190" s="99">
        <v>3</v>
      </c>
      <c r="Q190" s="99"/>
      <c r="R190" s="99">
        <v>3</v>
      </c>
      <c r="S190" s="99">
        <v>1</v>
      </c>
      <c r="T190" s="99">
        <v>1</v>
      </c>
      <c r="U190" s="99"/>
      <c r="V190" s="99" t="s">
        <v>1661</v>
      </c>
      <c r="W190" s="99">
        <v>2</v>
      </c>
      <c r="X190" s="99">
        <v>1</v>
      </c>
      <c r="Y190" s="99">
        <v>1</v>
      </c>
      <c r="Z190" s="99">
        <v>1</v>
      </c>
      <c r="AA190" s="99">
        <v>2</v>
      </c>
      <c r="AB190" s="99"/>
      <c r="AC190" s="99" t="s">
        <v>2566</v>
      </c>
      <c r="AD190" s="99">
        <v>2</v>
      </c>
      <c r="AE190" s="99">
        <v>1</v>
      </c>
      <c r="AF190" s="99">
        <v>2</v>
      </c>
      <c r="AG190" s="99">
        <v>1</v>
      </c>
      <c r="AH190" s="95">
        <v>45262</v>
      </c>
      <c r="AI190" s="99" t="str">
        <f t="shared" ref="AI190:AI207" si="78">DATEDIF(D190,AH190,"y")&amp;"Y"&amp;DATEDIF(D190,AH190,"ym")&amp;"M"&amp;DATEDIF(D190,AH190,"md")&amp;"D"</f>
        <v>2Y3M24D</v>
      </c>
      <c r="AJ190" s="99" t="str">
        <f t="shared" ref="AJ190:AJ207" si="79">DATEDIF(E190,AH190,"y")&amp;"Y"&amp;DATEDIF(E190,AH190,"ym")&amp;"M"&amp;DATEDIF(E190,AH190,"md")&amp;"D"</f>
        <v>2Y3M14D</v>
      </c>
      <c r="AK190" s="102">
        <f t="shared" ref="AK190:AK207" si="80">(AH190-F190)/365</f>
        <v>2.3178082191780822</v>
      </c>
      <c r="AL190" s="99">
        <v>1</v>
      </c>
      <c r="AM190" s="99">
        <v>1</v>
      </c>
      <c r="AN190" s="99">
        <v>2</v>
      </c>
      <c r="AO190" s="99">
        <v>1</v>
      </c>
      <c r="AP190" s="99">
        <v>3</v>
      </c>
      <c r="AQ190" s="99">
        <v>2</v>
      </c>
      <c r="AR190" s="99"/>
      <c r="AS190" s="95">
        <v>45257</v>
      </c>
      <c r="AT190" s="99" t="str">
        <f t="shared" ref="AT190:AT207" si="81">DATEDIF(D190,AS190,"y")&amp;"Y"&amp;DATEDIF(D190,AS190,"ym")&amp;"M"&amp;DATEDIF(D190,AS190,"md")&amp;"D"</f>
        <v>2Y3M19D</v>
      </c>
      <c r="AU190" s="99" t="str">
        <f t="shared" ref="AU190:AU207" si="82">DATEDIF(E190,AS190,"y")&amp;"Y"&amp;DATEDIF(E190,AS190,"ym")&amp;"M"&amp;DATEDIF(E190,AS190,"md")&amp;"D"</f>
        <v>2Y3M9D</v>
      </c>
      <c r="AV190" s="102">
        <f t="shared" ref="AV190:AV207" si="83">(AS190-F190)/365</f>
        <v>2.3041095890410959</v>
      </c>
      <c r="AW190" s="99">
        <v>7</v>
      </c>
      <c r="AX190" s="95">
        <v>45259</v>
      </c>
      <c r="AY190" s="99" t="str">
        <f t="shared" ref="AY190:AY207" si="84">DATEDIF(D190,AX190,"y")&amp;"Y"&amp;DATEDIF(D190,AX190,"ym")&amp;"M"&amp;DATEDIF(D190,AX190,"md")&amp;"D"</f>
        <v>2Y3M21D</v>
      </c>
      <c r="AZ190" s="102" t="str">
        <f t="shared" ref="AZ190:AZ207" si="85">DATEDIF(E190,AX190,"y")&amp;"Y"&amp;DATEDIF(E190,AX190,"ym")&amp;"M"&amp;DATEDIF(E190,AX190,"md")&amp;"D"</f>
        <v>2Y3M11D</v>
      </c>
      <c r="BA190" s="102">
        <f t="shared" ref="BA190:BA207" si="86">(AX190-F190)/365</f>
        <v>2.3095890410958906</v>
      </c>
      <c r="BB190" s="99">
        <v>7</v>
      </c>
      <c r="BC190" s="95">
        <v>45262</v>
      </c>
      <c r="BD190" s="99" t="str">
        <f t="shared" ref="BD190:BD207" si="87">DATEDIF(D190,BC190,"y")&amp;"Y"&amp;DATEDIF(D190,BC190,"ym")&amp;"M"&amp;DATEDIF(D190,BC190,"md")&amp;"D"</f>
        <v>2Y3M24D</v>
      </c>
      <c r="BE190" s="102" t="str">
        <f t="shared" ref="BE190:BE207" si="88">DATEDIF(E190,BC190,"y")&amp;"Y"&amp;DATEDIF(E190,BC190,"ym")&amp;"M"&amp;DATEDIF(E190,BC190,"md")&amp;"D"</f>
        <v>2Y3M14D</v>
      </c>
      <c r="BF190" s="102">
        <f t="shared" ref="BF190:BF207" si="89">(BC190-F190)/365</f>
        <v>2.3178082191780822</v>
      </c>
      <c r="BG190" s="99">
        <v>2</v>
      </c>
      <c r="BH190" s="99">
        <v>1</v>
      </c>
    </row>
    <row r="191" spans="1:60" s="189" customFormat="1" ht="16">
      <c r="A191" s="99" t="s">
        <v>776</v>
      </c>
      <c r="B191" s="99">
        <v>22108696</v>
      </c>
      <c r="C191" s="105" t="s">
        <v>777</v>
      </c>
      <c r="D191" s="95">
        <v>44433</v>
      </c>
      <c r="E191" s="95">
        <v>44448</v>
      </c>
      <c r="F191" s="95">
        <v>44433</v>
      </c>
      <c r="G191" s="99" t="s">
        <v>750</v>
      </c>
      <c r="H191" s="101">
        <v>45147</v>
      </c>
      <c r="I191" s="101">
        <v>45331</v>
      </c>
      <c r="J191" s="95">
        <v>45196</v>
      </c>
      <c r="K191" s="95">
        <v>45196</v>
      </c>
      <c r="L191" s="99" t="str">
        <f t="shared" si="75"/>
        <v>2Y1M2D</v>
      </c>
      <c r="M191" s="99" t="str">
        <f t="shared" si="76"/>
        <v>2Y0M18D</v>
      </c>
      <c r="N191" s="102">
        <f t="shared" si="77"/>
        <v>2.0904109589041098</v>
      </c>
      <c r="O191" s="99">
        <v>4</v>
      </c>
      <c r="P191" s="99">
        <v>3</v>
      </c>
      <c r="Q191" s="99"/>
      <c r="R191" s="99">
        <v>3</v>
      </c>
      <c r="S191" s="99">
        <v>1</v>
      </c>
      <c r="T191" s="99"/>
      <c r="U191" s="99">
        <v>1.25</v>
      </c>
      <c r="V191" s="99" t="s">
        <v>1661</v>
      </c>
      <c r="W191" s="99">
        <v>2</v>
      </c>
      <c r="X191" s="99">
        <v>1</v>
      </c>
      <c r="Y191" s="99">
        <v>1</v>
      </c>
      <c r="Z191" s="99">
        <v>1</v>
      </c>
      <c r="AA191" s="99">
        <v>2</v>
      </c>
      <c r="AB191" s="99">
        <v>1</v>
      </c>
      <c r="AC191" s="99"/>
      <c r="AD191" s="99">
        <v>1</v>
      </c>
      <c r="AE191" s="99">
        <v>1</v>
      </c>
      <c r="AF191" s="99">
        <v>1</v>
      </c>
      <c r="AG191" s="99">
        <v>1</v>
      </c>
      <c r="AH191" s="95">
        <v>45196</v>
      </c>
      <c r="AI191" s="99" t="str">
        <f t="shared" si="78"/>
        <v>2Y1M2D</v>
      </c>
      <c r="AJ191" s="99" t="str">
        <f t="shared" si="79"/>
        <v>2Y0M18D</v>
      </c>
      <c r="AK191" s="102">
        <f t="shared" si="80"/>
        <v>2.0904109589041098</v>
      </c>
      <c r="AL191" s="99">
        <v>1</v>
      </c>
      <c r="AM191" s="99">
        <v>1</v>
      </c>
      <c r="AN191" s="99">
        <v>2</v>
      </c>
      <c r="AO191" s="99">
        <v>1</v>
      </c>
      <c r="AP191" s="99">
        <v>3</v>
      </c>
      <c r="AQ191" s="99">
        <v>3</v>
      </c>
      <c r="AR191" s="99"/>
      <c r="AS191" s="95">
        <v>45195</v>
      </c>
      <c r="AT191" s="99" t="str">
        <f t="shared" si="81"/>
        <v>2Y1M1D</v>
      </c>
      <c r="AU191" s="99" t="str">
        <f t="shared" si="82"/>
        <v>2Y0M17D</v>
      </c>
      <c r="AV191" s="102">
        <f t="shared" si="83"/>
        <v>2.0876712328767124</v>
      </c>
      <c r="AW191" s="99">
        <v>5</v>
      </c>
      <c r="AX191" s="95">
        <v>45196</v>
      </c>
      <c r="AY191" s="99" t="str">
        <f t="shared" si="84"/>
        <v>2Y1M2D</v>
      </c>
      <c r="AZ191" s="102" t="str">
        <f t="shared" si="85"/>
        <v>2Y0M18D</v>
      </c>
      <c r="BA191" s="102">
        <f t="shared" si="86"/>
        <v>2.0904109589041098</v>
      </c>
      <c r="BB191" s="99">
        <v>5</v>
      </c>
      <c r="BC191" s="99"/>
      <c r="BD191" s="99" t="e">
        <f t="shared" si="87"/>
        <v>#NUM!</v>
      </c>
      <c r="BE191" s="102" t="e">
        <f t="shared" si="88"/>
        <v>#NUM!</v>
      </c>
      <c r="BF191" s="102">
        <f t="shared" si="89"/>
        <v>-121.73424657534247</v>
      </c>
      <c r="BG191" s="99"/>
      <c r="BH191" s="99">
        <v>0</v>
      </c>
    </row>
    <row r="192" spans="1:60" s="193" customFormat="1" ht="16">
      <c r="A192" s="25" t="s">
        <v>780</v>
      </c>
      <c r="B192" s="25">
        <v>22109754</v>
      </c>
      <c r="C192" s="88" t="s">
        <v>781</v>
      </c>
      <c r="D192" s="32">
        <v>44552</v>
      </c>
      <c r="E192" s="32">
        <v>44564</v>
      </c>
      <c r="F192" s="32">
        <v>44552</v>
      </c>
      <c r="G192" s="25" t="s">
        <v>75</v>
      </c>
      <c r="H192" s="86">
        <v>45263</v>
      </c>
      <c r="I192" s="86">
        <v>45446</v>
      </c>
      <c r="J192" s="25"/>
      <c r="K192" s="25"/>
      <c r="L192" s="25" t="e">
        <f t="shared" si="75"/>
        <v>#NUM!</v>
      </c>
      <c r="M192" s="25" t="e">
        <f t="shared" si="76"/>
        <v>#NUM!</v>
      </c>
      <c r="N192" s="64">
        <f t="shared" si="77"/>
        <v>-122.06027397260274</v>
      </c>
      <c r="O192" s="25"/>
      <c r="P192" s="25"/>
      <c r="Q192" s="25"/>
      <c r="R192" s="25"/>
      <c r="S192" s="25"/>
      <c r="T192" s="25"/>
      <c r="U192" s="25"/>
      <c r="V192" s="25"/>
      <c r="W192" s="25"/>
      <c r="X192" s="25"/>
      <c r="Y192" s="25"/>
      <c r="Z192" s="25"/>
      <c r="AA192" s="25"/>
      <c r="AB192" s="25"/>
      <c r="AC192" s="25"/>
      <c r="AD192" s="25"/>
      <c r="AE192" s="25"/>
      <c r="AF192" s="25"/>
      <c r="AG192" s="25"/>
      <c r="AH192" s="25"/>
      <c r="AI192" s="25" t="e">
        <f t="shared" si="78"/>
        <v>#NUM!</v>
      </c>
      <c r="AJ192" s="25" t="e">
        <f t="shared" si="79"/>
        <v>#NUM!</v>
      </c>
      <c r="AK192" s="64">
        <f t="shared" si="80"/>
        <v>-122.06027397260274</v>
      </c>
      <c r="AL192" s="25"/>
      <c r="AM192" s="25"/>
      <c r="AN192" s="25"/>
      <c r="AO192" s="25"/>
      <c r="AP192" s="25"/>
      <c r="AQ192" s="25"/>
      <c r="AR192" s="25"/>
      <c r="AS192" s="25"/>
      <c r="AT192" s="25" t="e">
        <f t="shared" si="81"/>
        <v>#NUM!</v>
      </c>
      <c r="AU192" s="25" t="e">
        <f t="shared" si="82"/>
        <v>#NUM!</v>
      </c>
      <c r="AV192" s="64">
        <f t="shared" si="83"/>
        <v>-122.06027397260274</v>
      </c>
      <c r="AW192" s="25"/>
      <c r="AX192" s="25"/>
      <c r="AY192" s="25" t="e">
        <f t="shared" si="84"/>
        <v>#NUM!</v>
      </c>
      <c r="AZ192" s="64" t="e">
        <f t="shared" si="85"/>
        <v>#NUM!</v>
      </c>
      <c r="BA192" s="64">
        <f t="shared" si="86"/>
        <v>-122.06027397260274</v>
      </c>
      <c r="BB192" s="25"/>
      <c r="BC192" s="25"/>
      <c r="BD192" s="25" t="e">
        <f t="shared" si="87"/>
        <v>#NUM!</v>
      </c>
      <c r="BE192" s="64" t="e">
        <f t="shared" si="88"/>
        <v>#NUM!</v>
      </c>
      <c r="BF192" s="64">
        <f t="shared" si="89"/>
        <v>-122.06027397260274</v>
      </c>
      <c r="BG192" s="25"/>
      <c r="BH192" s="25">
        <v>0</v>
      </c>
    </row>
    <row r="193" spans="1:60" s="110" customFormat="1" ht="16">
      <c r="A193" s="17" t="s">
        <v>784</v>
      </c>
      <c r="B193" s="17">
        <v>22109131</v>
      </c>
      <c r="C193" s="22" t="s">
        <v>785</v>
      </c>
      <c r="D193" s="40">
        <v>44483</v>
      </c>
      <c r="E193" s="40">
        <v>44490</v>
      </c>
      <c r="F193" s="40">
        <v>44483</v>
      </c>
      <c r="G193" s="17">
        <v>39</v>
      </c>
      <c r="H193" s="75">
        <v>45190</v>
      </c>
      <c r="I193" s="75">
        <v>45372</v>
      </c>
      <c r="J193" s="17"/>
      <c r="K193" s="17" t="s">
        <v>1955</v>
      </c>
      <c r="L193" s="17" t="e">
        <f t="shared" si="75"/>
        <v>#VALUE!</v>
      </c>
      <c r="M193" s="17" t="e">
        <f t="shared" si="76"/>
        <v>#VALUE!</v>
      </c>
      <c r="N193" s="21" t="e">
        <f t="shared" si="77"/>
        <v>#VALUE!</v>
      </c>
      <c r="O193" s="17"/>
      <c r="P193" s="17"/>
      <c r="Q193" s="17"/>
      <c r="R193" s="17"/>
      <c r="S193" s="17"/>
      <c r="T193" s="17"/>
      <c r="U193" s="17"/>
      <c r="V193" s="17"/>
      <c r="W193" s="17"/>
      <c r="X193" s="17"/>
      <c r="Y193" s="17">
        <v>2</v>
      </c>
      <c r="Z193" s="17"/>
      <c r="AA193" s="17"/>
      <c r="AB193" s="17"/>
      <c r="AC193" s="17"/>
      <c r="AD193" s="17"/>
      <c r="AE193" s="17"/>
      <c r="AF193" s="17"/>
      <c r="AG193" s="17"/>
      <c r="AH193" s="40">
        <v>45232</v>
      </c>
      <c r="AI193" s="17" t="str">
        <f t="shared" si="78"/>
        <v>2Y0M19D</v>
      </c>
      <c r="AJ193" s="17" t="str">
        <f t="shared" si="79"/>
        <v>2Y0M12D</v>
      </c>
      <c r="AK193" s="21">
        <f t="shared" si="80"/>
        <v>2.0520547945205481</v>
      </c>
      <c r="AL193" s="17">
        <v>1</v>
      </c>
      <c r="AM193" s="17">
        <v>1</v>
      </c>
      <c r="AN193" s="17">
        <v>2</v>
      </c>
      <c r="AO193" s="17">
        <v>1</v>
      </c>
      <c r="AP193" s="17">
        <v>3</v>
      </c>
      <c r="AQ193" s="17">
        <v>1</v>
      </c>
      <c r="AR193" s="17"/>
      <c r="AS193" s="40">
        <v>45231</v>
      </c>
      <c r="AT193" s="17" t="str">
        <f t="shared" si="81"/>
        <v>2Y0M18D</v>
      </c>
      <c r="AU193" s="17" t="str">
        <f t="shared" si="82"/>
        <v>2Y0M11D</v>
      </c>
      <c r="AV193" s="21">
        <f t="shared" si="83"/>
        <v>2.0493150684931507</v>
      </c>
      <c r="AW193" s="17">
        <v>6</v>
      </c>
      <c r="AX193" s="17"/>
      <c r="AY193" s="17" t="e">
        <f t="shared" si="84"/>
        <v>#NUM!</v>
      </c>
      <c r="AZ193" s="21" t="e">
        <f t="shared" si="85"/>
        <v>#NUM!</v>
      </c>
      <c r="BA193" s="21">
        <f t="shared" si="86"/>
        <v>-121.87123287671233</v>
      </c>
      <c r="BB193" s="17"/>
      <c r="BC193" s="17"/>
      <c r="BD193" s="17" t="e">
        <f t="shared" si="87"/>
        <v>#NUM!</v>
      </c>
      <c r="BE193" s="21" t="e">
        <f t="shared" si="88"/>
        <v>#NUM!</v>
      </c>
      <c r="BF193" s="21">
        <f t="shared" si="89"/>
        <v>-121.87123287671233</v>
      </c>
      <c r="BG193" s="17"/>
      <c r="BH193" s="17">
        <v>0</v>
      </c>
    </row>
    <row r="194" spans="1:60" s="189" customFormat="1" ht="16">
      <c r="A194" s="99" t="s">
        <v>788</v>
      </c>
      <c r="B194" s="99">
        <v>22108366</v>
      </c>
      <c r="C194" s="105" t="s">
        <v>789</v>
      </c>
      <c r="D194" s="95">
        <v>44397</v>
      </c>
      <c r="E194" s="95">
        <v>44463</v>
      </c>
      <c r="F194" s="95">
        <v>44463</v>
      </c>
      <c r="G194" s="99" t="s">
        <v>304</v>
      </c>
      <c r="H194" s="101">
        <v>45162</v>
      </c>
      <c r="I194" s="101">
        <v>45346</v>
      </c>
      <c r="J194" s="95">
        <v>45204</v>
      </c>
      <c r="K194" s="95">
        <v>45204</v>
      </c>
      <c r="L194" s="99" t="str">
        <f t="shared" si="75"/>
        <v>2Y2M15D</v>
      </c>
      <c r="M194" s="99" t="str">
        <f t="shared" si="76"/>
        <v>2Y0M11D</v>
      </c>
      <c r="N194" s="102">
        <f t="shared" si="77"/>
        <v>2.0301369863013701</v>
      </c>
      <c r="O194" s="99">
        <v>4</v>
      </c>
      <c r="P194" s="99">
        <v>2</v>
      </c>
      <c r="Q194" s="99"/>
      <c r="R194" s="99"/>
      <c r="S194" s="99"/>
      <c r="T194" s="99"/>
      <c r="U194" s="99"/>
      <c r="V194" s="99"/>
      <c r="W194" s="99">
        <v>2</v>
      </c>
      <c r="X194" s="99">
        <v>1</v>
      </c>
      <c r="Y194" s="99">
        <v>1</v>
      </c>
      <c r="Z194" s="99">
        <v>1</v>
      </c>
      <c r="AA194" s="99">
        <v>2</v>
      </c>
      <c r="AB194" s="99"/>
      <c r="AC194" s="99" t="s">
        <v>1710</v>
      </c>
      <c r="AD194" s="99"/>
      <c r="AE194" s="99"/>
      <c r="AF194" s="99"/>
      <c r="AG194" s="99"/>
      <c r="AH194" s="95">
        <v>45204</v>
      </c>
      <c r="AI194" s="99" t="str">
        <f t="shared" si="78"/>
        <v>2Y2M15D</v>
      </c>
      <c r="AJ194" s="99" t="str">
        <f t="shared" si="79"/>
        <v>2Y0M11D</v>
      </c>
      <c r="AK194" s="102">
        <f t="shared" si="80"/>
        <v>2.0301369863013701</v>
      </c>
      <c r="AL194" s="99">
        <v>1</v>
      </c>
      <c r="AM194" s="99">
        <v>1</v>
      </c>
      <c r="AN194" s="99">
        <v>2</v>
      </c>
      <c r="AO194" s="99">
        <v>1</v>
      </c>
      <c r="AP194" s="99">
        <v>3</v>
      </c>
      <c r="AQ194" s="99">
        <v>3</v>
      </c>
      <c r="AR194" s="99"/>
      <c r="AS194" s="95">
        <v>45202</v>
      </c>
      <c r="AT194" s="99" t="str">
        <f t="shared" si="81"/>
        <v>2Y2M13D</v>
      </c>
      <c r="AU194" s="99" t="str">
        <f t="shared" si="82"/>
        <v>2Y0M9D</v>
      </c>
      <c r="AV194" s="102">
        <f t="shared" si="83"/>
        <v>2.0246575342465754</v>
      </c>
      <c r="AW194" s="99">
        <v>5</v>
      </c>
      <c r="AX194" s="95">
        <v>45203</v>
      </c>
      <c r="AY194" s="99" t="str">
        <f t="shared" si="84"/>
        <v>2Y2M14D</v>
      </c>
      <c r="AZ194" s="102" t="str">
        <f t="shared" si="85"/>
        <v>2Y0M10D</v>
      </c>
      <c r="BA194" s="102">
        <f t="shared" si="86"/>
        <v>2.0273972602739727</v>
      </c>
      <c r="BB194" s="99">
        <v>5</v>
      </c>
      <c r="BC194" s="95">
        <v>45204</v>
      </c>
      <c r="BD194" s="99" t="str">
        <f t="shared" si="87"/>
        <v>2Y2M15D</v>
      </c>
      <c r="BE194" s="102" t="str">
        <f t="shared" si="88"/>
        <v>2Y0M11D</v>
      </c>
      <c r="BF194" s="102">
        <f t="shared" si="89"/>
        <v>2.0301369863013701</v>
      </c>
      <c r="BG194" s="99"/>
      <c r="BH194" s="99">
        <v>1</v>
      </c>
    </row>
    <row r="195" spans="1:60" s="189" customFormat="1" ht="16">
      <c r="A195" s="99" t="s">
        <v>792</v>
      </c>
      <c r="B195" s="99">
        <v>22109864</v>
      </c>
      <c r="C195" s="105" t="s">
        <v>793</v>
      </c>
      <c r="D195" s="95">
        <v>44562</v>
      </c>
      <c r="E195" s="95">
        <v>44566</v>
      </c>
      <c r="F195" s="95">
        <v>44562</v>
      </c>
      <c r="G195" s="99" t="s">
        <v>19</v>
      </c>
      <c r="H195" s="101">
        <v>45265</v>
      </c>
      <c r="I195" s="101">
        <v>45448</v>
      </c>
      <c r="J195" s="95">
        <v>45583</v>
      </c>
      <c r="K195" s="95">
        <v>45583</v>
      </c>
      <c r="L195" s="99" t="str">
        <f t="shared" si="75"/>
        <v>2Y9M17D</v>
      </c>
      <c r="M195" s="99" t="str">
        <f t="shared" si="76"/>
        <v>2Y9M13D</v>
      </c>
      <c r="N195" s="102">
        <f t="shared" si="77"/>
        <v>2.7972602739726029</v>
      </c>
      <c r="O195" s="99">
        <v>4</v>
      </c>
      <c r="P195" s="99">
        <v>1</v>
      </c>
      <c r="Q195" s="99"/>
      <c r="R195" s="99">
        <v>3</v>
      </c>
      <c r="S195" s="99">
        <v>1</v>
      </c>
      <c r="T195" s="99"/>
      <c r="U195" s="99"/>
      <c r="V195" s="99" t="s">
        <v>1661</v>
      </c>
      <c r="W195" s="99">
        <v>2</v>
      </c>
      <c r="X195" s="99">
        <v>1</v>
      </c>
      <c r="Y195" s="99"/>
      <c r="Z195" s="99">
        <v>1</v>
      </c>
      <c r="AA195" s="99">
        <v>2</v>
      </c>
      <c r="AB195" s="99"/>
      <c r="AC195" s="99" t="s">
        <v>1711</v>
      </c>
      <c r="AD195" s="99">
        <v>2</v>
      </c>
      <c r="AE195" s="99">
        <v>1</v>
      </c>
      <c r="AF195" s="99">
        <v>2</v>
      </c>
      <c r="AG195" s="99">
        <v>1</v>
      </c>
      <c r="AH195" s="95">
        <v>45583</v>
      </c>
      <c r="AI195" s="99" t="str">
        <f t="shared" si="78"/>
        <v>2Y9M17D</v>
      </c>
      <c r="AJ195" s="99" t="str">
        <f t="shared" si="79"/>
        <v>2Y9M13D</v>
      </c>
      <c r="AK195" s="102">
        <f t="shared" si="80"/>
        <v>2.7972602739726029</v>
      </c>
      <c r="AL195" s="99">
        <v>2</v>
      </c>
      <c r="AM195" s="99">
        <v>1</v>
      </c>
      <c r="AN195" s="99">
        <v>2</v>
      </c>
      <c r="AO195" s="99">
        <v>1</v>
      </c>
      <c r="AP195" s="99">
        <v>4</v>
      </c>
      <c r="AQ195" s="99">
        <v>3</v>
      </c>
      <c r="AR195" s="99"/>
      <c r="AS195" s="95">
        <v>45610</v>
      </c>
      <c r="AT195" s="99" t="str">
        <f t="shared" si="81"/>
        <v>2Y10M13D</v>
      </c>
      <c r="AU195" s="99" t="str">
        <f t="shared" si="82"/>
        <v>2Y10M9D</v>
      </c>
      <c r="AV195" s="102">
        <f t="shared" si="83"/>
        <v>2.871232876712329</v>
      </c>
      <c r="AW195" s="99">
        <v>8</v>
      </c>
      <c r="AX195" s="99"/>
      <c r="AY195" s="99" t="e">
        <f t="shared" si="84"/>
        <v>#NUM!</v>
      </c>
      <c r="AZ195" s="102" t="e">
        <f t="shared" si="85"/>
        <v>#NUM!</v>
      </c>
      <c r="BA195" s="102">
        <f t="shared" si="86"/>
        <v>-122.08767123287672</v>
      </c>
      <c r="BB195" s="99"/>
      <c r="BC195" s="95">
        <v>45583</v>
      </c>
      <c r="BD195" s="99" t="str">
        <f t="shared" si="87"/>
        <v>2Y9M17D</v>
      </c>
      <c r="BE195" s="102" t="str">
        <f t="shared" si="88"/>
        <v>2Y9M13D</v>
      </c>
      <c r="BF195" s="102">
        <f t="shared" si="89"/>
        <v>2.7972602739726029</v>
      </c>
      <c r="BG195" s="99">
        <v>2</v>
      </c>
      <c r="BH195" s="99">
        <v>0</v>
      </c>
    </row>
    <row r="196" spans="1:60" s="193" customFormat="1" ht="16">
      <c r="A196" s="25" t="s">
        <v>796</v>
      </c>
      <c r="B196" s="25">
        <v>22109794</v>
      </c>
      <c r="C196" s="88" t="s">
        <v>797</v>
      </c>
      <c r="D196" s="32">
        <v>44555</v>
      </c>
      <c r="E196" s="32">
        <v>44616</v>
      </c>
      <c r="F196" s="32">
        <v>44616</v>
      </c>
      <c r="G196" s="25" t="s">
        <v>66</v>
      </c>
      <c r="H196" s="86">
        <v>45315</v>
      </c>
      <c r="I196" s="86">
        <v>45497</v>
      </c>
      <c r="J196" s="25"/>
      <c r="K196" s="25"/>
      <c r="L196" s="25" t="e">
        <f t="shared" si="75"/>
        <v>#NUM!</v>
      </c>
      <c r="M196" s="25" t="e">
        <f t="shared" si="76"/>
        <v>#NUM!</v>
      </c>
      <c r="N196" s="64">
        <f t="shared" si="77"/>
        <v>-122.23561643835616</v>
      </c>
      <c r="O196" s="25"/>
      <c r="P196" s="25"/>
      <c r="Q196" s="25"/>
      <c r="R196" s="25"/>
      <c r="S196" s="25"/>
      <c r="T196" s="25"/>
      <c r="U196" s="25"/>
      <c r="V196" s="25"/>
      <c r="W196" s="25"/>
      <c r="X196" s="25"/>
      <c r="Y196" s="25"/>
      <c r="Z196" s="25"/>
      <c r="AA196" s="25"/>
      <c r="AB196" s="25"/>
      <c r="AC196" s="25"/>
      <c r="AD196" s="25"/>
      <c r="AE196" s="25"/>
      <c r="AF196" s="25"/>
      <c r="AG196" s="25"/>
      <c r="AH196" s="25"/>
      <c r="AI196" s="25" t="e">
        <f t="shared" si="78"/>
        <v>#NUM!</v>
      </c>
      <c r="AJ196" s="25" t="e">
        <f t="shared" si="79"/>
        <v>#NUM!</v>
      </c>
      <c r="AK196" s="64">
        <f t="shared" si="80"/>
        <v>-122.23561643835616</v>
      </c>
      <c r="AL196" s="25"/>
      <c r="AM196" s="25"/>
      <c r="AN196" s="25"/>
      <c r="AO196" s="25"/>
      <c r="AP196" s="25"/>
      <c r="AQ196" s="25"/>
      <c r="AR196" s="25"/>
      <c r="AS196" s="25"/>
      <c r="AT196" s="25" t="e">
        <f t="shared" si="81"/>
        <v>#NUM!</v>
      </c>
      <c r="AU196" s="25" t="e">
        <f t="shared" si="82"/>
        <v>#NUM!</v>
      </c>
      <c r="AV196" s="64">
        <f t="shared" si="83"/>
        <v>-122.23561643835616</v>
      </c>
      <c r="AW196" s="25"/>
      <c r="AX196" s="25"/>
      <c r="AY196" s="25" t="e">
        <f t="shared" si="84"/>
        <v>#NUM!</v>
      </c>
      <c r="AZ196" s="64" t="e">
        <f t="shared" si="85"/>
        <v>#NUM!</v>
      </c>
      <c r="BA196" s="64">
        <f t="shared" si="86"/>
        <v>-122.23561643835616</v>
      </c>
      <c r="BB196" s="25"/>
      <c r="BC196" s="25"/>
      <c r="BD196" s="25" t="e">
        <f t="shared" si="87"/>
        <v>#NUM!</v>
      </c>
      <c r="BE196" s="64" t="e">
        <f t="shared" si="88"/>
        <v>#NUM!</v>
      </c>
      <c r="BF196" s="64">
        <f t="shared" si="89"/>
        <v>-122.23561643835616</v>
      </c>
      <c r="BG196" s="25"/>
      <c r="BH196" s="25">
        <v>1</v>
      </c>
    </row>
    <row r="197" spans="1:60" s="193" customFormat="1" ht="16">
      <c r="A197" s="63" t="s">
        <v>800</v>
      </c>
      <c r="B197" s="63">
        <v>37900814</v>
      </c>
      <c r="C197" s="92" t="s">
        <v>801</v>
      </c>
      <c r="D197" s="43">
        <v>44500</v>
      </c>
      <c r="E197" s="43">
        <v>44500</v>
      </c>
      <c r="F197" s="43">
        <v>44500</v>
      </c>
      <c r="G197" s="63">
        <v>39</v>
      </c>
      <c r="H197" s="86">
        <v>45199</v>
      </c>
      <c r="I197" s="86">
        <v>45382</v>
      </c>
      <c r="J197" s="63"/>
      <c r="K197" s="63"/>
      <c r="L197" s="63" t="e">
        <f t="shared" si="75"/>
        <v>#NUM!</v>
      </c>
      <c r="M197" s="63" t="e">
        <f t="shared" si="76"/>
        <v>#NUM!</v>
      </c>
      <c r="N197" s="72">
        <f t="shared" si="77"/>
        <v>-121.91780821917808</v>
      </c>
      <c r="O197" s="25"/>
      <c r="P197" s="25"/>
      <c r="Q197" s="25"/>
      <c r="R197" s="25"/>
      <c r="S197" s="25"/>
      <c r="T197" s="25"/>
      <c r="U197" s="25"/>
      <c r="V197" s="25"/>
      <c r="W197" s="25"/>
      <c r="X197" s="25"/>
      <c r="Y197" s="25"/>
      <c r="Z197" s="25"/>
      <c r="AA197" s="25"/>
      <c r="AB197" s="25"/>
      <c r="AC197" s="25"/>
      <c r="AD197" s="25"/>
      <c r="AE197" s="25"/>
      <c r="AF197" s="25"/>
      <c r="AG197" s="25"/>
      <c r="AH197" s="63"/>
      <c r="AI197" s="63" t="e">
        <f t="shared" si="78"/>
        <v>#NUM!</v>
      </c>
      <c r="AJ197" s="63" t="e">
        <f t="shared" si="79"/>
        <v>#NUM!</v>
      </c>
      <c r="AK197" s="72">
        <f t="shared" si="80"/>
        <v>-121.91780821917808</v>
      </c>
      <c r="AL197" s="25"/>
      <c r="AM197" s="25"/>
      <c r="AN197" s="25"/>
      <c r="AO197" s="25"/>
      <c r="AP197" s="25"/>
      <c r="AQ197" s="25"/>
      <c r="AR197" s="25"/>
      <c r="AS197" s="63"/>
      <c r="AT197" s="63" t="e">
        <f t="shared" si="81"/>
        <v>#NUM!</v>
      </c>
      <c r="AU197" s="63" t="e">
        <f t="shared" si="82"/>
        <v>#NUM!</v>
      </c>
      <c r="AV197" s="72">
        <f t="shared" si="83"/>
        <v>-121.91780821917808</v>
      </c>
      <c r="AW197" s="25"/>
      <c r="AX197" s="63"/>
      <c r="AY197" s="63" t="e">
        <f t="shared" si="84"/>
        <v>#NUM!</v>
      </c>
      <c r="AZ197" s="72" t="e">
        <f t="shared" si="85"/>
        <v>#NUM!</v>
      </c>
      <c r="BA197" s="72">
        <f t="shared" si="86"/>
        <v>-121.91780821917808</v>
      </c>
      <c r="BB197" s="25"/>
      <c r="BC197" s="63"/>
      <c r="BD197" s="63" t="e">
        <f t="shared" si="87"/>
        <v>#NUM!</v>
      </c>
      <c r="BE197" s="72" t="e">
        <f t="shared" si="88"/>
        <v>#NUM!</v>
      </c>
      <c r="BF197" s="72">
        <f t="shared" si="89"/>
        <v>-121.91780821917808</v>
      </c>
      <c r="BG197" s="25"/>
      <c r="BH197" s="63">
        <v>1</v>
      </c>
    </row>
    <row r="198" spans="1:60" s="189" customFormat="1" ht="16">
      <c r="A198" s="99" t="s">
        <v>804</v>
      </c>
      <c r="B198" s="99">
        <v>22108914</v>
      </c>
      <c r="C198" s="105" t="s">
        <v>805</v>
      </c>
      <c r="D198" s="95">
        <v>44458</v>
      </c>
      <c r="E198" s="95">
        <v>44463</v>
      </c>
      <c r="F198" s="95">
        <v>44458</v>
      </c>
      <c r="G198" s="99" t="s">
        <v>452</v>
      </c>
      <c r="H198" s="101">
        <v>45162</v>
      </c>
      <c r="I198" s="101">
        <v>45346</v>
      </c>
      <c r="J198" s="95">
        <v>45289</v>
      </c>
      <c r="K198" s="95">
        <v>45289</v>
      </c>
      <c r="L198" s="99" t="str">
        <f t="shared" si="75"/>
        <v>2Y3M10D</v>
      </c>
      <c r="M198" s="99" t="str">
        <f t="shared" si="76"/>
        <v>2Y3M5D</v>
      </c>
      <c r="N198" s="102">
        <f t="shared" si="77"/>
        <v>2.2767123287671232</v>
      </c>
      <c r="O198" s="99">
        <v>4</v>
      </c>
      <c r="P198" s="99">
        <v>3</v>
      </c>
      <c r="Q198" s="99"/>
      <c r="R198" s="99">
        <v>3</v>
      </c>
      <c r="S198" s="99">
        <v>1</v>
      </c>
      <c r="T198" s="99"/>
      <c r="U198" s="99">
        <v>1.25</v>
      </c>
      <c r="V198" s="99" t="s">
        <v>1661</v>
      </c>
      <c r="W198" s="99">
        <v>2</v>
      </c>
      <c r="X198" s="99">
        <v>1</v>
      </c>
      <c r="Y198" s="99"/>
      <c r="Z198" s="99">
        <v>1</v>
      </c>
      <c r="AA198" s="99">
        <v>2</v>
      </c>
      <c r="AB198" s="99"/>
      <c r="AC198" s="99" t="s">
        <v>1710</v>
      </c>
      <c r="AD198" s="99">
        <v>2</v>
      </c>
      <c r="AE198" s="99">
        <v>1</v>
      </c>
      <c r="AF198" s="99">
        <v>2</v>
      </c>
      <c r="AG198" s="99">
        <v>1</v>
      </c>
      <c r="AH198" s="95">
        <v>45289</v>
      </c>
      <c r="AI198" s="99" t="str">
        <f t="shared" si="78"/>
        <v>2Y3M10D</v>
      </c>
      <c r="AJ198" s="99" t="str">
        <f t="shared" si="79"/>
        <v>2Y3M5D</v>
      </c>
      <c r="AK198" s="102">
        <f t="shared" si="80"/>
        <v>2.2767123287671232</v>
      </c>
      <c r="AL198" s="99">
        <v>1</v>
      </c>
      <c r="AM198" s="99">
        <v>1</v>
      </c>
      <c r="AN198" s="99">
        <v>2</v>
      </c>
      <c r="AO198" s="99">
        <v>1</v>
      </c>
      <c r="AP198" s="99">
        <v>3</v>
      </c>
      <c r="AQ198" s="99">
        <v>1</v>
      </c>
      <c r="AR198" s="99"/>
      <c r="AS198" s="95">
        <v>45284</v>
      </c>
      <c r="AT198" s="99" t="str">
        <f t="shared" si="81"/>
        <v>2Y3M5D</v>
      </c>
      <c r="AU198" s="99" t="str">
        <f t="shared" si="82"/>
        <v>2Y3M0D</v>
      </c>
      <c r="AV198" s="102">
        <f t="shared" si="83"/>
        <v>2.2630136986301368</v>
      </c>
      <c r="AW198" s="99">
        <v>7</v>
      </c>
      <c r="AX198" s="95">
        <v>45284</v>
      </c>
      <c r="AY198" s="99" t="str">
        <f t="shared" si="84"/>
        <v>2Y3M5D</v>
      </c>
      <c r="AZ198" s="102" t="str">
        <f t="shared" si="85"/>
        <v>2Y3M0D</v>
      </c>
      <c r="BA198" s="102">
        <f t="shared" si="86"/>
        <v>2.2630136986301368</v>
      </c>
      <c r="BB198" s="99">
        <v>7</v>
      </c>
      <c r="BC198" s="95">
        <v>45289</v>
      </c>
      <c r="BD198" s="99" t="str">
        <f t="shared" si="87"/>
        <v>2Y3M10D</v>
      </c>
      <c r="BE198" s="102" t="str">
        <f t="shared" si="88"/>
        <v>2Y3M5D</v>
      </c>
      <c r="BF198" s="102">
        <f t="shared" si="89"/>
        <v>2.2767123287671232</v>
      </c>
      <c r="BG198" s="99">
        <v>2</v>
      </c>
      <c r="BH198" s="99">
        <v>0</v>
      </c>
    </row>
    <row r="199" spans="1:60" s="189" customFormat="1" ht="16">
      <c r="A199" s="99" t="s">
        <v>807</v>
      </c>
      <c r="B199" s="99">
        <v>22108784</v>
      </c>
      <c r="C199" s="105" t="s">
        <v>847</v>
      </c>
      <c r="D199" s="95">
        <v>44444</v>
      </c>
      <c r="E199" s="95">
        <v>44511</v>
      </c>
      <c r="F199" s="95">
        <v>44511</v>
      </c>
      <c r="G199" s="99" t="s">
        <v>139</v>
      </c>
      <c r="H199" s="101">
        <v>45210</v>
      </c>
      <c r="I199" s="101">
        <v>45393</v>
      </c>
      <c r="J199" s="95">
        <v>45272</v>
      </c>
      <c r="K199" s="95">
        <v>45272</v>
      </c>
      <c r="L199" s="99" t="str">
        <f t="shared" si="75"/>
        <v>2Y3M7D</v>
      </c>
      <c r="M199" s="99" t="str">
        <f t="shared" si="76"/>
        <v>2Y1M1D</v>
      </c>
      <c r="N199" s="102">
        <f t="shared" si="77"/>
        <v>2.0849315068493151</v>
      </c>
      <c r="O199" s="99">
        <v>4</v>
      </c>
      <c r="P199" s="99">
        <v>3</v>
      </c>
      <c r="Q199" s="99"/>
      <c r="R199" s="99">
        <v>3</v>
      </c>
      <c r="S199" s="99">
        <v>1</v>
      </c>
      <c r="T199" s="99"/>
      <c r="U199" s="99" t="s">
        <v>1663</v>
      </c>
      <c r="V199" s="99" t="s">
        <v>1661</v>
      </c>
      <c r="W199" s="99">
        <v>2</v>
      </c>
      <c r="X199" s="99">
        <v>1</v>
      </c>
      <c r="Y199" s="99"/>
      <c r="Z199" s="99">
        <v>1</v>
      </c>
      <c r="AA199" s="99">
        <v>2</v>
      </c>
      <c r="AB199" s="99"/>
      <c r="AC199" s="99" t="s">
        <v>1663</v>
      </c>
      <c r="AD199" s="99">
        <v>2</v>
      </c>
      <c r="AE199" s="99">
        <v>1</v>
      </c>
      <c r="AF199" s="99">
        <v>2</v>
      </c>
      <c r="AG199" s="99">
        <v>1</v>
      </c>
      <c r="AH199" s="95">
        <v>45272</v>
      </c>
      <c r="AI199" s="99" t="str">
        <f t="shared" si="78"/>
        <v>2Y3M7D</v>
      </c>
      <c r="AJ199" s="99" t="str">
        <f t="shared" si="79"/>
        <v>2Y1M1D</v>
      </c>
      <c r="AK199" s="102">
        <f t="shared" si="80"/>
        <v>2.0849315068493151</v>
      </c>
      <c r="AL199" s="99">
        <v>1</v>
      </c>
      <c r="AM199" s="99">
        <v>1</v>
      </c>
      <c r="AN199" s="99">
        <v>2</v>
      </c>
      <c r="AO199" s="99">
        <v>1</v>
      </c>
      <c r="AP199" s="99">
        <v>3</v>
      </c>
      <c r="AQ199" s="99">
        <v>3</v>
      </c>
      <c r="AR199" s="99"/>
      <c r="AS199" s="95">
        <v>45269</v>
      </c>
      <c r="AT199" s="99" t="str">
        <f t="shared" si="81"/>
        <v>2Y3M4D</v>
      </c>
      <c r="AU199" s="99" t="str">
        <f t="shared" si="82"/>
        <v>2Y0M28D</v>
      </c>
      <c r="AV199" s="102">
        <f t="shared" si="83"/>
        <v>2.0767123287671234</v>
      </c>
      <c r="AW199" s="99">
        <v>7</v>
      </c>
      <c r="AX199" s="99"/>
      <c r="AY199" s="99" t="e">
        <f t="shared" si="84"/>
        <v>#NUM!</v>
      </c>
      <c r="AZ199" s="102" t="e">
        <f t="shared" si="85"/>
        <v>#NUM!</v>
      </c>
      <c r="BA199" s="102">
        <f t="shared" si="86"/>
        <v>-121.94794520547946</v>
      </c>
      <c r="BB199" s="99"/>
      <c r="BC199" s="95">
        <v>45272</v>
      </c>
      <c r="BD199" s="99" t="str">
        <f t="shared" si="87"/>
        <v>2Y3M7D</v>
      </c>
      <c r="BE199" s="102" t="str">
        <f t="shared" si="88"/>
        <v>2Y1M1D</v>
      </c>
      <c r="BF199" s="102">
        <f t="shared" si="89"/>
        <v>2.0849315068493151</v>
      </c>
      <c r="BG199" s="99">
        <v>2</v>
      </c>
      <c r="BH199" s="99">
        <v>1</v>
      </c>
    </row>
    <row r="200" spans="1:60" s="110" customFormat="1" ht="16">
      <c r="A200" s="17" t="s">
        <v>811</v>
      </c>
      <c r="B200" s="17">
        <v>22109526</v>
      </c>
      <c r="C200" s="22" t="s">
        <v>812</v>
      </c>
      <c r="D200" s="40">
        <v>44525</v>
      </c>
      <c r="E200" s="40">
        <v>44527</v>
      </c>
      <c r="F200" s="40">
        <v>44525</v>
      </c>
      <c r="G200" s="17" t="s">
        <v>745</v>
      </c>
      <c r="H200" s="75">
        <v>45226</v>
      </c>
      <c r="I200" s="75">
        <v>45409</v>
      </c>
      <c r="J200" s="40">
        <v>45426</v>
      </c>
      <c r="K200" s="40">
        <v>45426</v>
      </c>
      <c r="L200" s="17" t="str">
        <f t="shared" si="75"/>
        <v>2Y5M19D</v>
      </c>
      <c r="M200" s="17" t="str">
        <f t="shared" si="76"/>
        <v>2Y5M17D</v>
      </c>
      <c r="N200" s="21">
        <f t="shared" si="77"/>
        <v>2.4684931506849317</v>
      </c>
      <c r="O200" s="17">
        <v>5</v>
      </c>
      <c r="P200" s="17">
        <v>5</v>
      </c>
      <c r="Q200" s="17" t="s">
        <v>1665</v>
      </c>
      <c r="R200" s="17">
        <v>4</v>
      </c>
      <c r="S200" s="17">
        <v>1</v>
      </c>
      <c r="T200" s="17">
        <v>1</v>
      </c>
      <c r="U200" s="17" t="s">
        <v>1669</v>
      </c>
      <c r="V200" s="17">
        <v>2</v>
      </c>
      <c r="W200" s="17">
        <v>2</v>
      </c>
      <c r="X200" s="17">
        <v>1</v>
      </c>
      <c r="Y200" s="17"/>
      <c r="Z200" s="17">
        <v>2</v>
      </c>
      <c r="AA200" s="17">
        <v>2</v>
      </c>
      <c r="AB200" s="17"/>
      <c r="AC200" s="17" t="s">
        <v>1681</v>
      </c>
      <c r="AD200" s="17">
        <v>2</v>
      </c>
      <c r="AE200" s="17">
        <v>1</v>
      </c>
      <c r="AF200" s="17">
        <v>2</v>
      </c>
      <c r="AG200" s="17">
        <v>1</v>
      </c>
      <c r="AH200" s="40">
        <v>45425</v>
      </c>
      <c r="AI200" s="17" t="str">
        <f t="shared" si="78"/>
        <v>2Y5M18D</v>
      </c>
      <c r="AJ200" s="17" t="str">
        <f t="shared" si="79"/>
        <v>2Y5M16D</v>
      </c>
      <c r="AK200" s="21">
        <f t="shared" si="80"/>
        <v>2.4657534246575343</v>
      </c>
      <c r="AL200" s="17">
        <v>2</v>
      </c>
      <c r="AM200" s="17">
        <v>1</v>
      </c>
      <c r="AN200" s="17">
        <v>2</v>
      </c>
      <c r="AO200" s="17">
        <v>1</v>
      </c>
      <c r="AP200" s="17">
        <v>4</v>
      </c>
      <c r="AQ200" s="17">
        <v>3</v>
      </c>
      <c r="AR200" s="17"/>
      <c r="AS200" s="40">
        <v>45424</v>
      </c>
      <c r="AT200" s="17" t="str">
        <f t="shared" si="81"/>
        <v>2Y5M17D</v>
      </c>
      <c r="AU200" s="17" t="str">
        <f t="shared" si="82"/>
        <v>2Y5M15D</v>
      </c>
      <c r="AV200" s="21">
        <f t="shared" si="83"/>
        <v>2.463013698630137</v>
      </c>
      <c r="AW200" s="17">
        <v>8</v>
      </c>
      <c r="AX200" s="17"/>
      <c r="AY200" s="17" t="e">
        <f t="shared" si="84"/>
        <v>#NUM!</v>
      </c>
      <c r="AZ200" s="21" t="e">
        <f t="shared" si="85"/>
        <v>#NUM!</v>
      </c>
      <c r="BA200" s="21">
        <f t="shared" si="86"/>
        <v>-121.98630136986301</v>
      </c>
      <c r="BB200" s="17"/>
      <c r="BC200" s="17"/>
      <c r="BD200" s="17" t="e">
        <f t="shared" si="87"/>
        <v>#NUM!</v>
      </c>
      <c r="BE200" s="21" t="e">
        <f t="shared" si="88"/>
        <v>#NUM!</v>
      </c>
      <c r="BF200" s="21">
        <f t="shared" si="89"/>
        <v>-121.98630136986301</v>
      </c>
      <c r="BG200" s="17"/>
      <c r="BH200" s="17"/>
    </row>
    <row r="201" spans="1:60" s="193" customFormat="1" ht="16">
      <c r="A201" s="25" t="s">
        <v>815</v>
      </c>
      <c r="B201" s="25">
        <v>22109482</v>
      </c>
      <c r="C201" s="88" t="s">
        <v>816</v>
      </c>
      <c r="D201" s="32">
        <v>44520</v>
      </c>
      <c r="E201" s="32">
        <v>44522</v>
      </c>
      <c r="F201" s="32">
        <v>44520</v>
      </c>
      <c r="G201" s="25" t="s">
        <v>745</v>
      </c>
      <c r="H201" s="86">
        <v>45221</v>
      </c>
      <c r="I201" s="86">
        <v>45404</v>
      </c>
      <c r="J201" s="25"/>
      <c r="K201" s="25"/>
      <c r="L201" s="25" t="e">
        <f t="shared" si="75"/>
        <v>#NUM!</v>
      </c>
      <c r="M201" s="25" t="e">
        <f t="shared" si="76"/>
        <v>#NUM!</v>
      </c>
      <c r="N201" s="64">
        <f t="shared" si="77"/>
        <v>-121.97260273972603</v>
      </c>
      <c r="O201" s="25"/>
      <c r="P201" s="25"/>
      <c r="Q201" s="25"/>
      <c r="R201" s="25"/>
      <c r="S201" s="25"/>
      <c r="T201" s="25"/>
      <c r="U201" s="25"/>
      <c r="V201" s="25"/>
      <c r="W201" s="25"/>
      <c r="X201" s="25"/>
      <c r="Y201" s="25"/>
      <c r="Z201" s="25"/>
      <c r="AA201" s="25"/>
      <c r="AB201" s="25"/>
      <c r="AC201" s="25"/>
      <c r="AD201" s="25"/>
      <c r="AE201" s="25"/>
      <c r="AF201" s="25"/>
      <c r="AG201" s="25"/>
      <c r="AH201" s="25"/>
      <c r="AI201" s="25" t="e">
        <f t="shared" si="78"/>
        <v>#NUM!</v>
      </c>
      <c r="AJ201" s="25" t="e">
        <f t="shared" si="79"/>
        <v>#NUM!</v>
      </c>
      <c r="AK201" s="64">
        <f t="shared" si="80"/>
        <v>-121.97260273972603</v>
      </c>
      <c r="AL201" s="25"/>
      <c r="AM201" s="25"/>
      <c r="AN201" s="25"/>
      <c r="AO201" s="25"/>
      <c r="AP201" s="25"/>
      <c r="AQ201" s="25"/>
      <c r="AR201" s="25"/>
      <c r="AS201" s="25"/>
      <c r="AT201" s="25" t="e">
        <f t="shared" si="81"/>
        <v>#NUM!</v>
      </c>
      <c r="AU201" s="25" t="e">
        <f t="shared" si="82"/>
        <v>#NUM!</v>
      </c>
      <c r="AV201" s="64">
        <f t="shared" si="83"/>
        <v>-121.97260273972603</v>
      </c>
      <c r="AW201" s="25"/>
      <c r="AX201" s="25"/>
      <c r="AY201" s="25" t="e">
        <f t="shared" si="84"/>
        <v>#NUM!</v>
      </c>
      <c r="AZ201" s="64" t="e">
        <f t="shared" si="85"/>
        <v>#NUM!</v>
      </c>
      <c r="BA201" s="64">
        <f t="shared" si="86"/>
        <v>-121.97260273972603</v>
      </c>
      <c r="BB201" s="25"/>
      <c r="BC201" s="25"/>
      <c r="BD201" s="25" t="e">
        <f t="shared" si="87"/>
        <v>#NUM!</v>
      </c>
      <c r="BE201" s="64" t="e">
        <f t="shared" si="88"/>
        <v>#NUM!</v>
      </c>
      <c r="BF201" s="64">
        <f t="shared" si="89"/>
        <v>-121.97260273972603</v>
      </c>
      <c r="BG201" s="25"/>
      <c r="BH201" s="25"/>
    </row>
    <row r="202" spans="1:60" s="189" customFormat="1" ht="16">
      <c r="A202" s="99" t="s">
        <v>818</v>
      </c>
      <c r="B202" s="99">
        <v>22109057</v>
      </c>
      <c r="C202" s="105" t="s">
        <v>819</v>
      </c>
      <c r="D202" s="95">
        <v>44476</v>
      </c>
      <c r="E202" s="95">
        <v>44575</v>
      </c>
      <c r="F202" s="95">
        <v>44575</v>
      </c>
      <c r="G202" s="99" t="s">
        <v>820</v>
      </c>
      <c r="H202" s="101">
        <v>45274</v>
      </c>
      <c r="I202" s="101">
        <v>45457</v>
      </c>
      <c r="J202" s="95">
        <v>45285</v>
      </c>
      <c r="K202" s="95">
        <v>45285</v>
      </c>
      <c r="L202" s="99" t="str">
        <f t="shared" si="75"/>
        <v>2Y2M18D</v>
      </c>
      <c r="M202" s="99" t="str">
        <f t="shared" si="76"/>
        <v>1Y11M11D</v>
      </c>
      <c r="N202" s="102">
        <f t="shared" si="77"/>
        <v>1.9452054794520548</v>
      </c>
      <c r="O202" s="99">
        <v>4</v>
      </c>
      <c r="P202" s="99">
        <v>3</v>
      </c>
      <c r="Q202" s="99"/>
      <c r="R202" s="99">
        <v>3</v>
      </c>
      <c r="S202" s="99">
        <v>1</v>
      </c>
      <c r="T202" s="99">
        <v>1</v>
      </c>
      <c r="U202" s="99" t="s">
        <v>1666</v>
      </c>
      <c r="V202" s="99" t="s">
        <v>1661</v>
      </c>
      <c r="W202" s="99">
        <v>2</v>
      </c>
      <c r="X202" s="99">
        <v>1</v>
      </c>
      <c r="Y202" s="99">
        <v>1</v>
      </c>
      <c r="Z202" s="99">
        <v>1</v>
      </c>
      <c r="AA202" s="99">
        <v>2</v>
      </c>
      <c r="AB202" s="99">
        <v>1</v>
      </c>
      <c r="AC202" s="99" t="s">
        <v>1666</v>
      </c>
      <c r="AD202" s="99">
        <v>2</v>
      </c>
      <c r="AE202" s="99">
        <v>1</v>
      </c>
      <c r="AF202" s="99">
        <v>2</v>
      </c>
      <c r="AG202" s="99">
        <v>1</v>
      </c>
      <c r="AH202" s="95">
        <v>45286</v>
      </c>
      <c r="AI202" s="99" t="str">
        <f t="shared" si="78"/>
        <v>2Y2M19D</v>
      </c>
      <c r="AJ202" s="99" t="str">
        <f t="shared" si="79"/>
        <v>1Y11M12D</v>
      </c>
      <c r="AK202" s="102">
        <f t="shared" si="80"/>
        <v>1.9479452054794522</v>
      </c>
      <c r="AL202" s="99">
        <v>1</v>
      </c>
      <c r="AM202" s="99">
        <v>1</v>
      </c>
      <c r="AN202" s="99">
        <v>2</v>
      </c>
      <c r="AO202" s="99">
        <v>1</v>
      </c>
      <c r="AP202" s="99">
        <v>3</v>
      </c>
      <c r="AQ202" s="99">
        <v>2</v>
      </c>
      <c r="AR202" s="99"/>
      <c r="AS202" s="95">
        <v>45283</v>
      </c>
      <c r="AT202" s="99" t="str">
        <f t="shared" si="81"/>
        <v>2Y2M16D</v>
      </c>
      <c r="AU202" s="99" t="str">
        <f t="shared" si="82"/>
        <v>1Y11M9D</v>
      </c>
      <c r="AV202" s="102">
        <f t="shared" si="83"/>
        <v>1.9397260273972603</v>
      </c>
      <c r="AW202" s="99">
        <v>7</v>
      </c>
      <c r="AX202" s="95">
        <v>45288</v>
      </c>
      <c r="AY202" s="99" t="str">
        <f t="shared" si="84"/>
        <v>2Y2M21D</v>
      </c>
      <c r="AZ202" s="102" t="str">
        <f t="shared" si="85"/>
        <v>1Y11M14D</v>
      </c>
      <c r="BA202" s="102">
        <f t="shared" si="86"/>
        <v>1.9534246575342467</v>
      </c>
      <c r="BB202" s="99">
        <v>7</v>
      </c>
      <c r="BC202" s="95">
        <v>45285</v>
      </c>
      <c r="BD202" s="99" t="str">
        <f t="shared" si="87"/>
        <v>2Y2M18D</v>
      </c>
      <c r="BE202" s="102" t="str">
        <f t="shared" si="88"/>
        <v>1Y11M11D</v>
      </c>
      <c r="BF202" s="102">
        <f t="shared" si="89"/>
        <v>1.9452054794520548</v>
      </c>
      <c r="BG202" s="99">
        <v>2</v>
      </c>
      <c r="BH202" s="99"/>
    </row>
    <row r="203" spans="1:60" s="193" customFormat="1" ht="16">
      <c r="A203" s="25" t="s">
        <v>822</v>
      </c>
      <c r="B203" s="25">
        <v>22109404</v>
      </c>
      <c r="C203" s="88" t="s">
        <v>823</v>
      </c>
      <c r="D203" s="32">
        <v>44512</v>
      </c>
      <c r="E203" s="32">
        <v>44515</v>
      </c>
      <c r="F203" s="32">
        <v>44512</v>
      </c>
      <c r="G203" s="25" t="s">
        <v>560</v>
      </c>
      <c r="H203" s="86">
        <v>45214</v>
      </c>
      <c r="I203" s="86">
        <v>45397</v>
      </c>
      <c r="J203" s="25"/>
      <c r="K203" s="25"/>
      <c r="L203" s="25" t="e">
        <f t="shared" si="75"/>
        <v>#NUM!</v>
      </c>
      <c r="M203" s="25" t="e">
        <f t="shared" si="76"/>
        <v>#NUM!</v>
      </c>
      <c r="N203" s="64">
        <f t="shared" si="77"/>
        <v>-121.95068493150686</v>
      </c>
      <c r="O203" s="25"/>
      <c r="P203" s="25"/>
      <c r="Q203" s="25"/>
      <c r="R203" s="25"/>
      <c r="S203" s="25"/>
      <c r="T203" s="25"/>
      <c r="U203" s="25"/>
      <c r="V203" s="25"/>
      <c r="W203" s="25"/>
      <c r="X203" s="25"/>
      <c r="Y203" s="25"/>
      <c r="Z203" s="25"/>
      <c r="AA203" s="25"/>
      <c r="AB203" s="25"/>
      <c r="AC203" s="25"/>
      <c r="AD203" s="25"/>
      <c r="AE203" s="25"/>
      <c r="AF203" s="25"/>
      <c r="AG203" s="25"/>
      <c r="AH203" s="25"/>
      <c r="AI203" s="25" t="e">
        <f t="shared" si="78"/>
        <v>#NUM!</v>
      </c>
      <c r="AJ203" s="25" t="e">
        <f t="shared" si="79"/>
        <v>#NUM!</v>
      </c>
      <c r="AK203" s="64">
        <f t="shared" si="80"/>
        <v>-121.95068493150686</v>
      </c>
      <c r="AL203" s="25"/>
      <c r="AM203" s="25"/>
      <c r="AN203" s="25"/>
      <c r="AO203" s="25"/>
      <c r="AP203" s="25"/>
      <c r="AQ203" s="25"/>
      <c r="AR203" s="25"/>
      <c r="AS203" s="25"/>
      <c r="AT203" s="25" t="e">
        <f t="shared" si="81"/>
        <v>#NUM!</v>
      </c>
      <c r="AU203" s="25" t="e">
        <f t="shared" si="82"/>
        <v>#NUM!</v>
      </c>
      <c r="AV203" s="64">
        <f t="shared" si="83"/>
        <v>-121.95068493150686</v>
      </c>
      <c r="AW203" s="25"/>
      <c r="AX203" s="25"/>
      <c r="AY203" s="25" t="e">
        <f t="shared" si="84"/>
        <v>#NUM!</v>
      </c>
      <c r="AZ203" s="64" t="e">
        <f t="shared" si="85"/>
        <v>#NUM!</v>
      </c>
      <c r="BA203" s="64">
        <f t="shared" si="86"/>
        <v>-121.95068493150686</v>
      </c>
      <c r="BB203" s="25"/>
      <c r="BC203" s="25"/>
      <c r="BD203" s="25" t="e">
        <f t="shared" si="87"/>
        <v>#NUM!</v>
      </c>
      <c r="BE203" s="64" t="e">
        <f t="shared" si="88"/>
        <v>#NUM!</v>
      </c>
      <c r="BF203" s="64">
        <f t="shared" si="89"/>
        <v>-121.95068493150686</v>
      </c>
      <c r="BG203" s="25"/>
      <c r="BH203" s="25"/>
    </row>
    <row r="204" spans="1:60" s="193" customFormat="1" ht="16">
      <c r="A204" s="25" t="s">
        <v>825</v>
      </c>
      <c r="B204" s="25">
        <v>22107380</v>
      </c>
      <c r="C204" s="88" t="s">
        <v>826</v>
      </c>
      <c r="D204" s="32">
        <v>44293</v>
      </c>
      <c r="E204" s="32">
        <v>44392</v>
      </c>
      <c r="F204" s="32">
        <v>44392</v>
      </c>
      <c r="G204" s="25" t="s">
        <v>820</v>
      </c>
      <c r="H204" s="86">
        <v>45092</v>
      </c>
      <c r="I204" s="86">
        <v>45275</v>
      </c>
      <c r="J204" s="25"/>
      <c r="K204" s="25"/>
      <c r="L204" s="25" t="e">
        <f t="shared" si="75"/>
        <v>#NUM!</v>
      </c>
      <c r="M204" s="25" t="e">
        <f t="shared" si="76"/>
        <v>#NUM!</v>
      </c>
      <c r="N204" s="64">
        <f t="shared" si="77"/>
        <v>-121.62191780821918</v>
      </c>
      <c r="O204" s="25"/>
      <c r="P204" s="25"/>
      <c r="Q204" s="25"/>
      <c r="R204" s="25"/>
      <c r="S204" s="25"/>
      <c r="T204" s="25"/>
      <c r="U204" s="25"/>
      <c r="V204" s="25"/>
      <c r="W204" s="25"/>
      <c r="X204" s="25"/>
      <c r="Y204" s="25"/>
      <c r="Z204" s="25"/>
      <c r="AA204" s="25"/>
      <c r="AB204" s="25"/>
      <c r="AC204" s="25"/>
      <c r="AD204" s="25"/>
      <c r="AE204" s="25"/>
      <c r="AF204" s="25"/>
      <c r="AG204" s="25"/>
      <c r="AH204" s="25"/>
      <c r="AI204" s="25" t="e">
        <f t="shared" si="78"/>
        <v>#NUM!</v>
      </c>
      <c r="AJ204" s="25" t="e">
        <f t="shared" si="79"/>
        <v>#NUM!</v>
      </c>
      <c r="AK204" s="64">
        <f t="shared" si="80"/>
        <v>-121.62191780821918</v>
      </c>
      <c r="AL204" s="25"/>
      <c r="AM204" s="25"/>
      <c r="AN204" s="25"/>
      <c r="AO204" s="25"/>
      <c r="AP204" s="25"/>
      <c r="AQ204" s="25"/>
      <c r="AR204" s="25"/>
      <c r="AS204" s="25"/>
      <c r="AT204" s="25" t="e">
        <f t="shared" si="81"/>
        <v>#NUM!</v>
      </c>
      <c r="AU204" s="25" t="e">
        <f t="shared" si="82"/>
        <v>#NUM!</v>
      </c>
      <c r="AV204" s="64">
        <f t="shared" si="83"/>
        <v>-121.62191780821918</v>
      </c>
      <c r="AW204" s="25"/>
      <c r="AX204" s="25"/>
      <c r="AY204" s="25" t="e">
        <f t="shared" si="84"/>
        <v>#NUM!</v>
      </c>
      <c r="AZ204" s="64" t="e">
        <f t="shared" si="85"/>
        <v>#NUM!</v>
      </c>
      <c r="BA204" s="64">
        <f t="shared" si="86"/>
        <v>-121.62191780821918</v>
      </c>
      <c r="BB204" s="25"/>
      <c r="BC204" s="25"/>
      <c r="BD204" s="25" t="e">
        <f t="shared" si="87"/>
        <v>#NUM!</v>
      </c>
      <c r="BE204" s="64" t="e">
        <f t="shared" si="88"/>
        <v>#NUM!</v>
      </c>
      <c r="BF204" s="64">
        <f t="shared" si="89"/>
        <v>-121.62191780821918</v>
      </c>
      <c r="BG204" s="25"/>
      <c r="BH204" s="25"/>
    </row>
    <row r="205" spans="1:60" s="189" customFormat="1" ht="16">
      <c r="A205" s="99" t="s">
        <v>829</v>
      </c>
      <c r="B205" s="2">
        <v>22108775</v>
      </c>
      <c r="C205" s="53" t="s">
        <v>830</v>
      </c>
      <c r="D205" s="23">
        <v>44443</v>
      </c>
      <c r="E205" s="23">
        <v>44506</v>
      </c>
      <c r="F205" s="23">
        <v>44506</v>
      </c>
      <c r="G205" s="2" t="s">
        <v>66</v>
      </c>
      <c r="H205" s="38">
        <v>45205</v>
      </c>
      <c r="I205" s="38">
        <v>45388</v>
      </c>
      <c r="J205" s="95">
        <v>45349</v>
      </c>
      <c r="K205" s="95">
        <v>45349</v>
      </c>
      <c r="L205" s="99" t="str">
        <f t="shared" si="75"/>
        <v>2Y5M23D</v>
      </c>
      <c r="M205" s="99" t="str">
        <f t="shared" si="76"/>
        <v>2Y3M21D</v>
      </c>
      <c r="N205" s="102">
        <f t="shared" si="77"/>
        <v>2.3095890410958906</v>
      </c>
      <c r="O205" s="99">
        <v>4</v>
      </c>
      <c r="P205" s="99">
        <v>3</v>
      </c>
      <c r="Q205" s="99"/>
      <c r="R205" s="99">
        <v>3</v>
      </c>
      <c r="S205" s="99">
        <v>1</v>
      </c>
      <c r="T205" s="99">
        <v>1</v>
      </c>
      <c r="U205" s="99"/>
      <c r="V205" s="99" t="s">
        <v>1661</v>
      </c>
      <c r="W205" s="99">
        <v>2</v>
      </c>
      <c r="X205" s="99">
        <v>1</v>
      </c>
      <c r="Y205" s="99"/>
      <c r="Z205" s="99">
        <v>1</v>
      </c>
      <c r="AA205" s="99">
        <v>2</v>
      </c>
      <c r="AB205" s="99"/>
      <c r="AC205" s="99" t="s">
        <v>1710</v>
      </c>
      <c r="AD205" s="99">
        <v>2</v>
      </c>
      <c r="AE205" s="99">
        <v>1</v>
      </c>
      <c r="AF205" s="99">
        <v>2</v>
      </c>
      <c r="AG205" s="99">
        <v>1</v>
      </c>
      <c r="AH205" s="95">
        <v>45349</v>
      </c>
      <c r="AI205" s="99" t="str">
        <f t="shared" si="78"/>
        <v>2Y5M23D</v>
      </c>
      <c r="AJ205" s="99" t="str">
        <f t="shared" si="79"/>
        <v>2Y3M21D</v>
      </c>
      <c r="AK205" s="102">
        <f t="shared" si="80"/>
        <v>2.3095890410958906</v>
      </c>
      <c r="AL205" s="99">
        <v>2</v>
      </c>
      <c r="AM205" s="99">
        <v>1</v>
      </c>
      <c r="AN205" s="99">
        <v>1</v>
      </c>
      <c r="AO205" s="99">
        <v>1</v>
      </c>
      <c r="AP205" s="99">
        <v>3</v>
      </c>
      <c r="AQ205" s="99">
        <v>3</v>
      </c>
      <c r="AR205" s="99"/>
      <c r="AS205" s="95">
        <v>45348</v>
      </c>
      <c r="AT205" s="99" t="str">
        <f t="shared" si="81"/>
        <v>2Y5M22D</v>
      </c>
      <c r="AU205" s="99" t="str">
        <f t="shared" si="82"/>
        <v>2Y3M20D</v>
      </c>
      <c r="AV205" s="102">
        <f t="shared" si="83"/>
        <v>2.3068493150684932</v>
      </c>
      <c r="AW205" s="99">
        <v>8</v>
      </c>
      <c r="AX205" s="95">
        <v>45349</v>
      </c>
      <c r="AY205" s="99" t="str">
        <f t="shared" si="84"/>
        <v>2Y5M23D</v>
      </c>
      <c r="AZ205" s="102" t="str">
        <f t="shared" si="85"/>
        <v>2Y3M21D</v>
      </c>
      <c r="BA205" s="102">
        <f t="shared" si="86"/>
        <v>2.3095890410958906</v>
      </c>
      <c r="BB205" s="99">
        <v>8</v>
      </c>
      <c r="BC205" s="95">
        <v>45349</v>
      </c>
      <c r="BD205" s="99" t="str">
        <f t="shared" si="87"/>
        <v>2Y5M23D</v>
      </c>
      <c r="BE205" s="102" t="str">
        <f t="shared" si="88"/>
        <v>2Y3M21D</v>
      </c>
      <c r="BF205" s="102">
        <f t="shared" si="89"/>
        <v>2.3095890410958906</v>
      </c>
      <c r="BG205" s="99">
        <v>2</v>
      </c>
      <c r="BH205" s="99"/>
    </row>
    <row r="206" spans="1:60" s="189" customFormat="1" ht="16">
      <c r="A206" s="99" t="s">
        <v>833</v>
      </c>
      <c r="B206" s="99">
        <v>22103595</v>
      </c>
      <c r="C206" s="105" t="s">
        <v>834</v>
      </c>
      <c r="D206" s="95">
        <v>43922</v>
      </c>
      <c r="E206" s="95">
        <v>44016</v>
      </c>
      <c r="F206" s="95">
        <v>44016</v>
      </c>
      <c r="G206" s="99" t="s">
        <v>836</v>
      </c>
      <c r="H206" s="101">
        <v>44716</v>
      </c>
      <c r="I206" s="101">
        <v>44899</v>
      </c>
      <c r="J206" s="95">
        <v>44790</v>
      </c>
      <c r="K206" s="95">
        <v>44790</v>
      </c>
      <c r="L206" s="95" t="str">
        <f t="shared" si="75"/>
        <v>2Y4M16D</v>
      </c>
      <c r="M206" s="95" t="str">
        <f t="shared" si="76"/>
        <v>2Y1M13D</v>
      </c>
      <c r="N206" s="102">
        <f t="shared" si="77"/>
        <v>2.1205479452054794</v>
      </c>
      <c r="O206" s="99">
        <v>4</v>
      </c>
      <c r="P206" s="99">
        <v>2</v>
      </c>
      <c r="Q206" s="99"/>
      <c r="R206" s="99"/>
      <c r="S206" s="99"/>
      <c r="T206" s="99"/>
      <c r="U206" s="99"/>
      <c r="V206" s="99"/>
      <c r="W206" s="99"/>
      <c r="X206" s="99"/>
      <c r="Y206" s="99">
        <v>2</v>
      </c>
      <c r="Z206" s="99">
        <v>1</v>
      </c>
      <c r="AA206" s="99"/>
      <c r="AB206" s="99"/>
      <c r="AC206" s="99"/>
      <c r="AD206" s="99"/>
      <c r="AE206" s="99"/>
      <c r="AF206" s="99">
        <v>1</v>
      </c>
      <c r="AG206" s="99">
        <v>1</v>
      </c>
      <c r="AH206" s="95">
        <v>44790</v>
      </c>
      <c r="AI206" s="95" t="str">
        <f t="shared" si="78"/>
        <v>2Y4M16D</v>
      </c>
      <c r="AJ206" s="95" t="str">
        <f t="shared" si="79"/>
        <v>2Y1M13D</v>
      </c>
      <c r="AK206" s="102">
        <f t="shared" si="80"/>
        <v>2.1205479452054794</v>
      </c>
      <c r="AL206" s="99"/>
      <c r="AM206" s="264">
        <v>1</v>
      </c>
      <c r="AN206" s="99">
        <v>1</v>
      </c>
      <c r="AO206" s="99">
        <v>1</v>
      </c>
      <c r="AP206" s="99">
        <v>1</v>
      </c>
      <c r="AQ206" s="99">
        <v>2</v>
      </c>
      <c r="AR206" s="99" t="s">
        <v>1967</v>
      </c>
      <c r="AS206" s="95">
        <v>44789</v>
      </c>
      <c r="AT206" s="95" t="str">
        <f t="shared" si="81"/>
        <v>2Y4M15D</v>
      </c>
      <c r="AU206" s="95" t="str">
        <f t="shared" si="82"/>
        <v>2Y1M12D</v>
      </c>
      <c r="AV206" s="102">
        <f t="shared" si="83"/>
        <v>2.117808219178082</v>
      </c>
      <c r="AW206" s="99">
        <v>2</v>
      </c>
      <c r="AX206" s="95">
        <v>44789</v>
      </c>
      <c r="AY206" s="95" t="str">
        <f t="shared" si="84"/>
        <v>2Y4M15D</v>
      </c>
      <c r="AZ206" s="102" t="str">
        <f t="shared" si="85"/>
        <v>2Y1M12D</v>
      </c>
      <c r="BA206" s="102">
        <f t="shared" si="86"/>
        <v>2.117808219178082</v>
      </c>
      <c r="BB206" s="99">
        <v>2</v>
      </c>
      <c r="BC206" s="95">
        <v>44750</v>
      </c>
      <c r="BD206" s="95" t="str">
        <f t="shared" si="87"/>
        <v>2Y3M7D</v>
      </c>
      <c r="BE206" s="102" t="str">
        <f t="shared" si="88"/>
        <v>2Y0M4D</v>
      </c>
      <c r="BF206" s="102">
        <f t="shared" si="89"/>
        <v>2.010958904109589</v>
      </c>
      <c r="BG206" s="99">
        <v>1</v>
      </c>
      <c r="BH206" s="99"/>
    </row>
    <row r="207" spans="1:60" s="189" customFormat="1" ht="16">
      <c r="A207" s="99" t="s">
        <v>838</v>
      </c>
      <c r="B207" s="99">
        <v>22109382</v>
      </c>
      <c r="C207" s="105" t="s">
        <v>839</v>
      </c>
      <c r="D207" s="95">
        <v>44511</v>
      </c>
      <c r="E207" s="95">
        <v>44516</v>
      </c>
      <c r="F207" s="95">
        <v>44511</v>
      </c>
      <c r="G207" s="99" t="s">
        <v>452</v>
      </c>
      <c r="H207" s="101">
        <v>45210</v>
      </c>
      <c r="I207" s="101">
        <v>45393</v>
      </c>
      <c r="J207" s="95">
        <v>45257</v>
      </c>
      <c r="K207" s="95">
        <v>45257</v>
      </c>
      <c r="L207" s="99" t="str">
        <f t="shared" si="75"/>
        <v>2Y0M16D</v>
      </c>
      <c r="M207" s="99" t="str">
        <f t="shared" si="76"/>
        <v>2Y0M11D</v>
      </c>
      <c r="N207" s="102">
        <f t="shared" si="77"/>
        <v>2.043835616438356</v>
      </c>
      <c r="O207" s="99">
        <v>4</v>
      </c>
      <c r="P207" s="99">
        <v>3</v>
      </c>
      <c r="Q207" s="99"/>
      <c r="R207" s="99">
        <v>3</v>
      </c>
      <c r="S207" s="99">
        <v>1</v>
      </c>
      <c r="T207" s="99">
        <v>1</v>
      </c>
      <c r="U207" s="99"/>
      <c r="V207" s="99" t="s">
        <v>1661</v>
      </c>
      <c r="W207" s="99">
        <v>2</v>
      </c>
      <c r="X207" s="99">
        <v>1</v>
      </c>
      <c r="Y207" s="99">
        <v>1</v>
      </c>
      <c r="Z207" s="99">
        <v>1</v>
      </c>
      <c r="AA207" s="99">
        <v>2</v>
      </c>
      <c r="AB207" s="99">
        <v>1</v>
      </c>
      <c r="AC207" s="99"/>
      <c r="AD207" s="99">
        <v>1</v>
      </c>
      <c r="AE207" s="99">
        <v>1</v>
      </c>
      <c r="AF207" s="99">
        <v>1</v>
      </c>
      <c r="AG207" s="99">
        <v>1</v>
      </c>
      <c r="AH207" s="95">
        <v>45256</v>
      </c>
      <c r="AI207" s="99" t="str">
        <f t="shared" si="78"/>
        <v>2Y0M15D</v>
      </c>
      <c r="AJ207" s="99" t="str">
        <f t="shared" si="79"/>
        <v>2Y0M10D</v>
      </c>
      <c r="AK207" s="102">
        <f t="shared" si="80"/>
        <v>2.0410958904109591</v>
      </c>
      <c r="AL207" s="99">
        <v>1</v>
      </c>
      <c r="AM207" s="99">
        <v>1</v>
      </c>
      <c r="AN207" s="99">
        <v>2</v>
      </c>
      <c r="AO207" s="99">
        <v>1</v>
      </c>
      <c r="AP207" s="99">
        <v>3</v>
      </c>
      <c r="AQ207" s="99">
        <v>3</v>
      </c>
      <c r="AR207" s="99"/>
      <c r="AS207" s="95">
        <v>45253</v>
      </c>
      <c r="AT207" s="99" t="str">
        <f t="shared" si="81"/>
        <v>2Y0M12D</v>
      </c>
      <c r="AU207" s="99" t="str">
        <f t="shared" si="82"/>
        <v>2Y0M7D</v>
      </c>
      <c r="AV207" s="102">
        <f t="shared" si="83"/>
        <v>2.032876712328767</v>
      </c>
      <c r="AW207" s="99">
        <v>6</v>
      </c>
      <c r="AX207" s="95">
        <v>45257</v>
      </c>
      <c r="AY207" s="99" t="str">
        <f t="shared" si="84"/>
        <v>2Y0M16D</v>
      </c>
      <c r="AZ207" s="99" t="str">
        <f t="shared" si="85"/>
        <v>2Y0M11D</v>
      </c>
      <c r="BA207" s="99">
        <f t="shared" si="86"/>
        <v>2.043835616438356</v>
      </c>
      <c r="BB207" s="99">
        <v>7</v>
      </c>
      <c r="BC207" s="95">
        <v>45257</v>
      </c>
      <c r="BD207" s="99" t="str">
        <f t="shared" si="87"/>
        <v>2Y0M16D</v>
      </c>
      <c r="BE207" s="102" t="str">
        <f t="shared" si="88"/>
        <v>2Y0M11D</v>
      </c>
      <c r="BF207" s="102">
        <f t="shared" si="89"/>
        <v>2.043835616438356</v>
      </c>
      <c r="BG207" s="99">
        <v>2</v>
      </c>
      <c r="BH207" s="99"/>
    </row>
    <row r="208" spans="1:60">
      <c r="AK208" s="84"/>
    </row>
    <row r="209" spans="37:37">
      <c r="AK209" s="84"/>
    </row>
    <row r="210" spans="37:37">
      <c r="AK210" s="84"/>
    </row>
    <row r="211" spans="37:37">
      <c r="AK211" s="84"/>
    </row>
    <row r="212" spans="37:37">
      <c r="AK212" s="84"/>
    </row>
    <row r="213" spans="37:37">
      <c r="AK213" s="84"/>
    </row>
    <row r="214" spans="37:37">
      <c r="AK214" s="84"/>
    </row>
    <row r="215" spans="37:37">
      <c r="AK215" s="84"/>
    </row>
    <row r="216" spans="37:37">
      <c r="AK216" s="84"/>
    </row>
    <row r="217" spans="37:37">
      <c r="AK217" s="84"/>
    </row>
    <row r="218" spans="37:37">
      <c r="AK218" s="84"/>
    </row>
    <row r="219" spans="37:37">
      <c r="AK219" s="84"/>
    </row>
    <row r="220" spans="37:37">
      <c r="AK220" s="84"/>
    </row>
    <row r="221" spans="37:37">
      <c r="AK221" s="84"/>
    </row>
    <row r="222" spans="37:37">
      <c r="AK222" s="84"/>
    </row>
    <row r="223" spans="37:37">
      <c r="AK223" s="84"/>
    </row>
    <row r="224" spans="37:37">
      <c r="AK224" s="84"/>
    </row>
    <row r="225" spans="37:37">
      <c r="AK225" s="84"/>
    </row>
    <row r="226" spans="37:37">
      <c r="AK226" s="84"/>
    </row>
    <row r="227" spans="37:37">
      <c r="AK227" s="84"/>
    </row>
    <row r="228" spans="37:37">
      <c r="AK228" s="84"/>
    </row>
    <row r="229" spans="37:37">
      <c r="AK229" s="84"/>
    </row>
    <row r="230" spans="37:37">
      <c r="AK230" s="84"/>
    </row>
    <row r="231" spans="37:37">
      <c r="AK231" s="84"/>
    </row>
    <row r="232" spans="37:37">
      <c r="AK232" s="84"/>
    </row>
    <row r="233" spans="37:37">
      <c r="AK233" s="84"/>
    </row>
    <row r="234" spans="37:37">
      <c r="AK234" s="84"/>
    </row>
    <row r="235" spans="37:37">
      <c r="AK235" s="84"/>
    </row>
    <row r="236" spans="37:37">
      <c r="AK236" s="84"/>
    </row>
    <row r="237" spans="37:37">
      <c r="AK237" s="84"/>
    </row>
    <row r="238" spans="37:37">
      <c r="AK238" s="84"/>
    </row>
    <row r="239" spans="37:37">
      <c r="AK239" s="84"/>
    </row>
    <row r="240" spans="37:37">
      <c r="AK240" s="84"/>
    </row>
    <row r="241" spans="37:37">
      <c r="AK241" s="84"/>
    </row>
    <row r="242" spans="37:37">
      <c r="AK242" s="84"/>
    </row>
    <row r="243" spans="37:37">
      <c r="AK243" s="84"/>
    </row>
    <row r="244" spans="37:37">
      <c r="AK244" s="84"/>
    </row>
    <row r="245" spans="37:37">
      <c r="AK245" s="84"/>
    </row>
    <row r="246" spans="37:37">
      <c r="AK246" s="84"/>
    </row>
    <row r="247" spans="37:37">
      <c r="AK247" s="84"/>
    </row>
    <row r="248" spans="37:37">
      <c r="AK248" s="84"/>
    </row>
    <row r="249" spans="37:37">
      <c r="AK249" s="84"/>
    </row>
    <row r="250" spans="37:37">
      <c r="AK250" s="84"/>
    </row>
    <row r="251" spans="37:37">
      <c r="AK251" s="84"/>
    </row>
    <row r="252" spans="37:37">
      <c r="AK252" s="84"/>
    </row>
    <row r="253" spans="37:37">
      <c r="AK253" s="84"/>
    </row>
    <row r="254" spans="37:37">
      <c r="AK254" s="84"/>
    </row>
    <row r="255" spans="37:37">
      <c r="AK255" s="84"/>
    </row>
    <row r="256" spans="37:37">
      <c r="AK256" s="84"/>
    </row>
    <row r="257" spans="37:37">
      <c r="AK257" s="84"/>
    </row>
    <row r="258" spans="37:37">
      <c r="AK258" s="84"/>
    </row>
    <row r="259" spans="37:37">
      <c r="AK259" s="84"/>
    </row>
    <row r="260" spans="37:37">
      <c r="AK260" s="84"/>
    </row>
    <row r="261" spans="37:37">
      <c r="AK261" s="84"/>
    </row>
    <row r="262" spans="37:37">
      <c r="AK262" s="84"/>
    </row>
    <row r="263" spans="37:37">
      <c r="AK263" s="84"/>
    </row>
    <row r="264" spans="37:37">
      <c r="AK264" s="84"/>
    </row>
    <row r="265" spans="37:37">
      <c r="AK265" s="84"/>
    </row>
    <row r="266" spans="37:37">
      <c r="AK266" s="84"/>
    </row>
    <row r="267" spans="37:37">
      <c r="AK267" s="84"/>
    </row>
    <row r="268" spans="37:37">
      <c r="AK268" s="84"/>
    </row>
    <row r="269" spans="37:37">
      <c r="AK269" s="84"/>
    </row>
    <row r="270" spans="37:37">
      <c r="AK270" s="84"/>
    </row>
    <row r="271" spans="37:37">
      <c r="AK271" s="84"/>
    </row>
    <row r="272" spans="37:37">
      <c r="AK272" s="84"/>
    </row>
    <row r="273" spans="37:37">
      <c r="AK273" s="84"/>
    </row>
    <row r="274" spans="37:37">
      <c r="AK274" s="84"/>
    </row>
    <row r="275" spans="37:37">
      <c r="AK275" s="84"/>
    </row>
    <row r="276" spans="37:37">
      <c r="AK276" s="84"/>
    </row>
    <row r="277" spans="37:37">
      <c r="AK277" s="84"/>
    </row>
    <row r="278" spans="37:37">
      <c r="AK278" s="84"/>
    </row>
    <row r="279" spans="37:37">
      <c r="AK279" s="84"/>
    </row>
    <row r="280" spans="37:37">
      <c r="AK280" s="84"/>
    </row>
    <row r="281" spans="37:37">
      <c r="AK281" s="84"/>
    </row>
    <row r="282" spans="37:37">
      <c r="AK282" s="84"/>
    </row>
    <row r="283" spans="37:37">
      <c r="AK283" s="84"/>
    </row>
    <row r="284" spans="37:37">
      <c r="AK284" s="84"/>
    </row>
    <row r="285" spans="37:37">
      <c r="AK285" s="84"/>
    </row>
    <row r="286" spans="37:37">
      <c r="AK286" s="84"/>
    </row>
    <row r="287" spans="37:37">
      <c r="AK287" s="84"/>
    </row>
    <row r="288" spans="37:37">
      <c r="AK288" s="84"/>
    </row>
    <row r="289" spans="37:37">
      <c r="AK289" s="84"/>
    </row>
    <row r="290" spans="37:37">
      <c r="AK290" s="84"/>
    </row>
    <row r="291" spans="37:37">
      <c r="AK291" s="84"/>
    </row>
    <row r="292" spans="37:37">
      <c r="AK292" s="84"/>
    </row>
    <row r="293" spans="37:37">
      <c r="AK293" s="84"/>
    </row>
    <row r="294" spans="37:37">
      <c r="AK294" s="84"/>
    </row>
    <row r="295" spans="37:37">
      <c r="AK295" s="84"/>
    </row>
    <row r="296" spans="37:37">
      <c r="AK296" s="84"/>
    </row>
    <row r="297" spans="37:37">
      <c r="AK297" s="84"/>
    </row>
    <row r="298" spans="37:37">
      <c r="AK298" s="84"/>
    </row>
    <row r="299" spans="37:37">
      <c r="AK299" s="84"/>
    </row>
    <row r="300" spans="37:37">
      <c r="AK300" s="84"/>
    </row>
    <row r="301" spans="37:37">
      <c r="AK301" s="84"/>
    </row>
    <row r="302" spans="37:37">
      <c r="AK302" s="84"/>
    </row>
    <row r="303" spans="37:37">
      <c r="AK303" s="84"/>
    </row>
    <row r="304" spans="37:37">
      <c r="AK304" s="84"/>
    </row>
    <row r="305" spans="37:37">
      <c r="AK305" s="84"/>
    </row>
    <row r="306" spans="37:37">
      <c r="AK306" s="84"/>
    </row>
    <row r="307" spans="37:37">
      <c r="AK307" s="84"/>
    </row>
    <row r="308" spans="37:37">
      <c r="AK308" s="84"/>
    </row>
    <row r="309" spans="37:37">
      <c r="AK309" s="84"/>
    </row>
    <row r="310" spans="37:37">
      <c r="AK310" s="84"/>
    </row>
    <row r="311" spans="37:37">
      <c r="AK311" s="84"/>
    </row>
    <row r="312" spans="37:37">
      <c r="AK312" s="84"/>
    </row>
    <row r="313" spans="37:37">
      <c r="AK313" s="84"/>
    </row>
    <row r="314" spans="37:37">
      <c r="AK314" s="84"/>
    </row>
    <row r="315" spans="37:37">
      <c r="AK315" s="84"/>
    </row>
    <row r="316" spans="37:37">
      <c r="AK316" s="84"/>
    </row>
    <row r="317" spans="37:37">
      <c r="AK317" s="84"/>
    </row>
    <row r="318" spans="37:37">
      <c r="AK318" s="84"/>
    </row>
    <row r="319" spans="37:37">
      <c r="AK319" s="84"/>
    </row>
    <row r="320" spans="37:37">
      <c r="AK320" s="84"/>
    </row>
    <row r="321" spans="37:37">
      <c r="AK321" s="84"/>
    </row>
    <row r="322" spans="37:37">
      <c r="AK322" s="84"/>
    </row>
    <row r="323" spans="37:37">
      <c r="AK323" s="84"/>
    </row>
    <row r="324" spans="37:37">
      <c r="AK324" s="84"/>
    </row>
    <row r="325" spans="37:37">
      <c r="AK325" s="84"/>
    </row>
    <row r="326" spans="37:37">
      <c r="AK326" s="84"/>
    </row>
    <row r="327" spans="37:37">
      <c r="AK327" s="84"/>
    </row>
    <row r="328" spans="37:37">
      <c r="AK328" s="84"/>
    </row>
    <row r="329" spans="37:37">
      <c r="AK329" s="84"/>
    </row>
    <row r="330" spans="37:37">
      <c r="AK330" s="84"/>
    </row>
    <row r="331" spans="37:37">
      <c r="AK331" s="84"/>
    </row>
    <row r="332" spans="37:37">
      <c r="AK332" s="84"/>
    </row>
    <row r="333" spans="37:37">
      <c r="AK333" s="84"/>
    </row>
    <row r="334" spans="37:37">
      <c r="AK334" s="84"/>
    </row>
    <row r="335" spans="37:37">
      <c r="AK335" s="84"/>
    </row>
    <row r="336" spans="37:37">
      <c r="AK336" s="84"/>
    </row>
    <row r="337" spans="37:37">
      <c r="AK337" s="84"/>
    </row>
    <row r="338" spans="37:37">
      <c r="AK338" s="84"/>
    </row>
    <row r="339" spans="37:37">
      <c r="AK339" s="84"/>
    </row>
    <row r="340" spans="37:37">
      <c r="AK340" s="84"/>
    </row>
    <row r="341" spans="37:37">
      <c r="AK341" s="84"/>
    </row>
    <row r="342" spans="37:37">
      <c r="AK342" s="84"/>
    </row>
    <row r="343" spans="37:37">
      <c r="AK343" s="84"/>
    </row>
    <row r="344" spans="37:37">
      <c r="AK344" s="84"/>
    </row>
    <row r="345" spans="37:37">
      <c r="AK345" s="84"/>
    </row>
    <row r="346" spans="37:37">
      <c r="AK346" s="84"/>
    </row>
    <row r="347" spans="37:37">
      <c r="AK347" s="84"/>
    </row>
    <row r="348" spans="37:37">
      <c r="AK348" s="84"/>
    </row>
    <row r="349" spans="37:37">
      <c r="AK349" s="84"/>
    </row>
    <row r="350" spans="37:37">
      <c r="AK350" s="84"/>
    </row>
    <row r="351" spans="37:37">
      <c r="AK351" s="84"/>
    </row>
    <row r="352" spans="37:37">
      <c r="AK352" s="84"/>
    </row>
    <row r="353" spans="37:37">
      <c r="AK353" s="84"/>
    </row>
    <row r="354" spans="37:37">
      <c r="AK354" s="84"/>
    </row>
    <row r="355" spans="37:37">
      <c r="AK355" s="84"/>
    </row>
    <row r="356" spans="37:37">
      <c r="AK356" s="84"/>
    </row>
    <row r="357" spans="37:37">
      <c r="AK357" s="84"/>
    </row>
    <row r="358" spans="37:37">
      <c r="AK358" s="84"/>
    </row>
    <row r="359" spans="37:37">
      <c r="AK359" s="84"/>
    </row>
    <row r="360" spans="37:37">
      <c r="AK360" s="84"/>
    </row>
    <row r="361" spans="37:37">
      <c r="AK361" s="84"/>
    </row>
    <row r="362" spans="37:37">
      <c r="AK362" s="84"/>
    </row>
    <row r="363" spans="37:37">
      <c r="AK363" s="84"/>
    </row>
    <row r="364" spans="37:37">
      <c r="AK364" s="84"/>
    </row>
    <row r="365" spans="37:37">
      <c r="AK365" s="84"/>
    </row>
    <row r="366" spans="37:37">
      <c r="AK366" s="84"/>
    </row>
    <row r="367" spans="37:37">
      <c r="AK367" s="84"/>
    </row>
    <row r="368" spans="37:37">
      <c r="AK368" s="84"/>
    </row>
    <row r="369" spans="37:37">
      <c r="AK369" s="84"/>
    </row>
    <row r="370" spans="37:37">
      <c r="AK370" s="84"/>
    </row>
    <row r="371" spans="37:37">
      <c r="AK371" s="84"/>
    </row>
    <row r="372" spans="37:37">
      <c r="AK372" s="84"/>
    </row>
    <row r="373" spans="37:37">
      <c r="AK373" s="84"/>
    </row>
    <row r="374" spans="37:37">
      <c r="AK374" s="84"/>
    </row>
    <row r="375" spans="37:37">
      <c r="AK375" s="84"/>
    </row>
    <row r="376" spans="37:37">
      <c r="AK376" s="84"/>
    </row>
    <row r="377" spans="37:37">
      <c r="AK377" s="84"/>
    </row>
    <row r="378" spans="37:37">
      <c r="AK378" s="84"/>
    </row>
    <row r="379" spans="37:37">
      <c r="AK379" s="84"/>
    </row>
    <row r="380" spans="37:37">
      <c r="AK380" s="84"/>
    </row>
    <row r="381" spans="37:37">
      <c r="AK381" s="84"/>
    </row>
    <row r="382" spans="37:37">
      <c r="AK382" s="84"/>
    </row>
    <row r="383" spans="37:37">
      <c r="AK383" s="84"/>
    </row>
    <row r="384" spans="37:37">
      <c r="AK384" s="84"/>
    </row>
    <row r="385" spans="37:37">
      <c r="AK385" s="84"/>
    </row>
    <row r="386" spans="37:37">
      <c r="AK386" s="84"/>
    </row>
    <row r="387" spans="37:37">
      <c r="AK387" s="84"/>
    </row>
    <row r="388" spans="37:37">
      <c r="AK388" s="84"/>
    </row>
    <row r="389" spans="37:37">
      <c r="AK389" s="84"/>
    </row>
    <row r="390" spans="37:37">
      <c r="AK390" s="84"/>
    </row>
    <row r="391" spans="37:37">
      <c r="AK391" s="84"/>
    </row>
    <row r="392" spans="37:37">
      <c r="AK392" s="84"/>
    </row>
    <row r="393" spans="37:37">
      <c r="AK393" s="84"/>
    </row>
    <row r="394" spans="37:37">
      <c r="AK394" s="84"/>
    </row>
    <row r="395" spans="37:37">
      <c r="AK395" s="84"/>
    </row>
    <row r="396" spans="37:37">
      <c r="AK396" s="84"/>
    </row>
    <row r="397" spans="37:37">
      <c r="AK397" s="84"/>
    </row>
    <row r="398" spans="37:37">
      <c r="AK398" s="84"/>
    </row>
    <row r="399" spans="37:37">
      <c r="AK399" s="84"/>
    </row>
    <row r="400" spans="37:37">
      <c r="AK400" s="84"/>
    </row>
    <row r="401" spans="37:37">
      <c r="AK401" s="84"/>
    </row>
    <row r="402" spans="37:37">
      <c r="AK402" s="84"/>
    </row>
    <row r="403" spans="37:37">
      <c r="AK403" s="84"/>
    </row>
    <row r="404" spans="37:37">
      <c r="AK404" s="84"/>
    </row>
    <row r="405" spans="37:37">
      <c r="AK405" s="84"/>
    </row>
    <row r="406" spans="37:37">
      <c r="AK406" s="84"/>
    </row>
    <row r="407" spans="37:37">
      <c r="AK407" s="84"/>
    </row>
    <row r="408" spans="37:37">
      <c r="AK408" s="84"/>
    </row>
    <row r="409" spans="37:37">
      <c r="AK409" s="84"/>
    </row>
    <row r="410" spans="37:37">
      <c r="AK410" s="84"/>
    </row>
    <row r="411" spans="37:37">
      <c r="AK411" s="84"/>
    </row>
    <row r="412" spans="37:37">
      <c r="AK412" s="84"/>
    </row>
    <row r="413" spans="37:37">
      <c r="AK413" s="84"/>
    </row>
    <row r="414" spans="37:37">
      <c r="AK414" s="84"/>
    </row>
    <row r="415" spans="37:37">
      <c r="AK415" s="84"/>
    </row>
    <row r="416" spans="37:37">
      <c r="AK416" s="84"/>
    </row>
    <row r="417" spans="37:37">
      <c r="AK417" s="84"/>
    </row>
    <row r="418" spans="37:37">
      <c r="AK418" s="84"/>
    </row>
    <row r="419" spans="37:37">
      <c r="AK419" s="84"/>
    </row>
    <row r="420" spans="37:37">
      <c r="AK420" s="84"/>
    </row>
    <row r="421" spans="37:37">
      <c r="AK421" s="84"/>
    </row>
    <row r="422" spans="37:37">
      <c r="AK422" s="84"/>
    </row>
    <row r="423" spans="37:37">
      <c r="AK423" s="84"/>
    </row>
    <row r="424" spans="37:37">
      <c r="AK424" s="84"/>
    </row>
    <row r="425" spans="37:37">
      <c r="AK425" s="84"/>
    </row>
    <row r="426" spans="37:37">
      <c r="AK426" s="84"/>
    </row>
    <row r="427" spans="37:37">
      <c r="AK427" s="84"/>
    </row>
    <row r="428" spans="37:37">
      <c r="AK428" s="84"/>
    </row>
    <row r="429" spans="37:37">
      <c r="AK429" s="84"/>
    </row>
    <row r="430" spans="37:37">
      <c r="AK430" s="84"/>
    </row>
    <row r="431" spans="37:37">
      <c r="AK431" s="84"/>
    </row>
    <row r="432" spans="37:37">
      <c r="AK432" s="84"/>
    </row>
    <row r="433" spans="37:37">
      <c r="AK433" s="84"/>
    </row>
    <row r="434" spans="37:37">
      <c r="AK434" s="84"/>
    </row>
    <row r="435" spans="37:37">
      <c r="AK435" s="84"/>
    </row>
    <row r="436" spans="37:37">
      <c r="AK436" s="84"/>
    </row>
    <row r="437" spans="37:37">
      <c r="AK437" s="84"/>
    </row>
    <row r="438" spans="37:37">
      <c r="AK438" s="84"/>
    </row>
    <row r="439" spans="37:37">
      <c r="AK439" s="84"/>
    </row>
    <row r="440" spans="37:37">
      <c r="AK440" s="84"/>
    </row>
    <row r="441" spans="37:37">
      <c r="AK441" s="84"/>
    </row>
    <row r="442" spans="37:37">
      <c r="AK442" s="84"/>
    </row>
    <row r="443" spans="37:37">
      <c r="AK443" s="84"/>
    </row>
    <row r="444" spans="37:37">
      <c r="AK444" s="84"/>
    </row>
    <row r="445" spans="37:37">
      <c r="AK445" s="84"/>
    </row>
    <row r="446" spans="37:37">
      <c r="AK446" s="84"/>
    </row>
    <row r="447" spans="37:37">
      <c r="AK447" s="84"/>
    </row>
    <row r="448" spans="37:37">
      <c r="AK448" s="84"/>
    </row>
    <row r="449" spans="37:37">
      <c r="AK449" s="84"/>
    </row>
    <row r="450" spans="37:37">
      <c r="AK450" s="84"/>
    </row>
    <row r="451" spans="37:37">
      <c r="AK451" s="84"/>
    </row>
    <row r="452" spans="37:37">
      <c r="AK452" s="84"/>
    </row>
    <row r="453" spans="37:37">
      <c r="AK453" s="84"/>
    </row>
    <row r="454" spans="37:37">
      <c r="AK454" s="84"/>
    </row>
    <row r="455" spans="37:37">
      <c r="AK455" s="84"/>
    </row>
    <row r="456" spans="37:37">
      <c r="AK456" s="84"/>
    </row>
    <row r="457" spans="37:37">
      <c r="AK457" s="84"/>
    </row>
    <row r="458" spans="37:37">
      <c r="AK458" s="84"/>
    </row>
    <row r="459" spans="37:37">
      <c r="AK459" s="84"/>
    </row>
    <row r="460" spans="37:37">
      <c r="AK460" s="84"/>
    </row>
    <row r="461" spans="37:37">
      <c r="AK461" s="84"/>
    </row>
    <row r="462" spans="37:37">
      <c r="AK462" s="84"/>
    </row>
    <row r="463" spans="37:37">
      <c r="AK463" s="84"/>
    </row>
    <row r="464" spans="37:37">
      <c r="AK464" s="84"/>
    </row>
    <row r="465" spans="37:37">
      <c r="AK465" s="84"/>
    </row>
    <row r="466" spans="37:37">
      <c r="AK466" s="84"/>
    </row>
    <row r="467" spans="37:37">
      <c r="AK467" s="84"/>
    </row>
    <row r="468" spans="37:37">
      <c r="AK468" s="84"/>
    </row>
    <row r="469" spans="37:37">
      <c r="AK469" s="84"/>
    </row>
    <row r="470" spans="37:37">
      <c r="AK470" s="84"/>
    </row>
    <row r="471" spans="37:37">
      <c r="AK471" s="84"/>
    </row>
    <row r="472" spans="37:37">
      <c r="AK472" s="84"/>
    </row>
    <row r="473" spans="37:37">
      <c r="AK473" s="84"/>
    </row>
    <row r="474" spans="37:37">
      <c r="AK474" s="84"/>
    </row>
    <row r="475" spans="37:37">
      <c r="AK475" s="84"/>
    </row>
    <row r="476" spans="37:37">
      <c r="AK476" s="84"/>
    </row>
    <row r="477" spans="37:37">
      <c r="AK477" s="84"/>
    </row>
    <row r="478" spans="37:37">
      <c r="AK478" s="84"/>
    </row>
    <row r="479" spans="37:37">
      <c r="AK479" s="84"/>
    </row>
    <row r="480" spans="37:37">
      <c r="AK480" s="84"/>
    </row>
    <row r="481" spans="37:37">
      <c r="AK481" s="84"/>
    </row>
    <row r="482" spans="37:37">
      <c r="AK482" s="84"/>
    </row>
    <row r="483" spans="37:37">
      <c r="AK483" s="84"/>
    </row>
    <row r="484" spans="37:37">
      <c r="AK484" s="84"/>
    </row>
    <row r="485" spans="37:37">
      <c r="AK485" s="84"/>
    </row>
    <row r="486" spans="37:37">
      <c r="AK486" s="84"/>
    </row>
    <row r="487" spans="37:37">
      <c r="AK487" s="84"/>
    </row>
    <row r="488" spans="37:37">
      <c r="AK488" s="84"/>
    </row>
    <row r="489" spans="37:37">
      <c r="AK489" s="84"/>
    </row>
    <row r="490" spans="37:37">
      <c r="AK490" s="84"/>
    </row>
    <row r="491" spans="37:37">
      <c r="AK491" s="84"/>
    </row>
    <row r="492" spans="37:37">
      <c r="AK492" s="84"/>
    </row>
    <row r="493" spans="37:37">
      <c r="AK493" s="84"/>
    </row>
    <row r="494" spans="37:37">
      <c r="AK494" s="84"/>
    </row>
    <row r="495" spans="37:37">
      <c r="AK495" s="84"/>
    </row>
    <row r="496" spans="37:37">
      <c r="AK496" s="84"/>
    </row>
    <row r="497" spans="37:37">
      <c r="AK497" s="84"/>
    </row>
    <row r="498" spans="37:37">
      <c r="AK498" s="84"/>
    </row>
    <row r="499" spans="37:37">
      <c r="AK499" s="84"/>
    </row>
    <row r="500" spans="37:37">
      <c r="AK500" s="84"/>
    </row>
    <row r="501" spans="37:37">
      <c r="AK501" s="84"/>
    </row>
    <row r="502" spans="37:37">
      <c r="AK502" s="84"/>
    </row>
    <row r="503" spans="37:37">
      <c r="AK503" s="84"/>
    </row>
    <row r="504" spans="37:37">
      <c r="AK504" s="84"/>
    </row>
    <row r="505" spans="37:37">
      <c r="AK505" s="84"/>
    </row>
    <row r="506" spans="37:37">
      <c r="AK506" s="84"/>
    </row>
    <row r="507" spans="37:37">
      <c r="AK507" s="84"/>
    </row>
    <row r="508" spans="37:37">
      <c r="AK508" s="84"/>
    </row>
    <row r="509" spans="37:37">
      <c r="AK509" s="84"/>
    </row>
    <row r="510" spans="37:37">
      <c r="AK510" s="84"/>
    </row>
    <row r="511" spans="37:37">
      <c r="AK511" s="84"/>
    </row>
    <row r="512" spans="37:37">
      <c r="AK512" s="84"/>
    </row>
    <row r="513" spans="37:37">
      <c r="AK513" s="84"/>
    </row>
    <row r="514" spans="37:37">
      <c r="AK514" s="84"/>
    </row>
    <row r="515" spans="37:37">
      <c r="AK515" s="84"/>
    </row>
    <row r="516" spans="37:37">
      <c r="AK516" s="84"/>
    </row>
    <row r="517" spans="37:37">
      <c r="AK517" s="84"/>
    </row>
    <row r="518" spans="37:37">
      <c r="AK518" s="84"/>
    </row>
    <row r="519" spans="37:37">
      <c r="AK519" s="84"/>
    </row>
    <row r="520" spans="37:37">
      <c r="AK520" s="84"/>
    </row>
    <row r="521" spans="37:37">
      <c r="AK521" s="84"/>
    </row>
    <row r="522" spans="37:37">
      <c r="AK522" s="84"/>
    </row>
    <row r="523" spans="37:37">
      <c r="AK523" s="84"/>
    </row>
    <row r="524" spans="37:37">
      <c r="AK524" s="84"/>
    </row>
    <row r="525" spans="37:37">
      <c r="AK525" s="84"/>
    </row>
    <row r="526" spans="37:37">
      <c r="AK526" s="84"/>
    </row>
    <row r="527" spans="37:37">
      <c r="AK527" s="84"/>
    </row>
    <row r="528" spans="37:37">
      <c r="AK528" s="84"/>
    </row>
    <row r="529" spans="37:37">
      <c r="AK529" s="84"/>
    </row>
    <row r="530" spans="37:37">
      <c r="AK530" s="84"/>
    </row>
    <row r="531" spans="37:37">
      <c r="AK531" s="84"/>
    </row>
    <row r="532" spans="37:37">
      <c r="AK532" s="84"/>
    </row>
    <row r="533" spans="37:37">
      <c r="AK533" s="84"/>
    </row>
    <row r="534" spans="37:37">
      <c r="AK534" s="84"/>
    </row>
    <row r="535" spans="37:37">
      <c r="AK535" s="84"/>
    </row>
    <row r="536" spans="37:37">
      <c r="AK536" s="84"/>
    </row>
    <row r="537" spans="37:37">
      <c r="AK537" s="84"/>
    </row>
    <row r="538" spans="37:37">
      <c r="AK538" s="84"/>
    </row>
    <row r="539" spans="37:37">
      <c r="AK539" s="84"/>
    </row>
    <row r="540" spans="37:37">
      <c r="AK540" s="84"/>
    </row>
    <row r="541" spans="37:37">
      <c r="AK541" s="84"/>
    </row>
    <row r="542" spans="37:37">
      <c r="AK542" s="84"/>
    </row>
    <row r="543" spans="37:37">
      <c r="AK543" s="84"/>
    </row>
    <row r="544" spans="37:37">
      <c r="AK544" s="84"/>
    </row>
    <row r="545" spans="37:37">
      <c r="AK545" s="84"/>
    </row>
    <row r="546" spans="37:37">
      <c r="AK546" s="84"/>
    </row>
    <row r="547" spans="37:37">
      <c r="AK547" s="84"/>
    </row>
    <row r="548" spans="37:37">
      <c r="AK548" s="84"/>
    </row>
    <row r="549" spans="37:37">
      <c r="AK549" s="84"/>
    </row>
    <row r="550" spans="37:37">
      <c r="AK550" s="84"/>
    </row>
    <row r="551" spans="37:37">
      <c r="AK551" s="84"/>
    </row>
    <row r="552" spans="37:37">
      <c r="AK552" s="84"/>
    </row>
    <row r="553" spans="37:37">
      <c r="AK553" s="84"/>
    </row>
    <row r="554" spans="37:37">
      <c r="AK554" s="84"/>
    </row>
    <row r="555" spans="37:37">
      <c r="AK555" s="84"/>
    </row>
  </sheetData>
  <autoFilter ref="A1:BH207" xr:uid="{00000000-0009-0000-0000-000004000000}"/>
  <phoneticPr fontId="3" type="noConversion"/>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208"/>
  <sheetViews>
    <sheetView zoomScale="75" workbookViewId="0">
      <pane xSplit="4" ySplit="1" topLeftCell="E2" activePane="bottomRight" state="frozen"/>
      <selection pane="topRight" activeCell="E1" sqref="E1"/>
      <selection pane="bottomLeft" activeCell="A2" sqref="A2"/>
      <selection pane="bottomRight" activeCell="N15" sqref="N15"/>
    </sheetView>
  </sheetViews>
  <sheetFormatPr baseColWidth="10" defaultColWidth="11.5" defaultRowHeight="15"/>
  <cols>
    <col min="1" max="1" width="13" style="15" bestFit="1" customWidth="1"/>
    <col min="4" max="4" width="14" bestFit="1" customWidth="1"/>
    <col min="5" max="5" width="12" customWidth="1"/>
    <col min="9" max="9" width="16.1640625" style="15" customWidth="1"/>
  </cols>
  <sheetData>
    <row r="1" spans="1:21" ht="16">
      <c r="A1" s="2" t="s">
        <v>0</v>
      </c>
      <c r="B1" s="137" t="s">
        <v>1</v>
      </c>
      <c r="C1" s="137" t="s">
        <v>2</v>
      </c>
      <c r="D1" s="161" t="s">
        <v>2664</v>
      </c>
      <c r="E1" s="138" t="s">
        <v>2665</v>
      </c>
      <c r="F1" s="138" t="s">
        <v>2666</v>
      </c>
      <c r="G1" s="137" t="s">
        <v>1775</v>
      </c>
      <c r="H1" s="137" t="s">
        <v>2667</v>
      </c>
      <c r="I1" s="2" t="s">
        <v>1777</v>
      </c>
      <c r="J1" s="160" t="s">
        <v>2668</v>
      </c>
      <c r="K1" s="137" t="s">
        <v>2669</v>
      </c>
      <c r="L1" s="137" t="s">
        <v>2670</v>
      </c>
      <c r="M1" s="137" t="s">
        <v>2671</v>
      </c>
      <c r="N1" s="137" t="s">
        <v>2672</v>
      </c>
      <c r="O1" s="137" t="s">
        <v>2673</v>
      </c>
      <c r="P1" s="137" t="s">
        <v>2674</v>
      </c>
      <c r="Q1" s="137" t="s">
        <v>2675</v>
      </c>
      <c r="R1" s="137" t="s">
        <v>2676</v>
      </c>
      <c r="S1" s="137" t="s">
        <v>2677</v>
      </c>
      <c r="T1" s="137" t="s">
        <v>2678</v>
      </c>
      <c r="U1" s="137"/>
    </row>
    <row r="2" spans="1:21" ht="16">
      <c r="A2" s="2" t="s">
        <v>15</v>
      </c>
      <c r="B2" s="137">
        <v>22104031</v>
      </c>
      <c r="C2" s="138" t="s">
        <v>2508</v>
      </c>
      <c r="D2" s="159">
        <v>44918</v>
      </c>
      <c r="E2" s="159">
        <v>44904</v>
      </c>
      <c r="F2" s="159">
        <v>44918</v>
      </c>
      <c r="G2" s="159">
        <v>44914</v>
      </c>
      <c r="H2" s="137">
        <v>487</v>
      </c>
      <c r="I2" s="23">
        <v>44902</v>
      </c>
      <c r="J2" s="137">
        <v>68.400000000000006</v>
      </c>
      <c r="K2" s="137">
        <v>20.399999999999999</v>
      </c>
      <c r="L2" s="137">
        <v>5028</v>
      </c>
      <c r="M2" s="137">
        <v>1502</v>
      </c>
      <c r="N2" s="137">
        <v>41.5</v>
      </c>
      <c r="O2" s="137">
        <v>3049</v>
      </c>
      <c r="P2" s="137">
        <v>23.8</v>
      </c>
      <c r="Q2" s="137">
        <v>1745</v>
      </c>
      <c r="R2" s="137">
        <v>1.8</v>
      </c>
      <c r="S2" s="137">
        <v>9.1</v>
      </c>
      <c r="T2" s="137">
        <v>671</v>
      </c>
      <c r="U2" s="152"/>
    </row>
    <row r="3" spans="1:21" ht="16">
      <c r="A3" s="2" t="s">
        <v>21</v>
      </c>
      <c r="B3" s="137">
        <v>22103764</v>
      </c>
      <c r="C3" s="152" t="s">
        <v>1659</v>
      </c>
      <c r="D3" s="290">
        <v>44889</v>
      </c>
      <c r="E3" s="159">
        <v>44876</v>
      </c>
      <c r="F3" s="159">
        <v>44890</v>
      </c>
      <c r="G3" s="159">
        <v>44879</v>
      </c>
      <c r="H3" s="137">
        <v>15.4</v>
      </c>
      <c r="I3" s="23">
        <v>44873</v>
      </c>
      <c r="J3" s="137">
        <v>75.5</v>
      </c>
      <c r="K3" s="137">
        <v>13.8</v>
      </c>
      <c r="L3" s="137">
        <v>2560</v>
      </c>
      <c r="M3" s="137">
        <v>467</v>
      </c>
      <c r="N3" s="137">
        <v>35.799999999999997</v>
      </c>
      <c r="O3" s="137">
        <v>1216</v>
      </c>
      <c r="P3" s="137">
        <v>25.8</v>
      </c>
      <c r="Q3" s="137">
        <v>876</v>
      </c>
      <c r="R3" s="137">
        <v>1.4</v>
      </c>
      <c r="S3" s="137">
        <v>9.1999999999999993</v>
      </c>
      <c r="T3" s="137">
        <v>313</v>
      </c>
      <c r="U3" s="152"/>
    </row>
    <row r="4" spans="1:21" ht="16">
      <c r="A4" s="2" t="s">
        <v>26</v>
      </c>
      <c r="B4" s="137">
        <v>22103833</v>
      </c>
      <c r="C4" s="161" t="s">
        <v>2679</v>
      </c>
      <c r="D4" s="159"/>
      <c r="E4" s="159">
        <v>44796</v>
      </c>
      <c r="F4" s="159">
        <v>44799</v>
      </c>
      <c r="G4" s="159">
        <v>44797</v>
      </c>
      <c r="H4" s="137">
        <v>74.5</v>
      </c>
      <c r="I4" s="23">
        <v>44776</v>
      </c>
      <c r="J4" s="137">
        <v>68.099999999999994</v>
      </c>
      <c r="K4" s="137">
        <v>21.7</v>
      </c>
      <c r="L4" s="137">
        <v>1823</v>
      </c>
      <c r="M4" s="137">
        <v>580</v>
      </c>
      <c r="N4" s="137">
        <v>37.200000000000003</v>
      </c>
      <c r="O4" s="137">
        <v>999</v>
      </c>
      <c r="P4" s="137">
        <v>21.3</v>
      </c>
      <c r="Q4" s="137">
        <v>572</v>
      </c>
      <c r="R4" s="137">
        <v>1.8</v>
      </c>
      <c r="S4" s="137">
        <v>7.6</v>
      </c>
      <c r="T4" s="137">
        <v>203</v>
      </c>
      <c r="U4" s="152"/>
    </row>
    <row r="5" spans="1:21" ht="16">
      <c r="A5" s="2" t="s">
        <v>31</v>
      </c>
      <c r="B5" s="137">
        <v>21928650</v>
      </c>
      <c r="C5" s="161" t="s">
        <v>966</v>
      </c>
      <c r="D5" s="159">
        <v>44407</v>
      </c>
      <c r="E5" s="159">
        <v>44323</v>
      </c>
      <c r="F5" s="159">
        <v>44326</v>
      </c>
      <c r="G5" s="159">
        <v>44326</v>
      </c>
      <c r="H5" s="137">
        <v>1726</v>
      </c>
      <c r="I5" s="23">
        <v>44321</v>
      </c>
      <c r="J5" s="160">
        <v>64.7</v>
      </c>
      <c r="K5" s="137">
        <v>26.5</v>
      </c>
      <c r="L5" s="137">
        <v>2521</v>
      </c>
      <c r="M5" s="137">
        <v>1015</v>
      </c>
      <c r="N5" s="137">
        <v>49.4</v>
      </c>
      <c r="O5" s="137">
        <v>1954</v>
      </c>
      <c r="P5" s="137">
        <v>13.7</v>
      </c>
      <c r="Q5" s="137">
        <v>544</v>
      </c>
      <c r="R5" s="137">
        <v>3.6</v>
      </c>
      <c r="S5" s="137">
        <v>7.2</v>
      </c>
      <c r="T5" s="137">
        <v>277</v>
      </c>
      <c r="U5" s="152"/>
    </row>
    <row r="6" spans="1:21" ht="16">
      <c r="A6" s="2" t="s">
        <v>36</v>
      </c>
      <c r="B6" s="137">
        <v>16900804</v>
      </c>
      <c r="C6" s="161" t="s">
        <v>967</v>
      </c>
      <c r="D6" s="159"/>
      <c r="E6" s="137"/>
      <c r="F6" s="137"/>
      <c r="G6" s="137"/>
      <c r="H6" s="137"/>
      <c r="I6" s="291" t="s">
        <v>1718</v>
      </c>
      <c r="J6" s="137"/>
      <c r="K6" s="137"/>
      <c r="L6" s="137"/>
      <c r="M6" s="137"/>
      <c r="N6" s="137"/>
      <c r="O6" s="137"/>
      <c r="P6" s="137"/>
      <c r="Q6" s="137"/>
      <c r="R6" s="137"/>
      <c r="S6" s="137"/>
      <c r="T6" s="137"/>
      <c r="U6" s="152"/>
    </row>
    <row r="7" spans="1:21" ht="16">
      <c r="A7" s="6" t="s">
        <v>41</v>
      </c>
      <c r="B7" s="292">
        <v>21926441</v>
      </c>
      <c r="C7" s="293" t="s">
        <v>843</v>
      </c>
      <c r="D7" s="294"/>
      <c r="E7" s="292"/>
      <c r="F7" s="292"/>
      <c r="G7" s="292"/>
      <c r="H7" s="292"/>
      <c r="I7" s="6"/>
      <c r="J7" s="292"/>
      <c r="K7" s="292"/>
      <c r="L7" s="292"/>
      <c r="M7" s="292"/>
      <c r="N7" s="292"/>
      <c r="O7" s="292"/>
      <c r="P7" s="292"/>
      <c r="Q7" s="292"/>
      <c r="R7" s="292"/>
      <c r="S7" s="292"/>
      <c r="T7" s="292"/>
      <c r="U7" s="152"/>
    </row>
    <row r="8" spans="1:21" ht="16">
      <c r="A8" s="2" t="s">
        <v>46</v>
      </c>
      <c r="B8" s="137">
        <v>21929504</v>
      </c>
      <c r="C8" s="161" t="s">
        <v>971</v>
      </c>
      <c r="D8" s="159">
        <v>44442</v>
      </c>
      <c r="E8" s="159">
        <v>44421</v>
      </c>
      <c r="F8" s="159">
        <v>44424</v>
      </c>
      <c r="G8" s="159">
        <v>44424</v>
      </c>
      <c r="H8" s="137">
        <v>79.400000000000006</v>
      </c>
      <c r="I8" s="23">
        <v>44420</v>
      </c>
      <c r="J8" s="160">
        <v>60.6</v>
      </c>
      <c r="K8" s="137">
        <v>33.700000000000003</v>
      </c>
      <c r="L8" s="137">
        <v>1167</v>
      </c>
      <c r="M8" s="137">
        <v>654</v>
      </c>
      <c r="N8" s="137">
        <v>32.4</v>
      </c>
      <c r="O8" s="137">
        <v>619</v>
      </c>
      <c r="P8" s="137">
        <v>24</v>
      </c>
      <c r="Q8" s="137">
        <v>459</v>
      </c>
      <c r="R8" s="137">
        <v>1.4</v>
      </c>
      <c r="S8" s="137">
        <v>3.7</v>
      </c>
      <c r="T8" s="137">
        <v>73</v>
      </c>
      <c r="U8" s="152"/>
    </row>
    <row r="9" spans="1:21" ht="16">
      <c r="A9" s="2" t="s">
        <v>51</v>
      </c>
      <c r="B9" s="137">
        <v>21929505</v>
      </c>
      <c r="C9" s="161" t="s">
        <v>972</v>
      </c>
      <c r="D9" s="159">
        <v>44442</v>
      </c>
      <c r="E9" s="159">
        <v>44421</v>
      </c>
      <c r="F9" s="159">
        <v>44424</v>
      </c>
      <c r="G9" s="159">
        <v>44424</v>
      </c>
      <c r="H9" s="137">
        <v>314</v>
      </c>
      <c r="I9" s="23">
        <v>44420</v>
      </c>
      <c r="J9" s="160">
        <v>73.7</v>
      </c>
      <c r="K9" s="137">
        <v>18.399999999999999</v>
      </c>
      <c r="L9" s="137">
        <v>1718</v>
      </c>
      <c r="M9" s="137">
        <v>430</v>
      </c>
      <c r="N9" s="137">
        <v>47</v>
      </c>
      <c r="O9" s="137">
        <v>1094</v>
      </c>
      <c r="P9" s="137">
        <v>23.2</v>
      </c>
      <c r="Q9" s="137">
        <v>539</v>
      </c>
      <c r="R9" s="137">
        <v>2</v>
      </c>
      <c r="S9" s="137">
        <v>6.6</v>
      </c>
      <c r="T9" s="137">
        <v>154</v>
      </c>
      <c r="U9" s="152"/>
    </row>
    <row r="10" spans="1:21" ht="16">
      <c r="A10" s="2" t="s">
        <v>54</v>
      </c>
      <c r="B10" s="137">
        <v>22100733</v>
      </c>
      <c r="C10" s="161" t="s">
        <v>973</v>
      </c>
      <c r="D10" s="159">
        <v>44531</v>
      </c>
      <c r="E10" s="159">
        <v>44509</v>
      </c>
      <c r="F10" s="137"/>
      <c r="G10" s="159">
        <v>44510</v>
      </c>
      <c r="H10" s="137">
        <v>359</v>
      </c>
      <c r="I10" s="23">
        <v>44505</v>
      </c>
      <c r="J10" s="160">
        <v>67.2</v>
      </c>
      <c r="K10" s="137">
        <v>27.3</v>
      </c>
      <c r="L10" s="137">
        <v>2689</v>
      </c>
      <c r="M10" s="137">
        <v>1081</v>
      </c>
      <c r="N10" s="137">
        <v>41.6</v>
      </c>
      <c r="O10" s="137">
        <v>1679</v>
      </c>
      <c r="P10" s="137">
        <v>20.6</v>
      </c>
      <c r="Q10" s="137">
        <v>832</v>
      </c>
      <c r="R10" s="137">
        <v>2</v>
      </c>
      <c r="S10" s="137">
        <v>4.3</v>
      </c>
      <c r="T10" s="137">
        <v>168</v>
      </c>
      <c r="U10" s="152"/>
    </row>
    <row r="11" spans="1:21" ht="16">
      <c r="A11" s="2" t="s">
        <v>59</v>
      </c>
      <c r="B11" s="137">
        <v>22101152</v>
      </c>
      <c r="C11" s="161" t="s">
        <v>974</v>
      </c>
      <c r="D11" s="159">
        <v>44543</v>
      </c>
      <c r="E11" s="159">
        <v>44540</v>
      </c>
      <c r="F11" s="137"/>
      <c r="G11" s="159">
        <v>44543</v>
      </c>
      <c r="H11" s="137">
        <v>10.9</v>
      </c>
      <c r="I11" s="23">
        <v>44537</v>
      </c>
      <c r="J11" s="160">
        <v>68.3</v>
      </c>
      <c r="K11" s="137">
        <v>24</v>
      </c>
      <c r="L11" s="137">
        <v>4129</v>
      </c>
      <c r="M11" s="137">
        <v>1441</v>
      </c>
      <c r="N11" s="137">
        <v>35.799999999999997</v>
      </c>
      <c r="O11" s="137">
        <v>2174</v>
      </c>
      <c r="P11" s="137">
        <v>25.1</v>
      </c>
      <c r="Q11" s="137">
        <v>1526</v>
      </c>
      <c r="R11" s="137">
        <v>1.4</v>
      </c>
      <c r="S11" s="137">
        <v>5</v>
      </c>
      <c r="T11" s="137">
        <v>297</v>
      </c>
      <c r="U11" s="152"/>
    </row>
    <row r="12" spans="1:21" ht="16">
      <c r="A12" s="6" t="s">
        <v>63</v>
      </c>
      <c r="B12" s="292">
        <v>22140400</v>
      </c>
      <c r="C12" s="293" t="s">
        <v>975</v>
      </c>
      <c r="D12" s="294"/>
      <c r="E12" s="292"/>
      <c r="F12" s="292"/>
      <c r="G12" s="292"/>
      <c r="H12" s="292"/>
      <c r="I12" s="6"/>
      <c r="J12" s="292"/>
      <c r="K12" s="292"/>
      <c r="L12" s="292"/>
      <c r="M12" s="292"/>
      <c r="N12" s="292"/>
      <c r="O12" s="292"/>
      <c r="P12" s="292"/>
      <c r="Q12" s="292"/>
      <c r="R12" s="292"/>
      <c r="S12" s="292"/>
      <c r="T12" s="292"/>
      <c r="U12" s="152"/>
    </row>
    <row r="13" spans="1:21" ht="16">
      <c r="A13" s="6" t="s">
        <v>68</v>
      </c>
      <c r="B13" s="292">
        <v>22140401</v>
      </c>
      <c r="C13" s="293" t="s">
        <v>976</v>
      </c>
      <c r="D13" s="294"/>
      <c r="E13" s="292"/>
      <c r="F13" s="292"/>
      <c r="G13" s="292"/>
      <c r="H13" s="292"/>
      <c r="I13" s="6"/>
      <c r="J13" s="292"/>
      <c r="K13" s="292"/>
      <c r="L13" s="292"/>
      <c r="M13" s="292"/>
      <c r="N13" s="292"/>
      <c r="O13" s="292"/>
      <c r="P13" s="292"/>
      <c r="Q13" s="292"/>
      <c r="R13" s="292"/>
      <c r="S13" s="292"/>
      <c r="T13" s="292"/>
      <c r="U13" s="152"/>
    </row>
    <row r="14" spans="1:21" ht="16">
      <c r="A14" s="2" t="s">
        <v>71</v>
      </c>
      <c r="B14" s="137">
        <v>16900981</v>
      </c>
      <c r="C14" s="161" t="s">
        <v>2680</v>
      </c>
      <c r="D14" s="159"/>
      <c r="E14" s="137"/>
      <c r="F14" s="137"/>
      <c r="G14" s="137"/>
      <c r="H14" s="137"/>
      <c r="I14" s="23" t="s">
        <v>1955</v>
      </c>
      <c r="J14" s="137"/>
      <c r="K14" s="137"/>
      <c r="L14" s="137"/>
      <c r="M14" s="137"/>
      <c r="N14" s="137"/>
      <c r="O14" s="137"/>
      <c r="P14" s="137"/>
      <c r="Q14" s="137"/>
      <c r="R14" s="137"/>
      <c r="S14" s="137"/>
      <c r="T14" s="137"/>
      <c r="U14" s="152"/>
    </row>
    <row r="15" spans="1:21" ht="16">
      <c r="A15" s="2" t="s">
        <v>77</v>
      </c>
      <c r="B15" s="137">
        <v>21928109</v>
      </c>
      <c r="C15" s="161" t="s">
        <v>983</v>
      </c>
      <c r="D15" s="159">
        <v>44487</v>
      </c>
      <c r="E15" s="159">
        <v>44274</v>
      </c>
      <c r="F15" s="10">
        <v>44277</v>
      </c>
      <c r="G15" s="159">
        <v>44277</v>
      </c>
      <c r="H15" s="137">
        <v>107</v>
      </c>
      <c r="I15" s="23">
        <v>44272</v>
      </c>
      <c r="J15" s="160">
        <v>74.900000000000006</v>
      </c>
      <c r="K15" s="137">
        <v>21.1</v>
      </c>
      <c r="L15" s="137">
        <v>4083</v>
      </c>
      <c r="M15" s="137">
        <v>1136</v>
      </c>
      <c r="N15" s="137">
        <v>40.5</v>
      </c>
      <c r="O15" s="137">
        <v>2234</v>
      </c>
      <c r="P15" s="137">
        <v>30.4</v>
      </c>
      <c r="Q15" s="137">
        <v>1678</v>
      </c>
      <c r="R15" s="137">
        <v>1.3</v>
      </c>
      <c r="S15" s="137">
        <v>2.9</v>
      </c>
      <c r="T15" s="137">
        <v>155</v>
      </c>
      <c r="U15" s="137"/>
    </row>
    <row r="16" spans="1:21" ht="16">
      <c r="A16" s="2" t="s">
        <v>82</v>
      </c>
      <c r="B16" s="137">
        <v>22104301</v>
      </c>
      <c r="C16" s="161" t="s">
        <v>984</v>
      </c>
      <c r="D16" s="159">
        <v>44889</v>
      </c>
      <c r="E16" s="159">
        <v>44862</v>
      </c>
      <c r="F16" s="159">
        <v>44876</v>
      </c>
      <c r="G16" s="159">
        <v>44867</v>
      </c>
      <c r="H16" s="137">
        <v>69.400000000000006</v>
      </c>
      <c r="I16" s="23">
        <v>44860</v>
      </c>
      <c r="J16" s="137">
        <v>66.7</v>
      </c>
      <c r="K16" s="137">
        <v>17.899999999999999</v>
      </c>
      <c r="L16" s="137">
        <v>2738</v>
      </c>
      <c r="M16" s="137">
        <v>737</v>
      </c>
      <c r="N16" s="137">
        <v>38</v>
      </c>
      <c r="O16" s="137">
        <v>1558</v>
      </c>
      <c r="P16" s="137">
        <v>24.9</v>
      </c>
      <c r="Q16" s="137">
        <v>1018</v>
      </c>
      <c r="R16" s="137">
        <v>1.5</v>
      </c>
      <c r="S16" s="137">
        <v>14.5</v>
      </c>
      <c r="T16" s="137">
        <v>595</v>
      </c>
      <c r="U16" s="152"/>
    </row>
    <row r="17" spans="1:21" ht="16">
      <c r="A17" s="6" t="s">
        <v>87</v>
      </c>
      <c r="B17" s="292">
        <v>21929043</v>
      </c>
      <c r="C17" s="293" t="s">
        <v>995</v>
      </c>
      <c r="D17" s="294"/>
      <c r="E17" s="292"/>
      <c r="F17" s="292"/>
      <c r="G17" s="292"/>
      <c r="H17" s="292"/>
      <c r="I17" s="6"/>
      <c r="J17" s="292"/>
      <c r="K17" s="292"/>
      <c r="L17" s="292"/>
      <c r="M17" s="292"/>
      <c r="N17" s="292"/>
      <c r="O17" s="292"/>
      <c r="P17" s="292"/>
      <c r="Q17" s="292"/>
      <c r="R17" s="292"/>
      <c r="S17" s="292"/>
      <c r="T17" s="292"/>
      <c r="U17" s="152"/>
    </row>
    <row r="18" spans="1:21" ht="16">
      <c r="A18" s="2" t="s">
        <v>92</v>
      </c>
      <c r="B18" s="137">
        <v>22104128</v>
      </c>
      <c r="C18" s="161" t="s">
        <v>996</v>
      </c>
      <c r="D18" s="159"/>
      <c r="E18" s="137"/>
      <c r="F18" s="137"/>
      <c r="G18" s="137"/>
      <c r="H18" s="137"/>
      <c r="I18" s="23"/>
      <c r="J18" s="137"/>
      <c r="K18" s="137"/>
      <c r="L18" s="137"/>
      <c r="M18" s="137"/>
      <c r="N18" s="137"/>
      <c r="O18" s="137"/>
      <c r="P18" s="137"/>
      <c r="Q18" s="137"/>
      <c r="R18" s="137"/>
      <c r="S18" s="137"/>
      <c r="T18" s="137"/>
      <c r="U18" s="152"/>
    </row>
    <row r="19" spans="1:21" ht="16">
      <c r="A19" s="9" t="s">
        <v>97</v>
      </c>
      <c r="B19" s="8">
        <v>22104135</v>
      </c>
      <c r="C19" s="172" t="s">
        <v>997</v>
      </c>
      <c r="D19" s="10"/>
      <c r="E19" s="8"/>
      <c r="F19" s="8"/>
      <c r="G19" s="8"/>
      <c r="H19" s="8"/>
      <c r="I19" s="30"/>
      <c r="J19" s="8"/>
      <c r="K19" s="8"/>
      <c r="L19" s="8"/>
      <c r="M19" s="8"/>
      <c r="N19" s="8"/>
      <c r="O19" s="8"/>
      <c r="P19" s="8"/>
      <c r="Q19" s="8"/>
      <c r="R19" s="8"/>
      <c r="S19" s="8"/>
      <c r="T19" s="8"/>
      <c r="U19" s="152"/>
    </row>
    <row r="20" spans="1:21" ht="16">
      <c r="A20" s="9" t="s">
        <v>102</v>
      </c>
      <c r="B20" s="8">
        <v>22243391</v>
      </c>
      <c r="C20" s="172" t="s">
        <v>2681</v>
      </c>
      <c r="D20" s="10"/>
      <c r="E20" s="8"/>
      <c r="F20" s="8"/>
      <c r="G20" s="8"/>
      <c r="H20" s="8"/>
      <c r="I20" s="30"/>
      <c r="J20" s="8"/>
      <c r="K20" s="8"/>
      <c r="L20" s="8"/>
      <c r="M20" s="8"/>
      <c r="N20" s="8"/>
      <c r="O20" s="8"/>
      <c r="P20" s="8"/>
      <c r="Q20" s="8"/>
      <c r="R20" s="8"/>
      <c r="S20" s="8"/>
      <c r="T20" s="8"/>
      <c r="U20" s="152"/>
    </row>
    <row r="21" spans="1:21" ht="16">
      <c r="A21" s="9" t="s">
        <v>107</v>
      </c>
      <c r="B21" s="8">
        <v>22103984</v>
      </c>
      <c r="C21" s="172" t="s">
        <v>1008</v>
      </c>
      <c r="D21" s="10"/>
      <c r="E21" s="8"/>
      <c r="F21" s="8"/>
      <c r="G21" s="8"/>
      <c r="H21" s="8"/>
      <c r="I21" s="30"/>
      <c r="J21" s="8"/>
      <c r="K21" s="8"/>
      <c r="L21" s="8"/>
      <c r="M21" s="8"/>
      <c r="N21" s="8"/>
      <c r="O21" s="8"/>
      <c r="P21" s="8"/>
      <c r="Q21" s="8"/>
      <c r="R21" s="8"/>
      <c r="S21" s="8"/>
      <c r="T21" s="8"/>
      <c r="U21" s="152"/>
    </row>
    <row r="22" spans="1:21" ht="16">
      <c r="A22" s="9" t="s">
        <v>112</v>
      </c>
      <c r="B22" s="8">
        <v>21927677</v>
      </c>
      <c r="C22" s="172" t="s">
        <v>2682</v>
      </c>
      <c r="D22" s="10">
        <v>44483</v>
      </c>
      <c r="E22" s="159">
        <v>44222</v>
      </c>
      <c r="F22" s="159">
        <v>44223</v>
      </c>
      <c r="G22" s="159">
        <v>44223</v>
      </c>
      <c r="H22" s="137">
        <v>54.9</v>
      </c>
      <c r="I22" s="30">
        <v>44218</v>
      </c>
      <c r="J22" s="160">
        <v>64.8</v>
      </c>
      <c r="K22" s="137">
        <v>26.1</v>
      </c>
      <c r="L22" s="137">
        <v>2628</v>
      </c>
      <c r="M22" s="137">
        <v>1036</v>
      </c>
      <c r="N22" s="137">
        <v>45.5</v>
      </c>
      <c r="O22" s="137">
        <v>1882</v>
      </c>
      <c r="P22" s="137">
        <v>12.5</v>
      </c>
      <c r="Q22" s="137">
        <v>519</v>
      </c>
      <c r="R22" s="137">
        <v>3.6</v>
      </c>
      <c r="S22" s="137">
        <v>7.2</v>
      </c>
      <c r="T22" s="137">
        <v>284</v>
      </c>
      <c r="U22" s="137"/>
    </row>
    <row r="23" spans="1:21" ht="16">
      <c r="A23" s="9" t="s">
        <v>116</v>
      </c>
      <c r="B23" s="8">
        <v>22104757</v>
      </c>
      <c r="C23" s="172" t="s">
        <v>2683</v>
      </c>
      <c r="D23" s="10"/>
      <c r="E23" s="8"/>
      <c r="F23" s="8"/>
      <c r="G23" s="8"/>
      <c r="H23" s="8"/>
      <c r="I23" s="23" t="s">
        <v>1955</v>
      </c>
      <c r="J23" s="8"/>
      <c r="K23" s="8"/>
      <c r="L23" s="8"/>
      <c r="M23" s="8"/>
      <c r="N23" s="8"/>
      <c r="O23" s="8"/>
      <c r="P23" s="8"/>
      <c r="Q23" s="8"/>
      <c r="R23" s="8"/>
      <c r="S23" s="8"/>
      <c r="T23" s="8"/>
      <c r="U23" s="152"/>
    </row>
    <row r="24" spans="1:21" ht="16">
      <c r="A24" s="9" t="s">
        <v>121</v>
      </c>
      <c r="B24" s="8">
        <v>22104689</v>
      </c>
      <c r="C24" s="172" t="s">
        <v>2684</v>
      </c>
      <c r="D24" s="10">
        <v>44768</v>
      </c>
      <c r="E24" s="10">
        <v>44757</v>
      </c>
      <c r="F24" s="10">
        <v>44761</v>
      </c>
      <c r="G24" s="10">
        <v>44760</v>
      </c>
      <c r="H24" s="8">
        <v>480</v>
      </c>
      <c r="I24" s="30">
        <v>44750</v>
      </c>
      <c r="J24" s="8">
        <v>66.599999999999994</v>
      </c>
      <c r="K24" s="8">
        <v>23.5</v>
      </c>
      <c r="L24" s="8">
        <v>3808</v>
      </c>
      <c r="M24" s="8">
        <v>1330</v>
      </c>
      <c r="N24" s="8">
        <v>50.2</v>
      </c>
      <c r="O24" s="8">
        <v>2903</v>
      </c>
      <c r="P24" s="8">
        <v>14.6</v>
      </c>
      <c r="Q24" s="8">
        <v>845</v>
      </c>
      <c r="R24" s="8">
        <v>3.4</v>
      </c>
      <c r="S24" s="8">
        <v>8.9</v>
      </c>
      <c r="T24" s="8">
        <v>502</v>
      </c>
      <c r="U24" s="152"/>
    </row>
    <row r="25" spans="1:21" ht="16">
      <c r="A25" s="9" t="s">
        <v>126</v>
      </c>
      <c r="B25" s="8">
        <v>22264557</v>
      </c>
      <c r="C25" s="172" t="s">
        <v>1027</v>
      </c>
      <c r="D25" s="10">
        <v>45015</v>
      </c>
      <c r="E25" s="10">
        <v>44999</v>
      </c>
      <c r="F25" s="10">
        <v>45252</v>
      </c>
      <c r="G25" s="10">
        <v>45000</v>
      </c>
      <c r="H25" s="8">
        <v>30.8</v>
      </c>
      <c r="I25" s="30">
        <v>44995</v>
      </c>
      <c r="J25" s="8">
        <v>59.9</v>
      </c>
      <c r="K25" s="8">
        <v>32.1</v>
      </c>
      <c r="L25" s="8">
        <v>978</v>
      </c>
      <c r="M25" s="8">
        <v>519</v>
      </c>
      <c r="N25" s="8">
        <v>29.5</v>
      </c>
      <c r="O25" s="8">
        <v>487</v>
      </c>
      <c r="P25" s="8">
        <v>22.2</v>
      </c>
      <c r="Q25" s="8">
        <v>367</v>
      </c>
      <c r="R25" s="8">
        <v>1.3</v>
      </c>
      <c r="S25" s="8">
        <v>5.7</v>
      </c>
      <c r="T25" s="8">
        <v>92</v>
      </c>
      <c r="U25" s="152"/>
    </row>
    <row r="26" spans="1:21" ht="16">
      <c r="A26" s="9" t="s">
        <v>131</v>
      </c>
      <c r="B26" s="8">
        <v>22104829</v>
      </c>
      <c r="C26" s="118" t="s">
        <v>1032</v>
      </c>
      <c r="D26" s="295">
        <v>44907</v>
      </c>
      <c r="E26" s="10">
        <v>44897</v>
      </c>
      <c r="F26" s="10">
        <v>44904</v>
      </c>
      <c r="G26" s="10">
        <v>44900</v>
      </c>
      <c r="H26" s="8">
        <v>32.799999999999997</v>
      </c>
      <c r="I26" s="30" t="s">
        <v>2214</v>
      </c>
      <c r="J26" s="8">
        <v>67.7</v>
      </c>
      <c r="K26" s="8">
        <v>23.9</v>
      </c>
      <c r="L26" s="8">
        <v>3330</v>
      </c>
      <c r="M26" s="8">
        <v>1189</v>
      </c>
      <c r="N26" s="8">
        <v>35.5</v>
      </c>
      <c r="O26" s="8">
        <v>1724</v>
      </c>
      <c r="P26" s="8">
        <v>23.6</v>
      </c>
      <c r="Q26" s="8">
        <v>1147</v>
      </c>
      <c r="R26" s="8">
        <v>1.5</v>
      </c>
      <c r="S26" s="8">
        <v>6.4</v>
      </c>
      <c r="T26" s="8">
        <v>317</v>
      </c>
      <c r="U26" s="152"/>
    </row>
    <row r="27" spans="1:21" ht="16">
      <c r="A27" s="9" t="s">
        <v>136</v>
      </c>
      <c r="B27" s="8">
        <v>22105033</v>
      </c>
      <c r="C27" s="172" t="s">
        <v>1038</v>
      </c>
      <c r="D27" s="10">
        <v>44918</v>
      </c>
      <c r="E27" s="10">
        <v>44904</v>
      </c>
      <c r="F27" s="10">
        <v>44918</v>
      </c>
      <c r="G27" s="10">
        <v>44914</v>
      </c>
      <c r="H27" s="8">
        <v>12.9</v>
      </c>
      <c r="I27" s="30">
        <v>44901</v>
      </c>
      <c r="J27" s="8">
        <v>58.1</v>
      </c>
      <c r="K27" s="8">
        <v>27.3</v>
      </c>
      <c r="L27" s="8">
        <v>2817</v>
      </c>
      <c r="M27" s="8">
        <v>1301</v>
      </c>
      <c r="N27" s="8">
        <v>35.6</v>
      </c>
      <c r="O27" s="8">
        <v>1757</v>
      </c>
      <c r="P27" s="8">
        <v>16.100000000000001</v>
      </c>
      <c r="Q27" s="8">
        <v>793</v>
      </c>
      <c r="R27" s="8">
        <v>2.2000000000000002</v>
      </c>
      <c r="S27" s="8">
        <v>12.7</v>
      </c>
      <c r="T27" s="8">
        <v>603</v>
      </c>
      <c r="U27" s="152"/>
    </row>
    <row r="28" spans="1:21" ht="16">
      <c r="A28" s="9" t="s">
        <v>141</v>
      </c>
      <c r="B28" s="8">
        <v>22104898</v>
      </c>
      <c r="C28" s="172" t="s">
        <v>1042</v>
      </c>
      <c r="D28" s="10">
        <v>44907</v>
      </c>
      <c r="E28" s="10">
        <v>44890</v>
      </c>
      <c r="F28" s="10">
        <v>44897</v>
      </c>
      <c r="G28" s="10">
        <v>44893</v>
      </c>
      <c r="H28" s="8">
        <v>44</v>
      </c>
      <c r="I28" s="30">
        <v>44887</v>
      </c>
      <c r="J28" s="8">
        <v>67.3</v>
      </c>
      <c r="K28" s="8">
        <v>26.9</v>
      </c>
      <c r="L28" s="8">
        <v>3911</v>
      </c>
      <c r="M28" s="8">
        <v>1606</v>
      </c>
      <c r="N28" s="8">
        <v>36.700000000000003</v>
      </c>
      <c r="O28" s="8">
        <v>2071</v>
      </c>
      <c r="P28" s="8">
        <v>24.5</v>
      </c>
      <c r="Q28" s="8">
        <v>1383</v>
      </c>
      <c r="R28" s="8">
        <v>1.5</v>
      </c>
      <c r="S28" s="8">
        <v>4.8</v>
      </c>
      <c r="T28" s="8">
        <v>284</v>
      </c>
      <c r="U28" s="152"/>
    </row>
    <row r="29" spans="1:21" ht="16">
      <c r="A29" s="9" t="s">
        <v>146</v>
      </c>
      <c r="B29" s="8">
        <v>22104899</v>
      </c>
      <c r="C29" s="172" t="s">
        <v>1045</v>
      </c>
      <c r="D29" s="10">
        <v>44907</v>
      </c>
      <c r="E29" s="10">
        <v>44890</v>
      </c>
      <c r="F29" s="10">
        <v>44897</v>
      </c>
      <c r="G29" s="10">
        <v>44893</v>
      </c>
      <c r="H29" s="8">
        <v>143</v>
      </c>
      <c r="I29" s="30">
        <v>44887</v>
      </c>
      <c r="J29" s="8">
        <v>66.8</v>
      </c>
      <c r="K29" s="8">
        <v>23.5</v>
      </c>
      <c r="L29" s="8">
        <v>3459</v>
      </c>
      <c r="M29" s="8">
        <v>1233</v>
      </c>
      <c r="N29" s="8">
        <v>27.3</v>
      </c>
      <c r="O29" s="8">
        <v>1389</v>
      </c>
      <c r="P29" s="8">
        <v>31.8</v>
      </c>
      <c r="Q29" s="8">
        <v>1619</v>
      </c>
      <c r="R29" s="8">
        <v>0.9</v>
      </c>
      <c r="S29" s="8">
        <v>8.6</v>
      </c>
      <c r="T29" s="8">
        <v>454</v>
      </c>
      <c r="U29" s="152"/>
    </row>
    <row r="30" spans="1:21" ht="16">
      <c r="A30" s="9" t="s">
        <v>148</v>
      </c>
      <c r="B30" s="8">
        <v>22103889</v>
      </c>
      <c r="C30" s="172" t="s">
        <v>1046</v>
      </c>
      <c r="D30" s="10"/>
      <c r="E30" s="8"/>
      <c r="F30" s="8"/>
      <c r="G30" s="8"/>
      <c r="H30" s="8"/>
      <c r="I30" s="30"/>
      <c r="J30" s="8"/>
      <c r="K30" s="8"/>
      <c r="L30" s="8"/>
      <c r="M30" s="8"/>
      <c r="N30" s="8"/>
      <c r="O30" s="8"/>
      <c r="P30" s="8"/>
      <c r="Q30" s="8"/>
      <c r="R30" s="8"/>
      <c r="S30" s="8"/>
      <c r="T30" s="8"/>
      <c r="U30" s="152"/>
    </row>
    <row r="31" spans="1:21" ht="16">
      <c r="A31" s="9" t="s">
        <v>152</v>
      </c>
      <c r="B31" s="8">
        <v>22105253</v>
      </c>
      <c r="C31" s="172" t="s">
        <v>1050</v>
      </c>
      <c r="D31" s="10"/>
      <c r="E31" s="8"/>
      <c r="F31" s="8"/>
      <c r="G31" s="8"/>
      <c r="H31" s="8"/>
      <c r="I31" s="23" t="s">
        <v>1955</v>
      </c>
      <c r="J31" s="8"/>
      <c r="K31" s="8"/>
      <c r="L31" s="8"/>
      <c r="M31" s="8"/>
      <c r="N31" s="8"/>
      <c r="O31" s="8"/>
      <c r="P31" s="8"/>
      <c r="Q31" s="8"/>
      <c r="R31" s="8"/>
      <c r="S31" s="8"/>
      <c r="T31" s="8"/>
      <c r="U31" s="152"/>
    </row>
    <row r="32" spans="1:21" ht="16">
      <c r="A32" s="9" t="s">
        <v>157</v>
      </c>
      <c r="B32" s="8">
        <v>22239382</v>
      </c>
      <c r="C32" s="172" t="s">
        <v>1052</v>
      </c>
      <c r="D32" s="10">
        <v>45085</v>
      </c>
      <c r="E32" s="10">
        <v>45082</v>
      </c>
      <c r="F32" s="10">
        <v>45082</v>
      </c>
      <c r="G32" s="10">
        <v>45082</v>
      </c>
      <c r="H32" s="8">
        <v>318</v>
      </c>
      <c r="I32" s="30">
        <v>45077</v>
      </c>
      <c r="J32" s="8">
        <v>72.8</v>
      </c>
      <c r="K32" s="8">
        <v>16.3</v>
      </c>
      <c r="L32" s="8">
        <v>1177</v>
      </c>
      <c r="M32" s="8">
        <v>264</v>
      </c>
      <c r="N32" s="8">
        <v>33.700000000000003</v>
      </c>
      <c r="O32" s="8">
        <v>543</v>
      </c>
      <c r="P32" s="8">
        <v>22.3</v>
      </c>
      <c r="Q32" s="8">
        <v>360</v>
      </c>
      <c r="R32" s="8">
        <v>1.5</v>
      </c>
      <c r="S32" s="8">
        <v>8.9</v>
      </c>
      <c r="T32" s="8">
        <v>144</v>
      </c>
      <c r="U32" s="152"/>
    </row>
    <row r="33" spans="1:21" ht="16">
      <c r="A33" s="9" t="s">
        <v>162</v>
      </c>
      <c r="B33" s="8">
        <v>22104618</v>
      </c>
      <c r="C33" s="172" t="s">
        <v>2685</v>
      </c>
      <c r="D33" s="10"/>
      <c r="E33" s="8"/>
      <c r="F33" s="8"/>
      <c r="G33" s="8"/>
      <c r="H33" s="8"/>
      <c r="I33" s="30"/>
      <c r="J33" s="8"/>
      <c r="K33" s="8"/>
      <c r="L33" s="8"/>
      <c r="M33" s="8"/>
      <c r="N33" s="8"/>
      <c r="O33" s="8"/>
      <c r="P33" s="8"/>
      <c r="Q33" s="8"/>
      <c r="R33" s="8"/>
      <c r="S33" s="8"/>
      <c r="T33" s="8"/>
      <c r="U33" s="152"/>
    </row>
    <row r="34" spans="1:21" ht="16">
      <c r="A34" s="2" t="s">
        <v>167</v>
      </c>
      <c r="B34" s="137">
        <v>4997153</v>
      </c>
      <c r="C34" s="161" t="s">
        <v>2686</v>
      </c>
      <c r="D34" s="159">
        <v>44335</v>
      </c>
      <c r="E34" s="159">
        <v>44274</v>
      </c>
      <c r="F34" s="10">
        <v>44277</v>
      </c>
      <c r="G34" s="159">
        <v>44277</v>
      </c>
      <c r="H34" s="137">
        <v>3.05</v>
      </c>
      <c r="I34" s="30">
        <v>44271</v>
      </c>
      <c r="J34" s="160">
        <v>65.8</v>
      </c>
      <c r="K34" s="137">
        <v>27.9</v>
      </c>
      <c r="L34" s="137">
        <v>3093</v>
      </c>
      <c r="M34" s="137">
        <v>1254</v>
      </c>
      <c r="N34" s="137">
        <v>44.8</v>
      </c>
      <c r="O34" s="137">
        <v>2195</v>
      </c>
      <c r="P34" s="137">
        <v>16.899999999999999</v>
      </c>
      <c r="Q34" s="137">
        <v>827</v>
      </c>
      <c r="R34" s="137">
        <v>2.6</v>
      </c>
      <c r="S34" s="137">
        <v>5.3</v>
      </c>
      <c r="T34" s="137">
        <v>239</v>
      </c>
      <c r="U34" s="137"/>
    </row>
    <row r="35" spans="1:21" ht="16">
      <c r="A35" s="2" t="s">
        <v>172</v>
      </c>
      <c r="B35" s="1">
        <v>21926144</v>
      </c>
      <c r="C35" s="296" t="s">
        <v>2659</v>
      </c>
      <c r="D35" s="159">
        <v>44461</v>
      </c>
      <c r="E35" s="159">
        <v>44309</v>
      </c>
      <c r="F35" s="159">
        <v>44312</v>
      </c>
      <c r="G35" s="159">
        <v>44312</v>
      </c>
      <c r="H35" s="137">
        <v>28.3</v>
      </c>
      <c r="I35" s="30">
        <v>44272</v>
      </c>
      <c r="J35" s="160">
        <v>58.1</v>
      </c>
      <c r="K35" s="137">
        <v>28.8</v>
      </c>
      <c r="L35" s="137">
        <v>2756</v>
      </c>
      <c r="M35" s="137">
        <v>1342</v>
      </c>
      <c r="N35" s="137">
        <v>30</v>
      </c>
      <c r="O35" s="137">
        <v>1447</v>
      </c>
      <c r="P35" s="137">
        <v>23.2</v>
      </c>
      <c r="Q35" s="137">
        <v>1120</v>
      </c>
      <c r="R35" s="137">
        <v>1.3</v>
      </c>
      <c r="S35" s="137">
        <v>11.3</v>
      </c>
      <c r="T35" s="137">
        <v>525</v>
      </c>
      <c r="U35" s="137"/>
    </row>
    <row r="36" spans="1:21" ht="16">
      <c r="A36" s="2" t="s">
        <v>177</v>
      </c>
      <c r="B36" s="137">
        <v>21923161</v>
      </c>
      <c r="C36" s="161" t="s">
        <v>2687</v>
      </c>
      <c r="D36" s="159">
        <v>44443</v>
      </c>
      <c r="E36" s="159">
        <v>44421</v>
      </c>
      <c r="F36" s="159">
        <v>44424</v>
      </c>
      <c r="G36" s="159">
        <v>44424</v>
      </c>
      <c r="H36" s="137">
        <v>11.3</v>
      </c>
      <c r="I36" s="30">
        <v>44307</v>
      </c>
      <c r="J36" s="160">
        <v>59</v>
      </c>
      <c r="K36" s="137">
        <v>29.5</v>
      </c>
      <c r="L36" s="137">
        <v>3290</v>
      </c>
      <c r="M36" s="137">
        <v>1684</v>
      </c>
      <c r="N36" s="137">
        <v>32.200000000000003</v>
      </c>
      <c r="O36" s="137">
        <v>1755</v>
      </c>
      <c r="P36" s="137">
        <v>21.3</v>
      </c>
      <c r="Q36" s="137">
        <v>1161</v>
      </c>
      <c r="R36" s="137">
        <v>1.5</v>
      </c>
      <c r="S36" s="137">
        <v>9.4</v>
      </c>
      <c r="T36" s="137">
        <v>538</v>
      </c>
      <c r="U36" s="137"/>
    </row>
    <row r="37" spans="1:21" ht="16">
      <c r="A37" s="2" t="s">
        <v>182</v>
      </c>
      <c r="B37" s="137">
        <v>22104076</v>
      </c>
      <c r="C37" s="161" t="s">
        <v>1066</v>
      </c>
      <c r="D37" s="159"/>
      <c r="E37" s="137"/>
      <c r="F37" s="137"/>
      <c r="G37" s="137"/>
      <c r="H37" s="137"/>
      <c r="I37" s="2"/>
      <c r="J37" s="160"/>
      <c r="K37" s="137"/>
      <c r="L37" s="137"/>
      <c r="M37" s="137"/>
      <c r="N37" s="137"/>
      <c r="O37" s="137"/>
      <c r="P37" s="137"/>
      <c r="Q37" s="137"/>
      <c r="R37" s="137"/>
      <c r="S37" s="137"/>
      <c r="T37" s="137"/>
      <c r="U37" s="137"/>
    </row>
    <row r="38" spans="1:21" ht="16">
      <c r="A38" s="2" t="s">
        <v>2663</v>
      </c>
      <c r="B38" s="137">
        <v>21929566</v>
      </c>
      <c r="C38" s="161" t="s">
        <v>2662</v>
      </c>
      <c r="D38" s="159">
        <v>44718</v>
      </c>
      <c r="E38" s="159">
        <v>44698</v>
      </c>
      <c r="F38" s="159">
        <v>44705</v>
      </c>
      <c r="G38" s="159">
        <v>44701</v>
      </c>
      <c r="H38" s="137">
        <v>22.8</v>
      </c>
      <c r="I38" s="23">
        <v>44420</v>
      </c>
      <c r="J38" s="160">
        <v>67</v>
      </c>
      <c r="K38" s="137">
        <v>25.3</v>
      </c>
      <c r="L38" s="137">
        <v>3382</v>
      </c>
      <c r="M38" s="137">
        <v>1306</v>
      </c>
      <c r="N38" s="137">
        <v>43.8</v>
      </c>
      <c r="O38" s="137">
        <v>2161</v>
      </c>
      <c r="P38" s="137">
        <v>18.399999999999999</v>
      </c>
      <c r="Q38" s="137">
        <v>905</v>
      </c>
      <c r="R38" s="137">
        <v>2.4</v>
      </c>
      <c r="S38" s="137">
        <v>5.2</v>
      </c>
      <c r="T38" s="137">
        <v>269</v>
      </c>
      <c r="U38" s="137"/>
    </row>
    <row r="39" spans="1:21" ht="16">
      <c r="A39" s="2" t="s">
        <v>192</v>
      </c>
      <c r="B39" s="137">
        <v>22103802</v>
      </c>
      <c r="C39" s="161" t="s">
        <v>1070</v>
      </c>
      <c r="D39" s="10"/>
      <c r="E39" s="137"/>
      <c r="F39" s="137"/>
      <c r="G39" s="137"/>
      <c r="H39" s="137"/>
      <c r="I39" s="23" t="s">
        <v>1955</v>
      </c>
      <c r="J39" s="137"/>
      <c r="K39" s="137"/>
      <c r="L39" s="137"/>
      <c r="M39" s="137"/>
      <c r="N39" s="137"/>
      <c r="O39" s="137"/>
      <c r="P39" s="137"/>
      <c r="Q39" s="137"/>
      <c r="R39" s="137"/>
      <c r="S39" s="137"/>
      <c r="T39" s="137"/>
      <c r="U39" s="152"/>
    </row>
    <row r="40" spans="1:21" ht="16">
      <c r="A40" s="2" t="s">
        <v>196</v>
      </c>
      <c r="B40" s="137">
        <v>22106464</v>
      </c>
      <c r="C40" s="161" t="s">
        <v>1073</v>
      </c>
      <c r="D40" s="159"/>
      <c r="E40" s="137"/>
      <c r="F40" s="137"/>
      <c r="G40" s="137"/>
      <c r="H40" s="137"/>
      <c r="I40" s="23"/>
      <c r="J40" s="137"/>
      <c r="K40" s="137"/>
      <c r="L40" s="137"/>
      <c r="M40" s="137"/>
      <c r="N40" s="137"/>
      <c r="O40" s="137"/>
      <c r="P40" s="137"/>
      <c r="Q40" s="137"/>
      <c r="R40" s="137"/>
      <c r="S40" s="137"/>
      <c r="T40" s="137"/>
      <c r="U40" s="152"/>
    </row>
    <row r="41" spans="1:21" ht="16">
      <c r="A41" s="2" t="s">
        <v>2660</v>
      </c>
      <c r="B41" s="137">
        <v>22102954</v>
      </c>
      <c r="C41" s="161" t="s">
        <v>2650</v>
      </c>
      <c r="I41" s="23">
        <v>44694</v>
      </c>
      <c r="J41" s="160">
        <v>64.400000000000006</v>
      </c>
      <c r="K41" s="137">
        <v>28.9</v>
      </c>
      <c r="L41" s="137">
        <v>3134</v>
      </c>
      <c r="M41" s="137">
        <v>1350</v>
      </c>
      <c r="N41" s="137">
        <v>33.700000000000003</v>
      </c>
      <c r="O41" s="137">
        <v>1704</v>
      </c>
      <c r="P41" s="137">
        <v>19.2</v>
      </c>
      <c r="Q41" s="137">
        <v>971</v>
      </c>
      <c r="R41" s="137">
        <v>1.8</v>
      </c>
      <c r="S41" s="137">
        <v>5.5</v>
      </c>
      <c r="T41" s="137">
        <v>258</v>
      </c>
      <c r="U41" s="152"/>
    </row>
    <row r="42" spans="1:21" ht="16">
      <c r="A42" s="2" t="s">
        <v>204</v>
      </c>
      <c r="B42" s="137">
        <v>22104292</v>
      </c>
      <c r="C42" s="161" t="s">
        <v>1093</v>
      </c>
      <c r="D42" s="10"/>
      <c r="E42" s="137"/>
      <c r="F42" s="137"/>
      <c r="G42" s="137"/>
      <c r="H42" s="137"/>
      <c r="I42" s="23" t="s">
        <v>1955</v>
      </c>
      <c r="J42" s="137"/>
      <c r="K42" s="137"/>
      <c r="L42" s="137"/>
      <c r="M42" s="137"/>
      <c r="N42" s="137"/>
      <c r="O42" s="137"/>
      <c r="P42" s="137"/>
      <c r="Q42" s="137"/>
      <c r="R42" s="137"/>
      <c r="S42" s="137"/>
      <c r="T42" s="137"/>
      <c r="U42" s="152"/>
    </row>
    <row r="43" spans="1:21" ht="16">
      <c r="A43" s="2" t="s">
        <v>209</v>
      </c>
      <c r="B43" s="137">
        <v>22104265</v>
      </c>
      <c r="C43" s="161" t="s">
        <v>1096</v>
      </c>
      <c r="D43" s="159"/>
      <c r="E43" s="137"/>
      <c r="F43" s="137"/>
      <c r="G43" s="137"/>
      <c r="H43" s="137"/>
      <c r="I43" s="23"/>
      <c r="J43" s="137"/>
      <c r="K43" s="137"/>
      <c r="L43" s="137"/>
      <c r="M43" s="137"/>
      <c r="N43" s="137"/>
      <c r="O43" s="137"/>
      <c r="P43" s="137"/>
      <c r="Q43" s="137"/>
      <c r="R43" s="137"/>
      <c r="S43" s="137"/>
      <c r="T43" s="137"/>
      <c r="U43" s="152"/>
    </row>
    <row r="44" spans="1:21" ht="16">
      <c r="A44" s="2" t="s">
        <v>212</v>
      </c>
      <c r="B44" s="137">
        <v>22103803</v>
      </c>
      <c r="C44" s="161" t="s">
        <v>2688</v>
      </c>
      <c r="D44" s="10"/>
      <c r="E44" s="137"/>
      <c r="F44" s="137"/>
      <c r="G44" s="137"/>
      <c r="H44" s="137"/>
      <c r="I44" s="23" t="s">
        <v>1955</v>
      </c>
      <c r="J44" s="137"/>
      <c r="K44" s="137"/>
      <c r="L44" s="137"/>
      <c r="M44" s="137"/>
      <c r="N44" s="137"/>
      <c r="O44" s="137"/>
      <c r="P44" s="137"/>
      <c r="Q44" s="137"/>
      <c r="R44" s="137"/>
      <c r="S44" s="137"/>
      <c r="T44" s="137"/>
      <c r="U44" s="152"/>
    </row>
    <row r="45" spans="1:21" ht="16">
      <c r="A45" s="2" t="s">
        <v>214</v>
      </c>
      <c r="B45" s="137">
        <v>22105667</v>
      </c>
      <c r="C45" s="161" t="s">
        <v>2689</v>
      </c>
      <c r="D45" s="159"/>
      <c r="E45" s="137"/>
      <c r="F45" s="137"/>
      <c r="G45" s="137"/>
      <c r="H45" s="137"/>
      <c r="I45" s="23"/>
      <c r="J45" s="137"/>
      <c r="K45" s="137"/>
      <c r="L45" s="137"/>
      <c r="M45" s="137"/>
      <c r="N45" s="137"/>
      <c r="O45" s="137"/>
      <c r="P45" s="137"/>
      <c r="Q45" s="137"/>
      <c r="R45" s="137"/>
      <c r="S45" s="137"/>
      <c r="T45" s="137"/>
      <c r="U45" s="152"/>
    </row>
    <row r="46" spans="1:21" ht="16">
      <c r="A46" s="2" t="s">
        <v>219</v>
      </c>
      <c r="B46" s="137">
        <v>22107706</v>
      </c>
      <c r="C46" s="161" t="s">
        <v>2690</v>
      </c>
      <c r="D46" s="159">
        <v>45174</v>
      </c>
      <c r="E46" s="159">
        <v>45160</v>
      </c>
      <c r="F46" s="159">
        <v>45196</v>
      </c>
      <c r="G46" s="159">
        <v>45166</v>
      </c>
      <c r="H46" s="137">
        <v>432</v>
      </c>
      <c r="I46" s="23">
        <v>45160</v>
      </c>
      <c r="J46" s="137">
        <v>67.099999999999994</v>
      </c>
      <c r="K46" s="137">
        <v>26.9</v>
      </c>
      <c r="L46" s="137">
        <v>3112</v>
      </c>
      <c r="M46" s="137">
        <v>1269</v>
      </c>
      <c r="N46" s="137">
        <v>38.299999999999997</v>
      </c>
      <c r="O46" s="137">
        <v>1747</v>
      </c>
      <c r="P46" s="137">
        <v>22.9</v>
      </c>
      <c r="Q46" s="137">
        <v>1044</v>
      </c>
      <c r="R46" s="137">
        <v>1.7</v>
      </c>
      <c r="S46" s="137">
        <v>3.4</v>
      </c>
      <c r="T46" s="137">
        <v>160</v>
      </c>
      <c r="U46" s="152"/>
    </row>
    <row r="47" spans="1:21" ht="16">
      <c r="A47" s="2" t="s">
        <v>223</v>
      </c>
      <c r="B47" s="137">
        <v>22107436</v>
      </c>
      <c r="C47" s="161" t="s">
        <v>2691</v>
      </c>
      <c r="D47" s="159"/>
      <c r="E47" s="137"/>
      <c r="F47" s="137"/>
      <c r="G47" s="137"/>
      <c r="H47" s="137"/>
      <c r="I47" s="23"/>
      <c r="J47" s="137"/>
      <c r="K47" s="137"/>
      <c r="L47" s="137"/>
      <c r="M47" s="137"/>
      <c r="N47" s="137"/>
      <c r="O47" s="137"/>
      <c r="P47" s="137"/>
      <c r="Q47" s="137"/>
      <c r="R47" s="137"/>
      <c r="S47" s="137"/>
      <c r="T47" s="137"/>
      <c r="U47" s="152"/>
    </row>
    <row r="48" spans="1:21" ht="16">
      <c r="A48" s="2" t="s">
        <v>228</v>
      </c>
      <c r="B48" s="137">
        <v>22107749</v>
      </c>
      <c r="C48" s="161" t="s">
        <v>1099</v>
      </c>
      <c r="D48" s="159">
        <v>45174</v>
      </c>
      <c r="E48" s="159">
        <v>45163</v>
      </c>
      <c r="F48" s="159">
        <v>45196</v>
      </c>
      <c r="G48" s="159">
        <v>45168</v>
      </c>
      <c r="H48" s="137">
        <v>68.2</v>
      </c>
      <c r="I48" s="23">
        <v>45163</v>
      </c>
      <c r="J48" s="137">
        <v>59.6</v>
      </c>
      <c r="K48" s="137">
        <v>30.1</v>
      </c>
      <c r="L48" s="137">
        <v>2767</v>
      </c>
      <c r="M48" s="137">
        <v>1418</v>
      </c>
      <c r="N48" s="137">
        <v>27.7</v>
      </c>
      <c r="O48" s="137">
        <v>1266</v>
      </c>
      <c r="P48" s="137">
        <v>21</v>
      </c>
      <c r="Q48" s="137">
        <v>961</v>
      </c>
      <c r="R48" s="137">
        <v>1.3</v>
      </c>
      <c r="S48" s="137">
        <v>8</v>
      </c>
      <c r="T48" s="137">
        <v>377</v>
      </c>
      <c r="U48" s="152"/>
    </row>
    <row r="49" spans="1:21" ht="16">
      <c r="A49" s="2" t="s">
        <v>232</v>
      </c>
      <c r="B49" s="137">
        <v>21929692</v>
      </c>
      <c r="C49" s="161" t="s">
        <v>1106</v>
      </c>
      <c r="D49" s="159">
        <v>44455</v>
      </c>
      <c r="E49" s="159">
        <v>44439</v>
      </c>
      <c r="F49" s="137"/>
      <c r="G49" s="159">
        <v>44441</v>
      </c>
      <c r="H49" s="137">
        <v>52.1</v>
      </c>
      <c r="I49" s="23">
        <v>44438</v>
      </c>
      <c r="J49" s="160">
        <v>72.400000000000006</v>
      </c>
      <c r="K49" s="137">
        <v>21.8</v>
      </c>
      <c r="L49" s="137">
        <v>3841</v>
      </c>
      <c r="M49" s="137">
        <v>1149</v>
      </c>
      <c r="N49" s="137">
        <v>49</v>
      </c>
      <c r="O49" s="137">
        <v>2619</v>
      </c>
      <c r="P49" s="137">
        <v>19.2</v>
      </c>
      <c r="Q49" s="137">
        <v>1026</v>
      </c>
      <c r="R49" s="137">
        <v>2.5</v>
      </c>
      <c r="S49" s="137">
        <v>4.4000000000000004</v>
      </c>
      <c r="T49" s="137">
        <v>230</v>
      </c>
      <c r="U49" s="152"/>
    </row>
    <row r="50" spans="1:21" ht="16">
      <c r="A50" s="2" t="s">
        <v>236</v>
      </c>
      <c r="B50" s="137">
        <v>21929692</v>
      </c>
      <c r="C50" s="161" t="s">
        <v>237</v>
      </c>
      <c r="D50" s="159">
        <v>44455</v>
      </c>
      <c r="E50" s="159">
        <v>44439</v>
      </c>
      <c r="F50" s="137"/>
      <c r="G50" s="159">
        <v>44441</v>
      </c>
      <c r="H50" s="137">
        <v>52.1</v>
      </c>
      <c r="I50" s="23">
        <v>44438</v>
      </c>
      <c r="J50" s="160">
        <v>71.900000000000006</v>
      </c>
      <c r="K50" s="137">
        <v>13.8</v>
      </c>
      <c r="L50" s="137">
        <v>864</v>
      </c>
      <c r="M50" s="137">
        <v>164</v>
      </c>
      <c r="N50" s="137">
        <v>45.3</v>
      </c>
      <c r="O50" s="137">
        <v>551</v>
      </c>
      <c r="P50" s="137">
        <v>12.5</v>
      </c>
      <c r="Q50" s="137">
        <v>152</v>
      </c>
      <c r="R50" s="137">
        <v>3.6</v>
      </c>
      <c r="S50" s="137">
        <v>11</v>
      </c>
      <c r="T50" s="137">
        <v>131</v>
      </c>
      <c r="U50" s="152"/>
    </row>
    <row r="51" spans="1:21" ht="16">
      <c r="A51" s="2" t="s">
        <v>239</v>
      </c>
      <c r="B51" s="137">
        <v>22107552</v>
      </c>
      <c r="C51" s="161" t="s">
        <v>1107</v>
      </c>
      <c r="D51" s="159">
        <v>45162</v>
      </c>
      <c r="E51" s="159">
        <v>45145</v>
      </c>
      <c r="F51" s="159">
        <v>45162</v>
      </c>
      <c r="G51" s="159">
        <v>45147</v>
      </c>
      <c r="H51" s="137">
        <v>16.2</v>
      </c>
      <c r="I51" s="23">
        <v>45142</v>
      </c>
      <c r="J51" s="137">
        <v>63.8</v>
      </c>
      <c r="K51" s="137">
        <v>31.1</v>
      </c>
      <c r="L51" s="137">
        <v>2645</v>
      </c>
      <c r="M51" s="137">
        <v>1300</v>
      </c>
      <c r="N51" s="137">
        <v>36.4</v>
      </c>
      <c r="O51" s="137">
        <v>1494</v>
      </c>
      <c r="P51" s="137">
        <v>21.9</v>
      </c>
      <c r="Q51" s="137">
        <v>900</v>
      </c>
      <c r="R51" s="137">
        <v>1.7</v>
      </c>
      <c r="S51" s="137">
        <v>3.2</v>
      </c>
      <c r="T51" s="137">
        <v>134</v>
      </c>
      <c r="U51" s="152"/>
    </row>
    <row r="52" spans="1:21" ht="16">
      <c r="A52" s="2" t="s">
        <v>244</v>
      </c>
      <c r="B52" s="137">
        <v>22105413</v>
      </c>
      <c r="C52" s="161" t="s">
        <v>2692</v>
      </c>
      <c r="D52" s="159">
        <v>44925</v>
      </c>
      <c r="E52" s="159">
        <v>44918</v>
      </c>
      <c r="F52" s="159">
        <v>44964</v>
      </c>
      <c r="G52" s="159">
        <v>44901</v>
      </c>
      <c r="H52" s="137">
        <v>423</v>
      </c>
      <c r="I52" s="23">
        <v>44916</v>
      </c>
      <c r="J52" s="137">
        <v>58.3</v>
      </c>
      <c r="K52" s="137">
        <v>33.5</v>
      </c>
      <c r="L52" s="137">
        <v>3088</v>
      </c>
      <c r="M52" s="137">
        <v>1797</v>
      </c>
      <c r="N52" s="137">
        <v>41</v>
      </c>
      <c r="O52" s="137">
        <v>2143</v>
      </c>
      <c r="P52" s="137">
        <v>14.9</v>
      </c>
      <c r="Q52" s="137">
        <v>779</v>
      </c>
      <c r="R52" s="137">
        <v>2.8</v>
      </c>
      <c r="S52" s="137">
        <v>6.2</v>
      </c>
      <c r="T52" s="137">
        <v>332</v>
      </c>
      <c r="U52" s="152"/>
    </row>
    <row r="53" spans="1:21" ht="16">
      <c r="A53" s="2" t="s">
        <v>249</v>
      </c>
      <c r="B53" s="137">
        <v>22105943</v>
      </c>
      <c r="C53" s="161" t="s">
        <v>2693</v>
      </c>
      <c r="D53" s="137"/>
      <c r="E53" s="137"/>
      <c r="F53" s="137"/>
      <c r="G53" s="137"/>
      <c r="H53" s="137"/>
      <c r="I53" s="2"/>
      <c r="J53" s="137"/>
      <c r="K53" s="137"/>
      <c r="L53" s="137"/>
      <c r="M53" s="137"/>
      <c r="N53" s="137"/>
      <c r="O53" s="137"/>
      <c r="P53" s="137"/>
      <c r="Q53" s="137"/>
      <c r="R53" s="137"/>
      <c r="S53" s="137"/>
      <c r="T53" s="137"/>
      <c r="U53" s="152"/>
    </row>
    <row r="54" spans="1:21" ht="16">
      <c r="A54" s="2" t="s">
        <v>253</v>
      </c>
      <c r="B54" s="137">
        <v>22104786</v>
      </c>
      <c r="C54" s="161" t="s">
        <v>2694</v>
      </c>
      <c r="D54" s="10"/>
      <c r="E54" s="137"/>
      <c r="F54" s="137"/>
      <c r="G54" s="137"/>
      <c r="H54" s="137"/>
      <c r="I54" s="23" t="s">
        <v>1955</v>
      </c>
      <c r="J54" s="137"/>
      <c r="K54" s="137"/>
      <c r="L54" s="137"/>
      <c r="M54" s="137"/>
      <c r="N54" s="137"/>
      <c r="O54" s="137"/>
      <c r="P54" s="137"/>
      <c r="Q54" s="137"/>
      <c r="R54" s="137"/>
      <c r="S54" s="137"/>
      <c r="T54" s="137"/>
      <c r="U54" s="152"/>
    </row>
    <row r="55" spans="1:21" ht="16">
      <c r="A55" s="2" t="s">
        <v>257</v>
      </c>
      <c r="B55" s="137">
        <v>22106937</v>
      </c>
      <c r="C55" s="161" t="s">
        <v>2695</v>
      </c>
      <c r="D55" s="159"/>
      <c r="E55" s="137"/>
      <c r="F55" s="137"/>
      <c r="G55" s="137"/>
      <c r="H55" s="137"/>
      <c r="I55" s="23"/>
      <c r="J55" s="137"/>
      <c r="K55" s="137"/>
      <c r="L55" s="137"/>
      <c r="M55" s="137"/>
      <c r="N55" s="137"/>
      <c r="O55" s="137"/>
      <c r="P55" s="137"/>
      <c r="Q55" s="137"/>
      <c r="R55" s="137"/>
      <c r="S55" s="137"/>
      <c r="T55" s="137"/>
      <c r="U55" s="152"/>
    </row>
    <row r="56" spans="1:21" ht="16">
      <c r="A56" s="2" t="s">
        <v>262</v>
      </c>
      <c r="B56" s="137">
        <v>22102827</v>
      </c>
      <c r="C56" s="161" t="s">
        <v>2696</v>
      </c>
      <c r="D56" s="159"/>
      <c r="E56" s="137"/>
      <c r="F56" s="137"/>
      <c r="G56" s="137"/>
      <c r="H56" s="137"/>
      <c r="I56" s="30"/>
      <c r="J56" s="137"/>
      <c r="K56" s="137"/>
      <c r="L56" s="137"/>
      <c r="M56" s="137"/>
      <c r="N56" s="137"/>
      <c r="O56" s="137"/>
      <c r="P56" s="137"/>
      <c r="Q56" s="137"/>
      <c r="R56" s="137"/>
      <c r="S56" s="137"/>
      <c r="T56" s="137"/>
      <c r="U56" s="152"/>
    </row>
    <row r="57" spans="1:21" ht="16">
      <c r="A57" s="2" t="s">
        <v>266</v>
      </c>
      <c r="B57" s="137">
        <v>22192272</v>
      </c>
      <c r="C57" s="161" t="s">
        <v>2697</v>
      </c>
      <c r="D57" s="159">
        <v>44722</v>
      </c>
      <c r="E57" s="159">
        <v>44701</v>
      </c>
      <c r="F57" s="159">
        <v>44705</v>
      </c>
      <c r="G57" s="159">
        <v>44701</v>
      </c>
      <c r="H57" s="137">
        <v>560</v>
      </c>
      <c r="I57" s="23">
        <v>44698</v>
      </c>
      <c r="J57" s="160">
        <v>68.900000000000006</v>
      </c>
      <c r="K57" s="137">
        <v>25.4</v>
      </c>
      <c r="L57" s="137">
        <v>4870</v>
      </c>
      <c r="M57" s="137">
        <v>1792</v>
      </c>
      <c r="N57" s="137">
        <v>44.7</v>
      </c>
      <c r="O57" s="137">
        <v>3170</v>
      </c>
      <c r="P57" s="137">
        <v>19.399999999999999</v>
      </c>
      <c r="Q57" s="137">
        <v>1375</v>
      </c>
      <c r="R57" s="137">
        <v>2.2999999999999998</v>
      </c>
      <c r="S57" s="137">
        <v>4.4000000000000004</v>
      </c>
      <c r="T57" s="137">
        <v>308</v>
      </c>
      <c r="U57" s="152"/>
    </row>
    <row r="58" spans="1:21" ht="16">
      <c r="A58" s="2" t="s">
        <v>270</v>
      </c>
      <c r="B58" s="137">
        <v>22105580</v>
      </c>
      <c r="C58" s="161" t="s">
        <v>2698</v>
      </c>
      <c r="D58" s="159">
        <v>44918</v>
      </c>
      <c r="E58" s="159">
        <v>44911</v>
      </c>
      <c r="F58" s="159">
        <v>44918</v>
      </c>
      <c r="G58" s="159">
        <v>44914</v>
      </c>
      <c r="H58" s="137">
        <v>10.5</v>
      </c>
      <c r="I58" s="23">
        <v>44910</v>
      </c>
      <c r="J58" s="137">
        <v>64.2</v>
      </c>
      <c r="K58" s="137">
        <v>25.7</v>
      </c>
      <c r="L58" s="137">
        <v>2820</v>
      </c>
      <c r="M58" s="137">
        <v>1103</v>
      </c>
      <c r="N58" s="137">
        <v>27.9</v>
      </c>
      <c r="O58" s="137">
        <v>1251</v>
      </c>
      <c r="P58" s="137">
        <v>30.1</v>
      </c>
      <c r="Q58" s="137">
        <v>1351</v>
      </c>
      <c r="R58" s="137">
        <v>0.9</v>
      </c>
      <c r="S58" s="137">
        <v>7.7</v>
      </c>
      <c r="T58" s="137">
        <v>332</v>
      </c>
      <c r="U58" s="152"/>
    </row>
    <row r="59" spans="1:21" ht="16">
      <c r="A59" s="2" t="s">
        <v>273</v>
      </c>
      <c r="B59" s="137">
        <v>22105942</v>
      </c>
      <c r="C59" s="161" t="s">
        <v>2699</v>
      </c>
      <c r="D59" s="159">
        <v>45001</v>
      </c>
      <c r="E59" s="297">
        <v>44988</v>
      </c>
      <c r="F59" s="297">
        <v>44995</v>
      </c>
      <c r="G59" s="159">
        <v>44991</v>
      </c>
      <c r="H59" s="137">
        <v>91.9</v>
      </c>
      <c r="I59" s="23">
        <v>44981</v>
      </c>
      <c r="J59" s="137">
        <v>73.099999999999994</v>
      </c>
      <c r="K59" s="137">
        <v>17.7</v>
      </c>
      <c r="L59" s="137">
        <v>3984</v>
      </c>
      <c r="M59" s="137">
        <v>962</v>
      </c>
      <c r="N59" s="137">
        <v>48.3</v>
      </c>
      <c r="O59" s="137">
        <v>2639</v>
      </c>
      <c r="P59" s="137">
        <v>16.2</v>
      </c>
      <c r="Q59" s="137">
        <v>888</v>
      </c>
      <c r="R59" s="137">
        <v>3</v>
      </c>
      <c r="S59" s="137">
        <v>6.3</v>
      </c>
      <c r="T59" s="137">
        <v>344</v>
      </c>
      <c r="U59" s="152"/>
    </row>
    <row r="60" spans="1:21" ht="16">
      <c r="A60" s="2" t="s">
        <v>278</v>
      </c>
      <c r="B60" s="137">
        <v>22106996</v>
      </c>
      <c r="C60" s="161" t="s">
        <v>2442</v>
      </c>
      <c r="D60" s="159"/>
      <c r="E60" s="137"/>
      <c r="F60" s="137"/>
      <c r="G60" s="137"/>
      <c r="H60" s="137"/>
      <c r="I60" s="23"/>
      <c r="J60" s="137"/>
      <c r="K60" s="137"/>
      <c r="L60" s="137"/>
      <c r="M60" s="137"/>
      <c r="N60" s="137"/>
      <c r="O60" s="137"/>
      <c r="P60" s="137"/>
      <c r="Q60" s="137"/>
      <c r="R60" s="137"/>
      <c r="S60" s="137"/>
      <c r="T60" s="137"/>
      <c r="U60" s="152"/>
    </row>
    <row r="61" spans="1:21" ht="16">
      <c r="A61" s="2" t="s">
        <v>283</v>
      </c>
      <c r="B61" s="137">
        <v>22106997</v>
      </c>
      <c r="C61" s="161" t="s">
        <v>2443</v>
      </c>
      <c r="D61" s="159"/>
      <c r="E61" s="137"/>
      <c r="F61" s="137"/>
      <c r="G61" s="137"/>
      <c r="H61" s="137"/>
      <c r="I61" s="23"/>
      <c r="J61" s="137"/>
      <c r="K61" s="137"/>
      <c r="L61" s="137"/>
      <c r="M61" s="137"/>
      <c r="N61" s="137"/>
      <c r="O61" s="137"/>
      <c r="P61" s="137"/>
      <c r="Q61" s="137"/>
      <c r="R61" s="137"/>
      <c r="S61" s="137"/>
      <c r="T61" s="137"/>
      <c r="U61" s="152"/>
    </row>
    <row r="62" spans="1:21" ht="16">
      <c r="A62" s="2" t="s">
        <v>286</v>
      </c>
      <c r="B62" s="137">
        <v>22108155</v>
      </c>
      <c r="C62" s="161" t="s">
        <v>2700</v>
      </c>
      <c r="D62" s="137"/>
      <c r="E62" s="137"/>
      <c r="F62" s="137"/>
      <c r="G62" s="137"/>
      <c r="H62" s="137"/>
      <c r="I62" s="2"/>
      <c r="J62" s="137"/>
      <c r="K62" s="137"/>
      <c r="L62" s="137"/>
      <c r="M62" s="137"/>
      <c r="N62" s="137"/>
      <c r="O62" s="137"/>
      <c r="P62" s="137"/>
      <c r="Q62" s="137"/>
      <c r="R62" s="137"/>
      <c r="S62" s="137"/>
      <c r="T62" s="137"/>
      <c r="U62" s="152"/>
    </row>
    <row r="63" spans="1:21" ht="16">
      <c r="A63" s="2" t="s">
        <v>291</v>
      </c>
      <c r="B63" s="137">
        <v>22106340</v>
      </c>
      <c r="C63" s="161" t="s">
        <v>1135</v>
      </c>
      <c r="D63" s="159"/>
      <c r="E63" s="137"/>
      <c r="F63" s="137"/>
      <c r="G63" s="137"/>
      <c r="H63" s="137"/>
      <c r="I63" s="23"/>
      <c r="J63" s="137"/>
      <c r="K63" s="137"/>
      <c r="L63" s="137"/>
      <c r="M63" s="137"/>
      <c r="N63" s="137"/>
      <c r="O63" s="137"/>
      <c r="P63" s="137"/>
      <c r="Q63" s="137"/>
      <c r="R63" s="137"/>
      <c r="S63" s="137"/>
      <c r="T63" s="137"/>
      <c r="U63" s="152"/>
    </row>
    <row r="64" spans="1:21" ht="16">
      <c r="A64" s="2" t="s">
        <v>296</v>
      </c>
      <c r="B64" s="137">
        <v>22103195</v>
      </c>
      <c r="C64" s="161" t="s">
        <v>297</v>
      </c>
      <c r="D64" s="159">
        <v>44785</v>
      </c>
      <c r="E64" s="159">
        <v>44768</v>
      </c>
      <c r="F64" s="137"/>
      <c r="G64" s="159">
        <v>44769</v>
      </c>
      <c r="H64" s="137">
        <v>90.8</v>
      </c>
      <c r="I64" s="23">
        <v>44764</v>
      </c>
      <c r="J64" s="160">
        <v>71.2</v>
      </c>
      <c r="K64" s="137">
        <v>20.399999999999999</v>
      </c>
      <c r="L64" s="137">
        <v>3135</v>
      </c>
      <c r="M64" s="137">
        <v>908</v>
      </c>
      <c r="N64" s="137">
        <v>51</v>
      </c>
      <c r="O64" s="137">
        <v>2225</v>
      </c>
      <c r="P64" s="137">
        <v>17.8</v>
      </c>
      <c r="Q64" s="137">
        <v>775</v>
      </c>
      <c r="R64" s="137">
        <v>2.9</v>
      </c>
      <c r="S64" s="137">
        <v>6.86</v>
      </c>
      <c r="T64" s="137">
        <v>305</v>
      </c>
      <c r="U64" s="152"/>
    </row>
    <row r="65" spans="1:46" ht="16">
      <c r="A65" s="2" t="s">
        <v>301</v>
      </c>
      <c r="B65" s="137">
        <v>22107168</v>
      </c>
      <c r="C65" s="161" t="s">
        <v>1150</v>
      </c>
      <c r="D65" s="159">
        <v>45119</v>
      </c>
      <c r="E65" s="159">
        <v>45111</v>
      </c>
      <c r="F65" s="159">
        <v>45145</v>
      </c>
      <c r="G65" s="159">
        <v>45112</v>
      </c>
      <c r="H65" s="137">
        <v>19.100000000000001</v>
      </c>
      <c r="I65" s="23">
        <v>45107</v>
      </c>
      <c r="J65" s="137">
        <v>66.8</v>
      </c>
      <c r="K65" s="137">
        <v>20.3</v>
      </c>
      <c r="L65" s="137">
        <v>2776</v>
      </c>
      <c r="M65" s="137">
        <v>840</v>
      </c>
      <c r="N65" s="137">
        <v>40.1</v>
      </c>
      <c r="O65" s="137">
        <v>1678</v>
      </c>
      <c r="P65" s="137">
        <v>21.9</v>
      </c>
      <c r="Q65" s="137">
        <v>914</v>
      </c>
      <c r="R65" s="137">
        <v>1.8</v>
      </c>
      <c r="S65" s="137">
        <v>11.2</v>
      </c>
      <c r="T65" s="137">
        <v>463</v>
      </c>
      <c r="U65" s="152"/>
    </row>
    <row r="66" spans="1:46" ht="16">
      <c r="A66" s="6" t="s">
        <v>306</v>
      </c>
      <c r="B66" s="292">
        <v>22107334</v>
      </c>
      <c r="C66" s="293" t="s">
        <v>2701</v>
      </c>
      <c r="D66" s="292"/>
      <c r="E66" s="292"/>
      <c r="F66" s="292"/>
      <c r="G66" s="292"/>
      <c r="H66" s="292"/>
      <c r="I66" s="6"/>
      <c r="J66" s="292"/>
      <c r="K66" s="292"/>
      <c r="L66" s="292"/>
      <c r="M66" s="292"/>
      <c r="N66" s="292"/>
      <c r="O66" s="292"/>
      <c r="P66" s="292"/>
      <c r="Q66" s="292"/>
      <c r="R66" s="292"/>
      <c r="S66" s="292"/>
      <c r="T66" s="292"/>
      <c r="U66" s="152"/>
    </row>
    <row r="67" spans="1:46" ht="16">
      <c r="A67" s="6" t="s">
        <v>309</v>
      </c>
      <c r="B67" s="292">
        <v>22107336</v>
      </c>
      <c r="C67" s="293" t="s">
        <v>2702</v>
      </c>
      <c r="D67" s="292"/>
      <c r="E67" s="292"/>
      <c r="F67" s="292"/>
      <c r="G67" s="292"/>
      <c r="H67" s="292"/>
      <c r="I67" s="6"/>
      <c r="J67" s="292"/>
      <c r="K67" s="292"/>
      <c r="L67" s="292"/>
      <c r="M67" s="292"/>
      <c r="N67" s="292"/>
      <c r="O67" s="292"/>
      <c r="P67" s="292"/>
      <c r="Q67" s="292"/>
      <c r="R67" s="292"/>
      <c r="S67" s="292"/>
      <c r="T67" s="292"/>
      <c r="U67" s="152"/>
    </row>
    <row r="68" spans="1:46" ht="16">
      <c r="A68" s="2" t="s">
        <v>312</v>
      </c>
      <c r="B68" s="137">
        <v>22106885</v>
      </c>
      <c r="C68" s="161" t="s">
        <v>2703</v>
      </c>
      <c r="D68" s="159">
        <v>45107</v>
      </c>
      <c r="E68" s="159">
        <v>45082</v>
      </c>
      <c r="F68" s="159">
        <v>45111</v>
      </c>
      <c r="G68" s="159">
        <v>45092</v>
      </c>
      <c r="H68" s="137">
        <v>5.16</v>
      </c>
      <c r="I68" s="23">
        <v>45079</v>
      </c>
      <c r="J68" s="137">
        <v>61.8</v>
      </c>
      <c r="K68" s="137">
        <v>34.200000000000003</v>
      </c>
      <c r="L68" s="137">
        <v>4136</v>
      </c>
      <c r="M68" s="137">
        <v>2295</v>
      </c>
      <c r="N68" s="137">
        <v>34.700000000000003</v>
      </c>
      <c r="O68" s="137">
        <v>2315</v>
      </c>
      <c r="P68" s="137">
        <v>24.6</v>
      </c>
      <c r="Q68" s="137">
        <v>1643</v>
      </c>
      <c r="R68" s="137">
        <v>1.4</v>
      </c>
      <c r="S68" s="137">
        <v>2.4</v>
      </c>
      <c r="T68" s="137">
        <v>164</v>
      </c>
      <c r="U68" s="152"/>
    </row>
    <row r="69" spans="1:46" ht="16">
      <c r="A69" s="2" t="s">
        <v>316</v>
      </c>
      <c r="B69" s="137">
        <v>22106005</v>
      </c>
      <c r="C69" s="161" t="s">
        <v>2704</v>
      </c>
      <c r="D69" s="10">
        <v>45015</v>
      </c>
      <c r="E69" s="10">
        <v>44999</v>
      </c>
      <c r="F69" s="10">
        <v>45034</v>
      </c>
      <c r="G69" s="10">
        <v>45000</v>
      </c>
      <c r="H69" s="8">
        <v>46.3</v>
      </c>
      <c r="I69" s="23">
        <v>44995</v>
      </c>
      <c r="J69" s="137">
        <v>41.8</v>
      </c>
      <c r="K69" s="137">
        <v>52.5</v>
      </c>
      <c r="L69" s="137">
        <v>1169</v>
      </c>
      <c r="M69" s="137">
        <v>1813</v>
      </c>
      <c r="N69" s="137">
        <v>21.8</v>
      </c>
      <c r="O69" s="137">
        <v>469</v>
      </c>
      <c r="P69" s="137">
        <v>15.9</v>
      </c>
      <c r="Q69" s="137">
        <v>341</v>
      </c>
      <c r="R69" s="137">
        <v>1.4</v>
      </c>
      <c r="S69" s="137">
        <v>4.4000000000000004</v>
      </c>
      <c r="T69" s="137">
        <v>152</v>
      </c>
      <c r="U69" s="152"/>
    </row>
    <row r="70" spans="1:46" ht="16">
      <c r="A70" s="2" t="s">
        <v>320</v>
      </c>
      <c r="B70" s="137">
        <v>22108151</v>
      </c>
      <c r="C70" s="161" t="s">
        <v>2705</v>
      </c>
      <c r="D70" s="137"/>
      <c r="E70" s="137"/>
      <c r="F70" s="137"/>
      <c r="G70" s="137"/>
      <c r="H70" s="137"/>
      <c r="I70" s="2"/>
      <c r="J70" s="137"/>
      <c r="K70" s="137"/>
      <c r="L70" s="137"/>
      <c r="M70" s="137"/>
      <c r="N70" s="137"/>
      <c r="O70" s="137"/>
      <c r="P70" s="137"/>
      <c r="Q70" s="137"/>
      <c r="R70" s="137"/>
      <c r="S70" s="137"/>
      <c r="T70" s="137"/>
      <c r="U70" s="152"/>
    </row>
    <row r="71" spans="1:46" ht="16">
      <c r="A71" s="2" t="s">
        <v>325</v>
      </c>
      <c r="B71" s="137">
        <v>22108143</v>
      </c>
      <c r="C71" s="161" t="s">
        <v>2706</v>
      </c>
      <c r="D71" s="5"/>
      <c r="E71" s="1"/>
      <c r="F71" s="2"/>
      <c r="G71" s="2"/>
      <c r="H71" s="1"/>
      <c r="I71" s="2"/>
      <c r="J71" s="1"/>
      <c r="K71" s="1"/>
      <c r="L71" s="1"/>
      <c r="M71" s="1"/>
      <c r="N71" s="1"/>
      <c r="O71" s="1"/>
      <c r="P71" s="1"/>
      <c r="Q71" s="1"/>
      <c r="R71" s="1"/>
      <c r="S71" s="1"/>
      <c r="T71" s="1"/>
      <c r="U71" s="1"/>
      <c r="V71" s="1"/>
      <c r="W71" s="1"/>
      <c r="X71" s="1"/>
      <c r="Y71" s="2"/>
      <c r="Z71" s="2"/>
      <c r="AA71" s="1"/>
      <c r="AB71" s="1"/>
      <c r="AC71" s="1"/>
      <c r="AD71" s="1"/>
      <c r="AE71" s="1"/>
      <c r="AF71" s="1"/>
      <c r="AG71" s="1"/>
      <c r="AH71" s="1"/>
      <c r="AI71" s="2"/>
      <c r="AJ71" s="2"/>
      <c r="AK71" s="1"/>
      <c r="AL71" s="1"/>
      <c r="AM71" s="2"/>
      <c r="AN71" s="2"/>
      <c r="AO71" s="1"/>
      <c r="AP71" s="1"/>
      <c r="AQ71" s="2"/>
      <c r="AR71" s="1"/>
      <c r="AS71" s="1"/>
      <c r="AT71" s="2">
        <v>1</v>
      </c>
    </row>
    <row r="72" spans="1:46" ht="16">
      <c r="A72" s="2" t="s">
        <v>329</v>
      </c>
      <c r="B72" s="137">
        <v>22107452</v>
      </c>
      <c r="C72" s="161" t="s">
        <v>1174</v>
      </c>
      <c r="D72" s="137"/>
      <c r="E72" s="137"/>
      <c r="F72" s="137"/>
      <c r="G72" s="137"/>
      <c r="H72" s="137"/>
      <c r="I72" s="2"/>
      <c r="J72" s="137"/>
      <c r="K72" s="137"/>
      <c r="L72" s="137"/>
      <c r="M72" s="137"/>
      <c r="N72" s="137"/>
      <c r="O72" s="137"/>
      <c r="P72" s="137"/>
      <c r="Q72" s="137"/>
      <c r="R72" s="137"/>
      <c r="S72" s="137"/>
      <c r="T72" s="137"/>
      <c r="U72" s="152"/>
    </row>
    <row r="73" spans="1:46" ht="16">
      <c r="A73" s="2" t="s">
        <v>333</v>
      </c>
      <c r="B73" s="137">
        <v>22105672</v>
      </c>
      <c r="C73" s="161" t="s">
        <v>1181</v>
      </c>
      <c r="D73" s="159"/>
      <c r="E73" s="137"/>
      <c r="F73" s="137"/>
      <c r="G73" s="137"/>
      <c r="H73" s="137"/>
      <c r="I73" s="23"/>
      <c r="J73" s="137"/>
      <c r="K73" s="137"/>
      <c r="L73" s="137"/>
      <c r="M73" s="137"/>
      <c r="N73" s="137"/>
      <c r="O73" s="137"/>
      <c r="P73" s="137"/>
      <c r="Q73" s="137"/>
      <c r="R73" s="137"/>
      <c r="S73" s="137"/>
      <c r="T73" s="137"/>
      <c r="U73" s="152"/>
    </row>
    <row r="74" spans="1:46" ht="16">
      <c r="A74" s="6" t="s">
        <v>337</v>
      </c>
      <c r="B74" s="292">
        <v>22108394</v>
      </c>
      <c r="C74" s="293" t="s">
        <v>1188</v>
      </c>
      <c r="D74" s="292"/>
      <c r="E74" s="137"/>
      <c r="F74" s="137"/>
      <c r="G74" s="137"/>
      <c r="H74" s="137"/>
      <c r="I74" s="6"/>
      <c r="J74" s="137"/>
      <c r="K74" s="137"/>
      <c r="L74" s="137"/>
      <c r="M74" s="137"/>
      <c r="N74" s="137"/>
      <c r="O74" s="137"/>
      <c r="P74" s="137"/>
      <c r="Q74" s="137"/>
      <c r="R74" s="137"/>
      <c r="S74" s="137"/>
      <c r="T74" s="137"/>
      <c r="U74" s="152"/>
    </row>
    <row r="75" spans="1:46" ht="16">
      <c r="A75" s="6" t="s">
        <v>341</v>
      </c>
      <c r="B75" s="292">
        <v>22108395</v>
      </c>
      <c r="C75" s="293" t="s">
        <v>1189</v>
      </c>
      <c r="D75" s="292"/>
      <c r="E75" s="137"/>
      <c r="F75" s="137"/>
      <c r="G75" s="137"/>
      <c r="H75" s="137"/>
      <c r="I75" s="6"/>
      <c r="J75" s="137"/>
      <c r="K75" s="137"/>
      <c r="L75" s="137"/>
      <c r="M75" s="137"/>
      <c r="N75" s="137"/>
      <c r="O75" s="137"/>
      <c r="P75" s="137"/>
      <c r="Q75" s="137"/>
      <c r="R75" s="137"/>
      <c r="S75" s="137"/>
      <c r="T75" s="137"/>
      <c r="U75" s="152"/>
    </row>
    <row r="76" spans="1:46" ht="15" customHeight="1">
      <c r="A76" s="2" t="s">
        <v>344</v>
      </c>
      <c r="B76" s="137">
        <v>21929897</v>
      </c>
      <c r="C76" s="161" t="s">
        <v>1190</v>
      </c>
      <c r="D76" s="159">
        <v>44650</v>
      </c>
      <c r="E76" s="159">
        <v>44635</v>
      </c>
      <c r="F76" s="137"/>
      <c r="G76" s="221">
        <v>44635</v>
      </c>
      <c r="H76">
        <v>11.7</v>
      </c>
      <c r="I76" s="23">
        <v>44585</v>
      </c>
      <c r="J76">
        <v>71.2</v>
      </c>
      <c r="K76">
        <v>20.399999999999999</v>
      </c>
      <c r="L76">
        <v>3135</v>
      </c>
      <c r="M76">
        <v>908</v>
      </c>
      <c r="N76">
        <v>51</v>
      </c>
      <c r="O76">
        <v>2225</v>
      </c>
      <c r="P76">
        <v>17.8</v>
      </c>
      <c r="Q76">
        <v>775</v>
      </c>
      <c r="R76">
        <v>2.9</v>
      </c>
      <c r="S76">
        <v>6.86</v>
      </c>
      <c r="T76">
        <v>305</v>
      </c>
      <c r="U76" s="152"/>
    </row>
    <row r="77" spans="1:46" ht="16">
      <c r="A77" s="2" t="s">
        <v>349</v>
      </c>
      <c r="B77" s="137">
        <v>22102403</v>
      </c>
      <c r="C77" s="161" t="s">
        <v>1198</v>
      </c>
      <c r="D77" s="159">
        <v>44907</v>
      </c>
      <c r="E77" s="159">
        <v>44635</v>
      </c>
      <c r="F77" s="137"/>
      <c r="G77" s="159">
        <v>44637</v>
      </c>
      <c r="H77" s="137">
        <v>12.9</v>
      </c>
      <c r="I77" s="23">
        <v>44634</v>
      </c>
      <c r="J77" s="160">
        <v>60.2</v>
      </c>
      <c r="K77" s="137">
        <v>27.8</v>
      </c>
      <c r="L77" s="137">
        <v>1854</v>
      </c>
      <c r="M77" s="137">
        <v>876</v>
      </c>
      <c r="N77" s="137">
        <v>37.299999999999997</v>
      </c>
      <c r="O77" s="137">
        <v>1120</v>
      </c>
      <c r="P77" s="137">
        <v>16.2</v>
      </c>
      <c r="Q77" s="137">
        <v>488</v>
      </c>
      <c r="R77" s="137">
        <v>2.2999999999999998</v>
      </c>
      <c r="S77" s="137">
        <v>10.6</v>
      </c>
      <c r="T77" s="137">
        <v>334</v>
      </c>
      <c r="U77" s="152"/>
    </row>
    <row r="78" spans="1:46" ht="16">
      <c r="A78" s="2" t="s">
        <v>353</v>
      </c>
      <c r="B78" s="137">
        <v>22107823</v>
      </c>
      <c r="C78" s="161" t="s">
        <v>1203</v>
      </c>
      <c r="D78" s="159">
        <v>45188</v>
      </c>
      <c r="E78" s="159">
        <v>45175</v>
      </c>
      <c r="F78" s="159">
        <v>45196</v>
      </c>
      <c r="G78" s="159">
        <v>45180</v>
      </c>
      <c r="H78" s="137">
        <v>100</v>
      </c>
      <c r="I78" s="23">
        <v>45174</v>
      </c>
      <c r="J78" s="137">
        <v>68.5</v>
      </c>
      <c r="K78" s="137">
        <v>21.7</v>
      </c>
      <c r="L78" s="137">
        <v>2049</v>
      </c>
      <c r="M78" s="137">
        <v>649</v>
      </c>
      <c r="N78" s="137">
        <v>49.2</v>
      </c>
      <c r="O78" s="137">
        <v>1468</v>
      </c>
      <c r="P78" s="137">
        <v>11.5</v>
      </c>
      <c r="Q78" s="137">
        <v>342</v>
      </c>
      <c r="R78" s="137">
        <v>4.3</v>
      </c>
      <c r="S78" s="137">
        <v>6</v>
      </c>
      <c r="T78" s="137">
        <v>181</v>
      </c>
      <c r="U78" s="152"/>
    </row>
    <row r="79" spans="1:46" ht="16">
      <c r="A79" s="2" t="s">
        <v>357</v>
      </c>
      <c r="B79" s="137">
        <v>4998396</v>
      </c>
      <c r="C79" s="161" t="s">
        <v>2707</v>
      </c>
      <c r="D79" s="10"/>
      <c r="E79" s="137"/>
      <c r="F79" s="137"/>
      <c r="G79" s="137"/>
      <c r="H79" s="137"/>
      <c r="I79" s="23" t="s">
        <v>1955</v>
      </c>
      <c r="J79" s="137"/>
      <c r="K79" s="137"/>
      <c r="L79" s="137"/>
      <c r="M79" s="137"/>
      <c r="N79" s="137"/>
      <c r="O79" s="137"/>
      <c r="P79" s="137"/>
      <c r="Q79" s="137"/>
      <c r="R79" s="137"/>
      <c r="S79" s="137"/>
      <c r="T79" s="137"/>
      <c r="U79" s="152"/>
    </row>
    <row r="80" spans="1:46" ht="16">
      <c r="A80" s="2" t="s">
        <v>359</v>
      </c>
      <c r="B80" s="137">
        <v>22270695</v>
      </c>
      <c r="C80" s="161" t="s">
        <v>2708</v>
      </c>
      <c r="D80" s="159">
        <v>45107</v>
      </c>
      <c r="E80" s="159">
        <v>45082</v>
      </c>
      <c r="F80" s="159">
        <v>45111</v>
      </c>
      <c r="G80" s="159">
        <v>45092</v>
      </c>
      <c r="H80" s="137">
        <v>71.400000000000006</v>
      </c>
      <c r="I80" s="23">
        <v>45080</v>
      </c>
      <c r="J80" s="137"/>
      <c r="K80" s="137"/>
      <c r="L80" s="137"/>
      <c r="M80" s="137"/>
      <c r="N80" s="137"/>
      <c r="O80" s="137"/>
      <c r="P80" s="137"/>
      <c r="Q80" s="137"/>
      <c r="R80" s="137"/>
      <c r="S80" s="137"/>
      <c r="T80" s="137"/>
      <c r="U80" s="152"/>
    </row>
    <row r="81" spans="1:21" ht="16">
      <c r="A81" s="2" t="s">
        <v>363</v>
      </c>
      <c r="B81" s="137">
        <v>22107485</v>
      </c>
      <c r="C81" s="137" t="s">
        <v>364</v>
      </c>
      <c r="D81" s="159"/>
      <c r="E81" s="137"/>
      <c r="F81" s="137"/>
      <c r="G81" s="137"/>
      <c r="H81" s="137"/>
      <c r="I81" s="23"/>
      <c r="J81" s="137"/>
      <c r="K81" s="137"/>
      <c r="L81" s="137"/>
      <c r="M81" s="137"/>
      <c r="N81" s="137"/>
      <c r="O81" s="137"/>
      <c r="P81" s="137"/>
      <c r="Q81" s="137"/>
      <c r="R81" s="137"/>
      <c r="S81" s="137"/>
      <c r="T81" s="137"/>
      <c r="U81" s="152"/>
    </row>
    <row r="82" spans="1:21" ht="16">
      <c r="A82" s="2" t="s">
        <v>367</v>
      </c>
      <c r="B82" s="137">
        <v>22107486</v>
      </c>
      <c r="C82" s="137" t="s">
        <v>368</v>
      </c>
      <c r="D82" s="159"/>
      <c r="E82" s="137"/>
      <c r="F82" s="137"/>
      <c r="G82" s="137"/>
      <c r="H82" s="137"/>
      <c r="I82" s="23"/>
      <c r="J82" s="137"/>
      <c r="K82" s="137"/>
      <c r="L82" s="137"/>
      <c r="M82" s="137"/>
      <c r="N82" s="137"/>
      <c r="O82" s="137"/>
      <c r="P82" s="137"/>
      <c r="Q82" s="137"/>
      <c r="R82" s="137"/>
      <c r="S82" s="137"/>
      <c r="T82" s="137"/>
      <c r="U82" s="152"/>
    </row>
    <row r="83" spans="1:21" ht="16">
      <c r="A83" s="2" t="s">
        <v>370</v>
      </c>
      <c r="B83" s="137">
        <v>22108150</v>
      </c>
      <c r="C83" s="161" t="s">
        <v>1214</v>
      </c>
      <c r="D83" s="137"/>
      <c r="E83" s="137"/>
      <c r="F83" s="137"/>
      <c r="G83" s="137"/>
      <c r="H83" s="137"/>
      <c r="I83" s="2"/>
      <c r="J83" s="137"/>
      <c r="K83" s="137"/>
      <c r="L83" s="137"/>
      <c r="M83" s="137"/>
      <c r="N83" s="137"/>
      <c r="O83" s="137"/>
      <c r="P83" s="137"/>
      <c r="Q83" s="137"/>
      <c r="R83" s="137"/>
      <c r="S83" s="137"/>
      <c r="T83" s="137"/>
      <c r="U83" s="152"/>
    </row>
    <row r="84" spans="1:21" ht="16">
      <c r="A84" s="2" t="s">
        <v>373</v>
      </c>
      <c r="B84" s="137">
        <v>22107133</v>
      </c>
      <c r="C84" s="161" t="s">
        <v>1223</v>
      </c>
      <c r="D84" s="137"/>
      <c r="E84" s="137"/>
      <c r="F84" s="137"/>
      <c r="G84" s="137"/>
      <c r="H84" s="137"/>
      <c r="I84" s="2"/>
      <c r="J84" s="137"/>
      <c r="K84" s="137"/>
      <c r="L84" s="137"/>
      <c r="M84" s="137"/>
      <c r="N84" s="137"/>
      <c r="O84" s="137"/>
      <c r="P84" s="137"/>
      <c r="Q84" s="137"/>
      <c r="R84" s="137"/>
      <c r="S84" s="137"/>
      <c r="T84" s="137"/>
      <c r="U84" s="152"/>
    </row>
    <row r="85" spans="1:21" ht="16">
      <c r="A85" s="2" t="s">
        <v>377</v>
      </c>
      <c r="B85" s="137">
        <v>22108726</v>
      </c>
      <c r="C85" s="161" t="s">
        <v>2709</v>
      </c>
      <c r="D85" s="137"/>
      <c r="E85" s="137"/>
      <c r="F85" s="137"/>
      <c r="G85" s="137"/>
      <c r="H85" s="137"/>
      <c r="I85" s="2"/>
      <c r="J85" s="137"/>
      <c r="K85" s="137"/>
      <c r="L85" s="137"/>
      <c r="M85" s="137"/>
      <c r="N85" s="137"/>
      <c r="O85" s="137"/>
      <c r="P85" s="137"/>
      <c r="Q85" s="137"/>
      <c r="R85" s="137"/>
      <c r="S85" s="137"/>
      <c r="T85" s="137"/>
      <c r="U85" s="152"/>
    </row>
    <row r="86" spans="1:21" ht="16">
      <c r="A86" s="2" t="s">
        <v>381</v>
      </c>
      <c r="B86" s="137">
        <v>22104406</v>
      </c>
      <c r="C86" s="161" t="s">
        <v>1226</v>
      </c>
      <c r="D86" s="159">
        <v>44918</v>
      </c>
      <c r="E86" s="159">
        <v>44911</v>
      </c>
      <c r="F86" s="159">
        <v>44918</v>
      </c>
      <c r="G86" s="159">
        <v>44914</v>
      </c>
      <c r="H86" s="137">
        <v>594</v>
      </c>
      <c r="I86" s="23">
        <v>44909</v>
      </c>
      <c r="J86" s="137">
        <v>72.5</v>
      </c>
      <c r="K86" s="137">
        <v>18.399999999999999</v>
      </c>
      <c r="L86" s="137">
        <v>4173</v>
      </c>
      <c r="M86" s="137">
        <v>1047</v>
      </c>
      <c r="N86" s="137">
        <v>53.2</v>
      </c>
      <c r="O86" s="137">
        <v>3094</v>
      </c>
      <c r="P86" s="137">
        <v>15.6</v>
      </c>
      <c r="Q86" s="137">
        <v>905</v>
      </c>
      <c r="R86" s="137">
        <v>3.4</v>
      </c>
      <c r="S86" s="137">
        <v>8</v>
      </c>
      <c r="T86" s="137">
        <v>457</v>
      </c>
      <c r="U86" s="152"/>
    </row>
    <row r="87" spans="1:21" ht="16">
      <c r="A87" s="2" t="s">
        <v>384</v>
      </c>
      <c r="B87" s="137">
        <v>22108755</v>
      </c>
      <c r="C87" s="161" t="s">
        <v>1230</v>
      </c>
      <c r="D87" s="137"/>
      <c r="E87" s="137"/>
      <c r="F87" s="137"/>
      <c r="G87" s="137"/>
      <c r="H87" s="137"/>
      <c r="I87" s="2"/>
      <c r="J87" s="137"/>
      <c r="K87" s="137"/>
      <c r="L87" s="137"/>
      <c r="M87" s="137"/>
      <c r="N87" s="137"/>
      <c r="O87" s="137"/>
      <c r="P87" s="137"/>
      <c r="Q87" s="137"/>
      <c r="R87" s="137"/>
      <c r="S87" s="137"/>
      <c r="T87" s="137"/>
      <c r="U87" s="152"/>
    </row>
    <row r="88" spans="1:21" ht="16">
      <c r="A88" s="2" t="s">
        <v>388</v>
      </c>
      <c r="B88" s="137">
        <v>22108762</v>
      </c>
      <c r="C88" s="161" t="s">
        <v>1233</v>
      </c>
      <c r="D88" s="137"/>
      <c r="E88" s="137"/>
      <c r="F88" s="137"/>
      <c r="G88" s="137"/>
      <c r="H88" s="137"/>
      <c r="I88" s="2"/>
      <c r="J88" s="137"/>
      <c r="K88" s="137"/>
      <c r="L88" s="137"/>
      <c r="M88" s="137"/>
      <c r="N88" s="137"/>
      <c r="O88" s="137"/>
      <c r="P88" s="137"/>
      <c r="Q88" s="137"/>
      <c r="R88" s="137"/>
      <c r="S88" s="137"/>
      <c r="T88" s="137"/>
      <c r="U88" s="152"/>
    </row>
    <row r="89" spans="1:21" ht="16">
      <c r="A89" s="2" t="s">
        <v>393</v>
      </c>
      <c r="B89" s="137">
        <v>22105932</v>
      </c>
      <c r="C89" s="161" t="s">
        <v>1235</v>
      </c>
      <c r="D89" s="137"/>
      <c r="E89" s="137"/>
      <c r="F89" s="137"/>
      <c r="G89" s="137"/>
      <c r="H89" s="137"/>
      <c r="I89" s="2"/>
      <c r="J89" s="137"/>
      <c r="K89" s="137"/>
      <c r="L89" s="137"/>
      <c r="M89" s="137"/>
      <c r="N89" s="137"/>
      <c r="O89" s="137"/>
      <c r="P89" s="137"/>
      <c r="Q89" s="137"/>
      <c r="R89" s="137"/>
      <c r="S89" s="137"/>
      <c r="T89" s="137"/>
      <c r="U89" s="152"/>
    </row>
    <row r="90" spans="1:21" ht="16">
      <c r="A90" s="2" t="s">
        <v>397</v>
      </c>
      <c r="B90" s="137">
        <v>22105933</v>
      </c>
      <c r="C90" s="161" t="s">
        <v>1237</v>
      </c>
      <c r="D90" s="137"/>
      <c r="E90" s="137"/>
      <c r="F90" s="137"/>
      <c r="G90" s="137"/>
      <c r="H90" s="137"/>
      <c r="I90" s="2"/>
      <c r="J90" s="137"/>
      <c r="K90" s="137"/>
      <c r="L90" s="137"/>
      <c r="M90" s="137"/>
      <c r="N90" s="137"/>
      <c r="O90" s="137"/>
      <c r="P90" s="137"/>
      <c r="Q90" s="137"/>
      <c r="R90" s="137"/>
      <c r="S90" s="137"/>
      <c r="T90" s="137"/>
      <c r="U90" s="152"/>
    </row>
    <row r="91" spans="1:21" ht="16">
      <c r="A91" s="2" t="s">
        <v>399</v>
      </c>
      <c r="B91" s="137">
        <v>22107573</v>
      </c>
      <c r="C91" s="161" t="s">
        <v>1238</v>
      </c>
      <c r="D91" s="159">
        <v>45174</v>
      </c>
      <c r="E91" s="159">
        <v>45161</v>
      </c>
      <c r="F91" s="159">
        <v>45196</v>
      </c>
      <c r="G91" s="159">
        <v>45166</v>
      </c>
      <c r="H91" s="137">
        <v>4.43</v>
      </c>
      <c r="I91" s="23">
        <v>45161</v>
      </c>
      <c r="J91" s="137">
        <v>65</v>
      </c>
      <c r="K91" s="137">
        <v>26.7</v>
      </c>
      <c r="L91" s="137">
        <v>1880</v>
      </c>
      <c r="M91" s="137">
        <v>746</v>
      </c>
      <c r="N91" s="137">
        <v>40</v>
      </c>
      <c r="O91" s="137">
        <v>1195</v>
      </c>
      <c r="P91" s="137">
        <v>18.5</v>
      </c>
      <c r="Q91" s="137">
        <v>552</v>
      </c>
      <c r="R91" s="137">
        <v>2.2000000000000002</v>
      </c>
      <c r="S91" s="137">
        <v>6.6</v>
      </c>
      <c r="T91" s="137">
        <v>185</v>
      </c>
      <c r="U91" s="152"/>
    </row>
    <row r="92" spans="1:21" ht="16">
      <c r="A92" s="2" t="s">
        <v>403</v>
      </c>
      <c r="B92" s="137">
        <v>22105890</v>
      </c>
      <c r="C92" s="161" t="s">
        <v>1241</v>
      </c>
      <c r="D92" s="159">
        <v>44980</v>
      </c>
      <c r="E92" s="159">
        <v>44964</v>
      </c>
      <c r="F92" s="159">
        <v>44988</v>
      </c>
      <c r="G92" s="159">
        <v>44965</v>
      </c>
      <c r="H92" s="137">
        <v>189</v>
      </c>
      <c r="I92" s="23">
        <v>44960</v>
      </c>
      <c r="J92" s="137">
        <v>70.2</v>
      </c>
      <c r="K92" s="137">
        <v>22.4</v>
      </c>
      <c r="L92" s="137">
        <v>4513</v>
      </c>
      <c r="M92" s="137">
        <v>1419</v>
      </c>
      <c r="N92" s="137">
        <v>33.200000000000003</v>
      </c>
      <c r="O92" s="137">
        <v>2160</v>
      </c>
      <c r="P92" s="137">
        <v>27.1</v>
      </c>
      <c r="Q92" s="137">
        <v>1763</v>
      </c>
      <c r="R92" s="137">
        <v>1.2</v>
      </c>
      <c r="S92" s="137">
        <v>5.2</v>
      </c>
      <c r="T92" s="137">
        <v>333</v>
      </c>
      <c r="U92" s="152"/>
    </row>
    <row r="93" spans="1:21" ht="16">
      <c r="A93" s="2" t="s">
        <v>407</v>
      </c>
      <c r="B93" s="137">
        <v>22108642</v>
      </c>
      <c r="C93" s="161" t="s">
        <v>2710</v>
      </c>
      <c r="E93" s="137"/>
      <c r="F93" s="137"/>
      <c r="G93" s="137"/>
      <c r="H93" s="137"/>
      <c r="J93" s="137"/>
      <c r="K93" s="137"/>
      <c r="L93" s="137"/>
      <c r="M93" s="137"/>
      <c r="N93" s="137"/>
      <c r="O93" s="137"/>
      <c r="P93" s="137"/>
      <c r="Q93" s="137"/>
      <c r="R93" s="137"/>
      <c r="S93" s="137"/>
      <c r="T93" s="137"/>
      <c r="U93" s="152"/>
    </row>
    <row r="94" spans="1:21" ht="16">
      <c r="A94" s="2" t="s">
        <v>411</v>
      </c>
      <c r="B94" s="137">
        <v>22102896</v>
      </c>
      <c r="C94" s="161" t="s">
        <v>1262</v>
      </c>
      <c r="D94" s="137" t="s">
        <v>947</v>
      </c>
      <c r="E94" s="137"/>
      <c r="F94" s="137"/>
      <c r="G94" s="137"/>
      <c r="H94" s="137"/>
      <c r="I94" s="2" t="s">
        <v>1657</v>
      </c>
      <c r="J94" s="160"/>
      <c r="K94" s="137"/>
      <c r="L94" s="137"/>
      <c r="M94" s="137"/>
      <c r="N94" s="137"/>
      <c r="O94" s="137"/>
      <c r="P94" s="137"/>
      <c r="Q94" s="137"/>
      <c r="R94" s="137"/>
      <c r="S94" s="137"/>
      <c r="T94" s="137"/>
      <c r="U94" s="152"/>
    </row>
    <row r="95" spans="1:21" ht="16">
      <c r="A95" s="2" t="s">
        <v>2658</v>
      </c>
      <c r="B95" s="137">
        <v>22102896</v>
      </c>
      <c r="C95" s="161" t="s">
        <v>2652</v>
      </c>
      <c r="D95" s="137"/>
      <c r="E95" s="137"/>
      <c r="F95" s="137"/>
      <c r="G95" s="137"/>
      <c r="H95" s="137"/>
      <c r="I95" s="2"/>
      <c r="J95" s="160"/>
      <c r="K95" s="137"/>
      <c r="L95" s="137"/>
      <c r="M95" s="137"/>
      <c r="N95" s="137"/>
      <c r="O95" s="137"/>
      <c r="P95" s="137"/>
      <c r="Q95" s="137"/>
      <c r="R95" s="137"/>
      <c r="S95" s="137"/>
      <c r="T95" s="137"/>
      <c r="U95" s="152"/>
    </row>
    <row r="96" spans="1:21" ht="16">
      <c r="A96" s="2" t="s">
        <v>418</v>
      </c>
      <c r="B96" s="137">
        <v>22104599</v>
      </c>
      <c r="C96" s="161" t="s">
        <v>2711</v>
      </c>
      <c r="D96" s="10"/>
      <c r="E96" s="137"/>
      <c r="F96" s="137"/>
      <c r="G96" s="137"/>
      <c r="H96" s="137"/>
      <c r="I96" s="23" t="s">
        <v>1955</v>
      </c>
      <c r="J96" s="137"/>
      <c r="K96" s="137"/>
      <c r="L96" s="137"/>
      <c r="M96" s="137"/>
      <c r="N96" s="137"/>
      <c r="O96" s="137"/>
      <c r="P96" s="137"/>
      <c r="Q96" s="137"/>
      <c r="R96" s="137"/>
      <c r="S96" s="137"/>
      <c r="T96" s="137"/>
      <c r="U96" s="152"/>
    </row>
    <row r="97" spans="1:21" ht="16">
      <c r="A97" s="2" t="s">
        <v>422</v>
      </c>
      <c r="B97" s="137">
        <v>5085718</v>
      </c>
      <c r="C97" s="161" t="s">
        <v>1263</v>
      </c>
      <c r="D97" s="159">
        <v>44925</v>
      </c>
      <c r="E97" s="159">
        <v>44918</v>
      </c>
      <c r="F97" s="159">
        <v>44964</v>
      </c>
      <c r="G97" s="159">
        <v>44921</v>
      </c>
      <c r="H97" s="137">
        <v>22.8</v>
      </c>
      <c r="I97" s="23">
        <v>44915</v>
      </c>
      <c r="J97" s="137">
        <v>66.3</v>
      </c>
      <c r="K97" s="137">
        <v>18.7</v>
      </c>
      <c r="L97" s="137">
        <v>2913</v>
      </c>
      <c r="M97" s="137">
        <v>816</v>
      </c>
      <c r="N97" s="137">
        <v>28.9</v>
      </c>
      <c r="O97" s="137">
        <v>1279</v>
      </c>
      <c r="P97" s="137">
        <v>24.9</v>
      </c>
      <c r="Q97" s="137">
        <v>1101</v>
      </c>
      <c r="R97" s="137">
        <v>1.2</v>
      </c>
      <c r="S97" s="137">
        <v>13.7</v>
      </c>
      <c r="T97" s="137">
        <v>598</v>
      </c>
      <c r="U97" s="152"/>
    </row>
    <row r="98" spans="1:21" ht="16">
      <c r="A98" s="2" t="s">
        <v>426</v>
      </c>
      <c r="B98" s="137">
        <v>22107919</v>
      </c>
      <c r="C98" s="161" t="s">
        <v>1264</v>
      </c>
      <c r="D98" s="159">
        <v>45149</v>
      </c>
      <c r="E98" s="159">
        <v>45139</v>
      </c>
      <c r="F98" s="159">
        <v>45145</v>
      </c>
      <c r="G98" s="159">
        <v>45140</v>
      </c>
      <c r="H98" s="137">
        <v>557</v>
      </c>
      <c r="I98" s="23">
        <v>45138</v>
      </c>
      <c r="J98" s="137">
        <v>69.2</v>
      </c>
      <c r="K98" s="137">
        <v>20.6</v>
      </c>
      <c r="L98" s="137">
        <v>3840</v>
      </c>
      <c r="M98" s="137">
        <v>1135</v>
      </c>
      <c r="N98" s="137">
        <v>46.3</v>
      </c>
      <c r="O98" s="137">
        <v>2584</v>
      </c>
      <c r="P98" s="137">
        <v>18.899999999999999</v>
      </c>
      <c r="Q98" s="137">
        <v>1057</v>
      </c>
      <c r="R98" s="137">
        <v>2.5</v>
      </c>
      <c r="S98" s="137">
        <v>7.5</v>
      </c>
      <c r="T98" s="137">
        <v>412</v>
      </c>
      <c r="U98" s="152"/>
    </row>
    <row r="99" spans="1:21" ht="16">
      <c r="A99" s="2" t="s">
        <v>429</v>
      </c>
      <c r="B99" s="137">
        <v>22108733</v>
      </c>
      <c r="C99" s="161" t="s">
        <v>1265</v>
      </c>
      <c r="D99" s="159">
        <v>45232</v>
      </c>
      <c r="E99" s="159">
        <v>45225</v>
      </c>
      <c r="F99" s="159">
        <v>45252</v>
      </c>
      <c r="G99" s="159">
        <v>45230</v>
      </c>
      <c r="H99" s="137">
        <v>209</v>
      </c>
      <c r="I99" s="23">
        <v>45224</v>
      </c>
      <c r="J99" s="137">
        <v>46.9</v>
      </c>
      <c r="K99" s="137">
        <v>33.1</v>
      </c>
      <c r="L99" s="137">
        <v>3087</v>
      </c>
      <c r="M99" s="137">
        <v>2200</v>
      </c>
      <c r="N99" s="137">
        <v>30.7</v>
      </c>
      <c r="O99" s="137">
        <v>2004</v>
      </c>
      <c r="P99" s="137">
        <v>12.5</v>
      </c>
      <c r="Q99" s="137">
        <v>814</v>
      </c>
      <c r="R99" s="137">
        <v>2.5</v>
      </c>
      <c r="S99" s="137">
        <v>17.2</v>
      </c>
      <c r="T99" s="137">
        <v>1142</v>
      </c>
      <c r="U99" s="152"/>
    </row>
    <row r="100" spans="1:21" ht="16">
      <c r="A100" s="2" t="s">
        <v>2651</v>
      </c>
      <c r="B100" s="137">
        <v>22139029</v>
      </c>
      <c r="C100" s="161" t="s">
        <v>2712</v>
      </c>
      <c r="D100" s="159">
        <v>44663</v>
      </c>
      <c r="E100" s="159">
        <v>44649</v>
      </c>
      <c r="F100" s="137"/>
      <c r="G100" s="159">
        <v>44651</v>
      </c>
      <c r="H100" s="137">
        <v>23.7</v>
      </c>
      <c r="I100" s="23">
        <v>44648</v>
      </c>
      <c r="J100" s="160">
        <v>58.1</v>
      </c>
      <c r="K100" s="137">
        <v>23.9</v>
      </c>
      <c r="L100" s="137">
        <v>4187</v>
      </c>
      <c r="M100" s="137">
        <v>1715</v>
      </c>
      <c r="N100" s="137">
        <v>25.1</v>
      </c>
      <c r="O100" s="137">
        <v>1813</v>
      </c>
      <c r="P100" s="137">
        <v>26.6</v>
      </c>
      <c r="Q100" s="137">
        <v>1920</v>
      </c>
      <c r="R100" s="137">
        <v>0.9</v>
      </c>
      <c r="S100" s="137">
        <v>15.4</v>
      </c>
      <c r="T100" s="137">
        <v>1109</v>
      </c>
      <c r="U100" s="152"/>
    </row>
    <row r="101" spans="1:21" ht="16">
      <c r="A101" s="2" t="s">
        <v>437</v>
      </c>
      <c r="B101" s="137">
        <v>22107875</v>
      </c>
      <c r="C101" s="161" t="s">
        <v>1277</v>
      </c>
      <c r="D101" s="159">
        <v>45065</v>
      </c>
      <c r="E101" s="159">
        <v>45055</v>
      </c>
      <c r="F101" s="159">
        <v>45058</v>
      </c>
      <c r="G101" s="159">
        <v>45056</v>
      </c>
      <c r="H101" s="137">
        <v>35.5</v>
      </c>
      <c r="I101" s="23">
        <v>45051</v>
      </c>
      <c r="J101" s="137">
        <v>65</v>
      </c>
      <c r="K101" s="137">
        <v>29.3</v>
      </c>
      <c r="L101" s="137">
        <v>2644</v>
      </c>
      <c r="M101" s="137">
        <v>1176</v>
      </c>
      <c r="N101" s="137">
        <v>39</v>
      </c>
      <c r="O101" s="137">
        <v>1608</v>
      </c>
      <c r="P101" s="137">
        <v>18.7</v>
      </c>
      <c r="Q101" s="137">
        <v>770</v>
      </c>
      <c r="R101" s="137">
        <v>2.1</v>
      </c>
      <c r="S101" s="137">
        <v>119</v>
      </c>
      <c r="T101" s="137">
        <v>2.1</v>
      </c>
      <c r="U101" s="152"/>
    </row>
    <row r="102" spans="1:21" ht="16">
      <c r="A102" s="2" t="s">
        <v>441</v>
      </c>
      <c r="B102" s="137">
        <v>22105502</v>
      </c>
      <c r="C102" s="161" t="s">
        <v>1279</v>
      </c>
      <c r="D102" s="159"/>
      <c r="E102" s="137"/>
      <c r="F102" s="137"/>
      <c r="G102" s="137"/>
      <c r="H102" s="137"/>
      <c r="I102" s="23" t="s">
        <v>1720</v>
      </c>
      <c r="J102" s="137"/>
      <c r="K102" s="137"/>
      <c r="L102" s="137"/>
      <c r="M102" s="137"/>
      <c r="N102" s="137"/>
      <c r="O102" s="137"/>
      <c r="P102" s="137"/>
      <c r="Q102" s="137"/>
      <c r="R102" s="137"/>
      <c r="S102" s="137"/>
      <c r="T102" s="137"/>
      <c r="U102" s="152"/>
    </row>
    <row r="103" spans="1:21" ht="16">
      <c r="A103" s="2" t="s">
        <v>2653</v>
      </c>
      <c r="B103" s="137">
        <v>22103078</v>
      </c>
      <c r="C103" s="161" t="s">
        <v>2713</v>
      </c>
      <c r="D103" s="159">
        <v>44659</v>
      </c>
      <c r="E103" s="159">
        <v>44645</v>
      </c>
      <c r="F103" s="137"/>
      <c r="G103" s="159">
        <v>44649</v>
      </c>
      <c r="H103" s="137">
        <v>42.1</v>
      </c>
      <c r="I103" s="23">
        <v>44643</v>
      </c>
      <c r="J103" s="160">
        <v>75.2</v>
      </c>
      <c r="K103" s="137">
        <v>17.5</v>
      </c>
      <c r="L103" s="137">
        <v>3166</v>
      </c>
      <c r="M103" s="137">
        <v>732</v>
      </c>
      <c r="N103" s="137">
        <v>47.5</v>
      </c>
      <c r="O103" s="137">
        <v>2012</v>
      </c>
      <c r="P103" s="137">
        <v>20.399999999999999</v>
      </c>
      <c r="Q103" s="137">
        <v>863</v>
      </c>
      <c r="R103" s="137">
        <v>2.2999999999999998</v>
      </c>
      <c r="S103" s="137">
        <v>3.5</v>
      </c>
      <c r="T103" s="137">
        <v>144</v>
      </c>
      <c r="U103" s="137"/>
    </row>
    <row r="104" spans="1:21" ht="16">
      <c r="A104" s="2" t="s">
        <v>449</v>
      </c>
      <c r="B104" s="137">
        <v>22105498</v>
      </c>
      <c r="C104" s="161" t="s">
        <v>1286</v>
      </c>
      <c r="D104" s="10"/>
      <c r="E104" s="137"/>
      <c r="F104" s="137"/>
      <c r="G104" s="137"/>
      <c r="H104" s="137"/>
      <c r="I104" s="23" t="s">
        <v>1955</v>
      </c>
      <c r="J104" s="137"/>
      <c r="K104" s="137"/>
      <c r="L104" s="137"/>
      <c r="M104" s="137"/>
      <c r="N104" s="137"/>
      <c r="O104" s="137"/>
      <c r="P104" s="137"/>
      <c r="Q104" s="137"/>
      <c r="R104" s="137"/>
      <c r="S104" s="137"/>
      <c r="T104" s="137"/>
      <c r="U104" s="152"/>
    </row>
    <row r="105" spans="1:21" ht="16">
      <c r="A105" s="2" t="s">
        <v>454</v>
      </c>
      <c r="B105" s="137">
        <v>22107550</v>
      </c>
      <c r="C105" s="161" t="s">
        <v>1287</v>
      </c>
      <c r="D105" s="137"/>
      <c r="E105" s="137"/>
      <c r="F105" s="137"/>
      <c r="G105" s="137"/>
      <c r="H105" s="137"/>
      <c r="I105" s="2"/>
      <c r="J105" s="137"/>
      <c r="K105" s="137"/>
      <c r="L105" s="137"/>
      <c r="M105" s="137"/>
      <c r="N105" s="137"/>
      <c r="O105" s="137"/>
      <c r="P105" s="137"/>
      <c r="Q105" s="137"/>
      <c r="R105" s="137"/>
      <c r="S105" s="137"/>
      <c r="T105" s="137"/>
      <c r="U105" s="152"/>
    </row>
    <row r="106" spans="1:21" ht="16">
      <c r="A106" s="2" t="s">
        <v>458</v>
      </c>
      <c r="B106" s="137">
        <v>22107191</v>
      </c>
      <c r="C106" s="161" t="s">
        <v>1288</v>
      </c>
      <c r="D106" s="159"/>
      <c r="E106" s="137"/>
      <c r="F106" s="137"/>
      <c r="G106" s="137"/>
      <c r="H106" s="137"/>
      <c r="I106" s="23"/>
      <c r="J106" s="137"/>
      <c r="K106" s="137"/>
      <c r="L106" s="137"/>
      <c r="M106" s="137"/>
      <c r="N106" s="137"/>
      <c r="O106" s="137"/>
      <c r="P106" s="137"/>
      <c r="Q106" s="137"/>
      <c r="R106" s="137"/>
      <c r="S106" s="137"/>
      <c r="T106" s="137"/>
      <c r="U106" s="152"/>
    </row>
    <row r="107" spans="1:21" ht="16">
      <c r="A107" s="2" t="s">
        <v>463</v>
      </c>
      <c r="B107" s="137">
        <v>22107192</v>
      </c>
      <c r="C107" s="161" t="s">
        <v>1290</v>
      </c>
      <c r="D107" s="159"/>
      <c r="E107" s="137"/>
      <c r="F107" s="137"/>
      <c r="G107" s="137"/>
      <c r="H107" s="137"/>
      <c r="I107" s="23"/>
      <c r="J107" s="137"/>
      <c r="K107" s="137"/>
      <c r="L107" s="137"/>
      <c r="M107" s="137"/>
      <c r="N107" s="137"/>
      <c r="O107" s="137"/>
      <c r="P107" s="137"/>
      <c r="Q107" s="137"/>
      <c r="R107" s="137"/>
      <c r="S107" s="137"/>
      <c r="T107" s="137"/>
      <c r="U107" s="152"/>
    </row>
    <row r="108" spans="1:21" ht="16">
      <c r="A108" s="2" t="s">
        <v>466</v>
      </c>
      <c r="B108" s="137">
        <v>22108569</v>
      </c>
      <c r="C108" s="161" t="s">
        <v>1291</v>
      </c>
      <c r="D108" s="137"/>
      <c r="E108" s="137"/>
      <c r="F108" s="137"/>
      <c r="G108" s="137"/>
      <c r="H108" s="137"/>
      <c r="I108" s="2"/>
      <c r="J108" s="137"/>
      <c r="K108" s="137"/>
      <c r="L108" s="137"/>
      <c r="M108" s="137"/>
      <c r="N108" s="137"/>
      <c r="O108" s="137"/>
      <c r="P108" s="137"/>
      <c r="Q108" s="137"/>
      <c r="R108" s="137"/>
      <c r="S108" s="137"/>
      <c r="T108" s="137"/>
      <c r="U108" s="152"/>
    </row>
    <row r="109" spans="1:21" ht="16">
      <c r="A109" s="2" t="s">
        <v>2654</v>
      </c>
      <c r="B109" s="137">
        <v>22103283</v>
      </c>
      <c r="C109" s="161" t="s">
        <v>2714</v>
      </c>
      <c r="D109" s="159">
        <v>44718</v>
      </c>
      <c r="E109" s="159">
        <v>44698</v>
      </c>
      <c r="F109" s="159">
        <v>44705</v>
      </c>
      <c r="G109" s="159">
        <v>44694</v>
      </c>
      <c r="H109" s="137">
        <v>55.2</v>
      </c>
      <c r="I109" s="2" t="s">
        <v>1657</v>
      </c>
      <c r="J109" s="160">
        <v>68.099999999999994</v>
      </c>
      <c r="K109" s="137">
        <v>21.6</v>
      </c>
      <c r="L109" s="137">
        <v>3044</v>
      </c>
      <c r="M109" s="137">
        <v>952</v>
      </c>
      <c r="N109" s="137">
        <v>42.2</v>
      </c>
      <c r="O109" s="137">
        <v>1917</v>
      </c>
      <c r="P109" s="137">
        <v>20.399999999999999</v>
      </c>
      <c r="Q109" s="137">
        <v>924</v>
      </c>
      <c r="R109" s="137">
        <v>2.1</v>
      </c>
      <c r="S109" s="137">
        <v>7.9</v>
      </c>
      <c r="T109" s="137">
        <v>348</v>
      </c>
      <c r="U109" s="152"/>
    </row>
    <row r="110" spans="1:21" ht="16">
      <c r="A110" s="2" t="s">
        <v>474</v>
      </c>
      <c r="B110" s="137">
        <v>22107215</v>
      </c>
      <c r="C110" s="161" t="s">
        <v>1300</v>
      </c>
      <c r="D110" s="159">
        <v>45188</v>
      </c>
      <c r="E110" s="159">
        <v>45173</v>
      </c>
      <c r="F110" s="159">
        <v>45196</v>
      </c>
      <c r="G110" s="159">
        <v>45175</v>
      </c>
      <c r="H110" s="137">
        <v>16.899999999999999</v>
      </c>
      <c r="I110" s="23">
        <v>45170</v>
      </c>
      <c r="J110" s="137">
        <v>67.599999999999994</v>
      </c>
      <c r="K110" s="137">
        <v>21.5</v>
      </c>
      <c r="L110" s="137">
        <v>2411</v>
      </c>
      <c r="M110" s="137">
        <v>738</v>
      </c>
      <c r="N110" s="137">
        <v>31.4</v>
      </c>
      <c r="O110" s="137">
        <v>1165</v>
      </c>
      <c r="P110" s="137">
        <v>29.9</v>
      </c>
      <c r="Q110" s="137">
        <v>1107</v>
      </c>
      <c r="R110" s="137">
        <v>1.1000000000000001</v>
      </c>
      <c r="S110" s="137">
        <v>2.2000000000000002</v>
      </c>
      <c r="T110" s="137">
        <v>314</v>
      </c>
      <c r="U110" s="152"/>
    </row>
    <row r="111" spans="1:21" ht="16">
      <c r="A111" s="2" t="s">
        <v>478</v>
      </c>
      <c r="B111" s="137">
        <v>22106269</v>
      </c>
      <c r="C111" s="161" t="s">
        <v>1301</v>
      </c>
      <c r="D111" s="137"/>
      <c r="E111" s="137"/>
      <c r="F111" s="137"/>
      <c r="G111" s="137"/>
      <c r="H111" s="137"/>
      <c r="I111" s="2"/>
      <c r="J111" s="137"/>
      <c r="K111" s="137"/>
      <c r="L111" s="137"/>
      <c r="M111" s="137"/>
      <c r="N111" s="137"/>
      <c r="O111" s="137"/>
      <c r="P111" s="137"/>
      <c r="Q111" s="137"/>
      <c r="R111" s="137"/>
      <c r="S111" s="137"/>
      <c r="T111" s="137"/>
      <c r="U111" s="152"/>
    </row>
    <row r="112" spans="1:21" ht="16">
      <c r="A112" s="2" t="s">
        <v>2655</v>
      </c>
      <c r="B112" s="137">
        <v>21928733</v>
      </c>
      <c r="C112" s="161" t="s">
        <v>2715</v>
      </c>
      <c r="D112" s="159">
        <v>44523</v>
      </c>
      <c r="E112" s="159">
        <v>44495</v>
      </c>
      <c r="F112" s="137"/>
      <c r="G112" s="159">
        <v>44496</v>
      </c>
      <c r="H112" s="137">
        <v>192</v>
      </c>
      <c r="I112" s="23">
        <v>44491</v>
      </c>
      <c r="J112" s="160">
        <v>73.900000000000006</v>
      </c>
      <c r="K112" s="137">
        <v>16.2</v>
      </c>
      <c r="L112" s="137">
        <v>3120</v>
      </c>
      <c r="M112" s="137">
        <v>686</v>
      </c>
      <c r="N112" s="137">
        <v>40.9</v>
      </c>
      <c r="O112" s="137">
        <v>1728</v>
      </c>
      <c r="P112" s="137">
        <v>25.1</v>
      </c>
      <c r="Q112" s="137">
        <v>1062</v>
      </c>
      <c r="R112" s="137">
        <v>1.6</v>
      </c>
      <c r="S112" s="137">
        <v>7.8</v>
      </c>
      <c r="T112" s="137">
        <v>329</v>
      </c>
      <c r="U112" s="152"/>
    </row>
    <row r="113" spans="1:21" ht="16">
      <c r="A113" s="2" t="s">
        <v>486</v>
      </c>
      <c r="B113" s="137">
        <v>22104710</v>
      </c>
      <c r="C113" s="161" t="s">
        <v>1308</v>
      </c>
      <c r="D113" s="159"/>
      <c r="E113" s="137"/>
      <c r="F113" s="137"/>
      <c r="G113" s="137"/>
      <c r="H113" s="137"/>
      <c r="I113" s="30"/>
      <c r="J113" s="137"/>
      <c r="K113" s="137"/>
      <c r="L113" s="137"/>
      <c r="M113" s="137"/>
      <c r="N113" s="137"/>
      <c r="O113" s="137"/>
      <c r="P113" s="137"/>
      <c r="Q113" s="137"/>
      <c r="R113" s="137"/>
      <c r="S113" s="137"/>
      <c r="T113" s="137"/>
      <c r="U113" s="152"/>
    </row>
    <row r="114" spans="1:21" ht="16">
      <c r="A114" s="2" t="s">
        <v>490</v>
      </c>
      <c r="B114" s="137">
        <v>22105636</v>
      </c>
      <c r="C114" s="161" t="s">
        <v>1309</v>
      </c>
      <c r="D114" s="159"/>
      <c r="E114" s="137"/>
      <c r="F114" s="137"/>
      <c r="G114" s="137"/>
      <c r="H114" s="137"/>
      <c r="I114" s="23"/>
      <c r="J114" s="137"/>
      <c r="K114" s="137"/>
      <c r="L114" s="137"/>
      <c r="M114" s="137"/>
      <c r="N114" s="137"/>
      <c r="O114" s="137"/>
      <c r="P114" s="137"/>
      <c r="Q114" s="137"/>
      <c r="R114" s="137"/>
      <c r="S114" s="137"/>
      <c r="T114" s="137"/>
      <c r="U114" s="152"/>
    </row>
    <row r="115" spans="1:21" ht="16">
      <c r="A115" s="2" t="s">
        <v>494</v>
      </c>
      <c r="B115" s="137">
        <v>22104579</v>
      </c>
      <c r="C115" s="161" t="s">
        <v>1310</v>
      </c>
      <c r="D115" s="159">
        <v>44889</v>
      </c>
      <c r="E115" s="159">
        <v>44876</v>
      </c>
      <c r="F115" s="159">
        <v>44890</v>
      </c>
      <c r="G115" s="159">
        <v>44879</v>
      </c>
      <c r="H115" s="137">
        <v>73.2</v>
      </c>
      <c r="I115" s="30">
        <v>44873</v>
      </c>
      <c r="J115" s="137">
        <v>71.099999999999994</v>
      </c>
      <c r="K115" s="137">
        <v>22.4</v>
      </c>
      <c r="L115" s="137">
        <v>2322</v>
      </c>
      <c r="M115" s="137">
        <v>741</v>
      </c>
      <c r="N115" s="137">
        <v>46.1</v>
      </c>
      <c r="O115" s="137">
        <v>1488</v>
      </c>
      <c r="P115" s="137">
        <v>19</v>
      </c>
      <c r="Q115" s="137">
        <v>613</v>
      </c>
      <c r="R115" s="137">
        <v>2.4</v>
      </c>
      <c r="S115" s="137">
        <v>4.5999999999999996</v>
      </c>
      <c r="T115" s="137">
        <v>152</v>
      </c>
      <c r="U115" s="152"/>
    </row>
    <row r="116" spans="1:21" ht="16">
      <c r="A116" s="2" t="s">
        <v>499</v>
      </c>
      <c r="B116" s="137">
        <v>22108091</v>
      </c>
      <c r="C116" s="161" t="s">
        <v>1311</v>
      </c>
      <c r="D116" s="159">
        <v>45217</v>
      </c>
      <c r="E116" s="159">
        <v>45211</v>
      </c>
      <c r="F116" s="159">
        <v>45252</v>
      </c>
      <c r="G116" s="159">
        <v>45215</v>
      </c>
      <c r="H116" s="137">
        <v>19.2</v>
      </c>
      <c r="I116" s="23">
        <v>45210</v>
      </c>
      <c r="J116" s="137">
        <v>67.2</v>
      </c>
      <c r="K116" s="137">
        <v>25.9</v>
      </c>
      <c r="L116" s="137">
        <v>4189</v>
      </c>
      <c r="M116" s="137">
        <v>1569</v>
      </c>
      <c r="N116" s="137">
        <v>40.700000000000003</v>
      </c>
      <c r="O116" s="137">
        <v>2605</v>
      </c>
      <c r="P116" s="137">
        <v>21.1</v>
      </c>
      <c r="Q116" s="137">
        <v>1354</v>
      </c>
      <c r="R116" s="137">
        <v>1.9</v>
      </c>
      <c r="S116" s="137">
        <v>5.6</v>
      </c>
      <c r="T116" s="137">
        <v>339</v>
      </c>
      <c r="U116" s="152"/>
    </row>
    <row r="117" spans="1:21" ht="16">
      <c r="A117" s="2" t="s">
        <v>503</v>
      </c>
      <c r="B117" s="137">
        <v>22108353</v>
      </c>
      <c r="C117" s="161" t="s">
        <v>1313</v>
      </c>
      <c r="D117" s="137"/>
      <c r="E117" s="137"/>
      <c r="F117" s="137"/>
      <c r="G117" s="137"/>
      <c r="H117" s="137"/>
      <c r="I117" s="2"/>
      <c r="J117" s="137"/>
      <c r="K117" s="137"/>
      <c r="L117" s="137"/>
      <c r="M117" s="137"/>
      <c r="N117" s="137"/>
      <c r="O117" s="137"/>
      <c r="P117" s="137"/>
      <c r="Q117" s="137"/>
      <c r="R117" s="137"/>
      <c r="S117" s="137"/>
      <c r="T117" s="137"/>
      <c r="U117" s="152"/>
    </row>
    <row r="118" spans="1:21" ht="16">
      <c r="A118" s="2" t="s">
        <v>2656</v>
      </c>
      <c r="B118" s="137">
        <v>22102665</v>
      </c>
      <c r="C118" s="161" t="s">
        <v>2716</v>
      </c>
      <c r="D118" s="159">
        <v>44690</v>
      </c>
      <c r="E118" s="159">
        <v>44680</v>
      </c>
      <c r="F118" s="159">
        <v>44684</v>
      </c>
      <c r="G118" s="159">
        <v>44684</v>
      </c>
      <c r="H118" s="137">
        <v>7.44</v>
      </c>
      <c r="I118" s="23">
        <v>44678</v>
      </c>
      <c r="J118" s="160">
        <v>64.2</v>
      </c>
      <c r="K118" s="137">
        <v>26.5</v>
      </c>
      <c r="L118" s="137">
        <v>2415</v>
      </c>
      <c r="M118" s="137">
        <v>1025</v>
      </c>
      <c r="N118" s="137">
        <v>36.200000000000003</v>
      </c>
      <c r="O118" s="137">
        <v>1324</v>
      </c>
      <c r="P118" s="137">
        <v>23.9</v>
      </c>
      <c r="Q118" s="137">
        <v>875</v>
      </c>
      <c r="R118" s="137">
        <v>1.5</v>
      </c>
      <c r="S118" s="137">
        <v>7.9</v>
      </c>
      <c r="T118" s="137">
        <v>304</v>
      </c>
      <c r="U118" s="152"/>
    </row>
    <row r="119" spans="1:21" ht="16">
      <c r="A119" s="2" t="s">
        <v>510</v>
      </c>
      <c r="B119" s="137">
        <v>22108869</v>
      </c>
      <c r="C119" s="161" t="s">
        <v>1319</v>
      </c>
      <c r="D119" s="159">
        <v>45301</v>
      </c>
      <c r="E119" s="159">
        <v>45293</v>
      </c>
      <c r="F119" s="159">
        <v>45322</v>
      </c>
      <c r="G119" s="159">
        <v>45295</v>
      </c>
      <c r="H119" s="137">
        <v>11.3</v>
      </c>
      <c r="I119" s="55">
        <v>45289</v>
      </c>
      <c r="J119" s="137">
        <v>69</v>
      </c>
      <c r="K119" s="137">
        <v>23.5</v>
      </c>
      <c r="L119" s="137">
        <v>2751</v>
      </c>
      <c r="M119" s="137">
        <v>930</v>
      </c>
      <c r="N119" s="137">
        <v>36.700000000000003</v>
      </c>
      <c r="O119" s="137">
        <v>1477</v>
      </c>
      <c r="P119" s="137">
        <v>28.2</v>
      </c>
      <c r="Q119" s="137">
        <v>1135</v>
      </c>
      <c r="R119" s="137">
        <v>1.3</v>
      </c>
      <c r="S119" s="137">
        <v>5.4</v>
      </c>
      <c r="T119" s="137">
        <v>213</v>
      </c>
      <c r="U119" s="152"/>
    </row>
    <row r="120" spans="1:21" ht="16">
      <c r="A120" s="2" t="s">
        <v>514</v>
      </c>
      <c r="B120" s="137">
        <v>22107197</v>
      </c>
      <c r="C120" s="161" t="s">
        <v>1320</v>
      </c>
      <c r="D120" s="159"/>
      <c r="E120" s="137"/>
      <c r="F120" s="137"/>
      <c r="G120" s="137"/>
      <c r="H120" s="137"/>
      <c r="I120" s="23"/>
      <c r="J120" s="137"/>
      <c r="K120" s="137"/>
      <c r="L120" s="137"/>
      <c r="M120" s="137"/>
      <c r="N120" s="137"/>
      <c r="O120" s="137"/>
      <c r="P120" s="137"/>
      <c r="Q120" s="137"/>
      <c r="R120" s="137"/>
      <c r="S120" s="137"/>
      <c r="T120" s="137"/>
      <c r="U120" s="152"/>
    </row>
    <row r="121" spans="1:21" ht="16">
      <c r="A121" s="2" t="s">
        <v>517</v>
      </c>
      <c r="B121" s="137">
        <v>5085978</v>
      </c>
      <c r="C121" s="161" t="s">
        <v>1321</v>
      </c>
      <c r="D121" s="159">
        <v>45131</v>
      </c>
      <c r="E121" s="159">
        <v>45121</v>
      </c>
      <c r="F121" s="159">
        <v>45145</v>
      </c>
      <c r="G121" s="159">
        <v>45124</v>
      </c>
      <c r="H121" s="137">
        <v>117</v>
      </c>
      <c r="I121" s="23">
        <v>45118</v>
      </c>
      <c r="J121" s="137">
        <v>65.099999999999994</v>
      </c>
      <c r="K121" s="137">
        <v>28</v>
      </c>
      <c r="L121" s="137">
        <v>7356</v>
      </c>
      <c r="M121" s="137">
        <v>3170</v>
      </c>
      <c r="N121" s="137">
        <v>46.4</v>
      </c>
      <c r="O121" s="137">
        <v>5234</v>
      </c>
      <c r="P121" s="137">
        <v>15.6</v>
      </c>
      <c r="Q121" s="137">
        <v>1755</v>
      </c>
      <c r="R121" s="137">
        <v>3</v>
      </c>
      <c r="S121" s="137">
        <v>4.7</v>
      </c>
      <c r="T121" s="137">
        <v>524</v>
      </c>
      <c r="U121" s="152"/>
    </row>
    <row r="122" spans="1:21" ht="16">
      <c r="A122" s="2" t="s">
        <v>522</v>
      </c>
      <c r="B122" s="137">
        <v>22107708</v>
      </c>
      <c r="C122" s="161" t="s">
        <v>1323</v>
      </c>
      <c r="D122" s="137"/>
      <c r="E122" s="137"/>
      <c r="F122" s="137"/>
      <c r="G122" s="137"/>
      <c r="H122" s="137"/>
      <c r="I122" s="23"/>
      <c r="J122" s="137"/>
      <c r="K122" s="137"/>
      <c r="L122" s="137"/>
      <c r="M122" s="137"/>
      <c r="N122" s="137"/>
      <c r="O122" s="137"/>
      <c r="P122" s="137"/>
      <c r="Q122" s="137"/>
      <c r="R122" s="137"/>
      <c r="S122" s="137"/>
      <c r="T122" s="137"/>
      <c r="U122" s="152"/>
    </row>
    <row r="123" spans="1:21" ht="16">
      <c r="A123" s="2" t="s">
        <v>527</v>
      </c>
      <c r="B123" s="137">
        <v>22107105</v>
      </c>
      <c r="C123" s="161" t="s">
        <v>1325</v>
      </c>
      <c r="D123" s="159">
        <v>45119</v>
      </c>
      <c r="E123" s="159">
        <v>45107</v>
      </c>
      <c r="F123" s="159">
        <v>45145</v>
      </c>
      <c r="G123" s="159">
        <v>45111</v>
      </c>
      <c r="H123" s="137">
        <v>14.6</v>
      </c>
      <c r="I123" s="23">
        <v>45106</v>
      </c>
      <c r="J123" s="137">
        <v>46.8</v>
      </c>
      <c r="K123" s="137">
        <v>42</v>
      </c>
      <c r="L123" s="137">
        <v>1733</v>
      </c>
      <c r="M123" s="137">
        <v>1575</v>
      </c>
      <c r="N123" s="137">
        <v>24.7</v>
      </c>
      <c r="O123" s="137">
        <v>902</v>
      </c>
      <c r="P123" s="137">
        <v>16.600000000000001</v>
      </c>
      <c r="Q123" s="137">
        <v>608</v>
      </c>
      <c r="R123" s="137">
        <v>1.5</v>
      </c>
      <c r="S123" s="137">
        <v>8.5</v>
      </c>
      <c r="T123" s="137">
        <v>319</v>
      </c>
      <c r="U123" s="152"/>
    </row>
    <row r="124" spans="1:21" ht="16">
      <c r="A124" s="2" t="s">
        <v>531</v>
      </c>
      <c r="B124" s="137">
        <v>22107106</v>
      </c>
      <c r="C124" s="161" t="s">
        <v>1327</v>
      </c>
      <c r="D124" s="159">
        <v>45119</v>
      </c>
      <c r="E124" s="159">
        <v>45107</v>
      </c>
      <c r="F124" s="159">
        <v>45145</v>
      </c>
      <c r="G124" s="159">
        <v>45111</v>
      </c>
      <c r="H124" s="137">
        <v>9.51</v>
      </c>
      <c r="I124" s="23">
        <v>45106</v>
      </c>
      <c r="J124" s="137">
        <v>45.7</v>
      </c>
      <c r="K124" s="137">
        <v>35.1</v>
      </c>
      <c r="L124" s="137">
        <v>2959</v>
      </c>
      <c r="M124" s="137">
        <v>2266</v>
      </c>
      <c r="N124" s="137">
        <v>26.1</v>
      </c>
      <c r="O124" s="137">
        <v>1690</v>
      </c>
      <c r="P124" s="137">
        <v>15.9</v>
      </c>
      <c r="Q124" s="137">
        <v>1030</v>
      </c>
      <c r="R124" s="137">
        <v>1.6</v>
      </c>
      <c r="S124" s="137">
        <v>16.8</v>
      </c>
      <c r="T124" s="137">
        <v>1084</v>
      </c>
      <c r="U124" s="152"/>
    </row>
    <row r="125" spans="1:21" ht="16">
      <c r="A125" s="2" t="s">
        <v>2657</v>
      </c>
      <c r="B125" s="137">
        <v>22100078</v>
      </c>
      <c r="C125" s="161" t="s">
        <v>2717</v>
      </c>
      <c r="D125" s="159">
        <v>44531</v>
      </c>
      <c r="E125" s="159">
        <v>44505</v>
      </c>
      <c r="F125" s="137"/>
      <c r="G125" s="159">
        <v>44508</v>
      </c>
      <c r="H125" s="137">
        <v>16.899999999999999</v>
      </c>
      <c r="I125" s="23">
        <v>44502</v>
      </c>
      <c r="J125" s="160">
        <v>73.099999999999994</v>
      </c>
      <c r="K125" s="137">
        <v>20.2</v>
      </c>
      <c r="L125" s="137">
        <v>4398</v>
      </c>
      <c r="M125" s="137">
        <v>1148</v>
      </c>
      <c r="N125" s="137">
        <v>36.700000000000003</v>
      </c>
      <c r="O125" s="137">
        <v>2327</v>
      </c>
      <c r="P125" s="137">
        <v>28.5</v>
      </c>
      <c r="Q125" s="137">
        <v>1805</v>
      </c>
      <c r="R125" s="137">
        <v>1.3</v>
      </c>
      <c r="S125" s="137">
        <v>4.0999999999999996</v>
      </c>
      <c r="T125" s="137">
        <v>235</v>
      </c>
      <c r="U125" s="137"/>
    </row>
    <row r="126" spans="1:21" ht="16">
      <c r="A126" s="2" t="s">
        <v>537</v>
      </c>
      <c r="B126" s="137">
        <v>22108137</v>
      </c>
      <c r="C126" s="161" t="s">
        <v>2718</v>
      </c>
      <c r="D126" s="159"/>
      <c r="E126" s="137"/>
      <c r="F126" s="137"/>
      <c r="G126" s="137"/>
      <c r="H126" s="137"/>
      <c r="I126" s="23"/>
      <c r="J126" s="137"/>
      <c r="K126" s="137"/>
      <c r="L126" s="137"/>
      <c r="M126" s="137"/>
      <c r="N126" s="137"/>
      <c r="O126" s="137"/>
      <c r="P126" s="137"/>
      <c r="Q126" s="137"/>
      <c r="R126" s="137"/>
      <c r="S126" s="137"/>
      <c r="T126" s="137"/>
      <c r="U126" s="152"/>
    </row>
    <row r="127" spans="1:21" ht="16">
      <c r="A127" s="2" t="s">
        <v>541</v>
      </c>
      <c r="B127" s="137">
        <v>22108221</v>
      </c>
      <c r="C127" s="161" t="s">
        <v>2528</v>
      </c>
      <c r="D127" s="159"/>
      <c r="E127" s="137"/>
      <c r="F127" s="137"/>
      <c r="G127" s="137"/>
      <c r="H127" s="137"/>
      <c r="I127" s="23"/>
      <c r="J127" s="137"/>
      <c r="K127" s="137"/>
      <c r="L127" s="137"/>
      <c r="M127" s="137"/>
      <c r="N127" s="137"/>
      <c r="O127" s="137"/>
      <c r="P127" s="137"/>
      <c r="Q127" s="137"/>
      <c r="R127" s="137"/>
      <c r="S127" s="137"/>
      <c r="T127" s="137"/>
      <c r="U127" s="152"/>
    </row>
    <row r="128" spans="1:21" ht="16">
      <c r="A128" s="2" t="s">
        <v>544</v>
      </c>
      <c r="B128" s="137">
        <v>22100560</v>
      </c>
      <c r="C128" s="161" t="s">
        <v>1331</v>
      </c>
      <c r="D128" s="159">
        <v>44523</v>
      </c>
      <c r="E128" s="159">
        <v>44509</v>
      </c>
      <c r="F128" s="137"/>
      <c r="G128" s="159">
        <v>44510</v>
      </c>
      <c r="H128" s="137">
        <v>8.7100000000000009</v>
      </c>
      <c r="I128" s="23">
        <v>44505</v>
      </c>
      <c r="J128" s="160">
        <v>70.5</v>
      </c>
      <c r="K128" s="137">
        <v>23.9</v>
      </c>
      <c r="L128" s="137">
        <v>5781</v>
      </c>
      <c r="M128" s="137">
        <v>1954</v>
      </c>
      <c r="N128" s="137">
        <v>30.1</v>
      </c>
      <c r="O128" s="137">
        <v>2478</v>
      </c>
      <c r="P128" s="137">
        <v>21.6</v>
      </c>
      <c r="Q128" s="137">
        <v>1771</v>
      </c>
      <c r="R128" s="137">
        <v>1.4</v>
      </c>
      <c r="S128" s="137">
        <v>4.0999999999999996</v>
      </c>
      <c r="T128" s="137">
        <v>334</v>
      </c>
      <c r="U128" s="152"/>
    </row>
    <row r="129" spans="1:21" ht="16">
      <c r="A129" s="2" t="s">
        <v>548</v>
      </c>
      <c r="B129" s="137">
        <v>22108557</v>
      </c>
      <c r="C129" s="161" t="s">
        <v>1341</v>
      </c>
      <c r="D129" s="159">
        <v>45217</v>
      </c>
      <c r="E129" s="159">
        <v>45212</v>
      </c>
      <c r="F129" s="159">
        <v>45252</v>
      </c>
      <c r="G129" s="137" t="s">
        <v>2562</v>
      </c>
      <c r="H129" s="137">
        <v>35.299999999999997</v>
      </c>
      <c r="I129" s="23">
        <v>45211</v>
      </c>
      <c r="J129" s="137">
        <v>59.2</v>
      </c>
      <c r="K129" s="137">
        <v>19.899999999999999</v>
      </c>
      <c r="L129" s="137">
        <v>2482</v>
      </c>
      <c r="M129" s="137">
        <v>859</v>
      </c>
      <c r="N129" s="137">
        <v>38.299999999999997</v>
      </c>
      <c r="O129" s="137">
        <v>1560</v>
      </c>
      <c r="P129" s="137">
        <v>14.5</v>
      </c>
      <c r="Q129" s="137">
        <v>592</v>
      </c>
      <c r="R129" s="137">
        <v>2.6</v>
      </c>
      <c r="S129" s="137">
        <v>17.100000000000001</v>
      </c>
      <c r="T129" s="137">
        <v>737</v>
      </c>
      <c r="U129" s="152"/>
    </row>
    <row r="130" spans="1:21" ht="16">
      <c r="A130" s="2" t="s">
        <v>551</v>
      </c>
      <c r="B130" s="137">
        <v>22103485</v>
      </c>
      <c r="C130" s="161" t="s">
        <v>1342</v>
      </c>
      <c r="D130" s="159"/>
      <c r="E130" s="137"/>
      <c r="F130" s="137"/>
      <c r="G130" s="137"/>
      <c r="H130" s="137"/>
      <c r="I130" s="30"/>
      <c r="J130" s="137"/>
      <c r="K130" s="137"/>
      <c r="L130" s="137"/>
      <c r="M130" s="137"/>
      <c r="N130" s="137"/>
      <c r="O130" s="137"/>
      <c r="P130" s="137"/>
      <c r="Q130" s="137"/>
      <c r="R130" s="137"/>
      <c r="S130" s="137"/>
      <c r="T130" s="137"/>
      <c r="U130" s="152"/>
    </row>
    <row r="131" spans="1:21" ht="16">
      <c r="A131" s="2" t="s">
        <v>555</v>
      </c>
      <c r="B131" s="137">
        <v>22282241</v>
      </c>
      <c r="C131" s="161" t="s">
        <v>2719</v>
      </c>
      <c r="D131" s="159"/>
      <c r="E131" s="137"/>
      <c r="F131" s="137"/>
      <c r="G131" s="137"/>
      <c r="H131" s="137"/>
      <c r="I131" s="23"/>
      <c r="J131" s="137"/>
      <c r="K131" s="137"/>
      <c r="L131" s="137"/>
      <c r="M131" s="137"/>
      <c r="N131" s="137"/>
      <c r="O131" s="137"/>
      <c r="P131" s="137"/>
      <c r="Q131" s="137"/>
      <c r="R131" s="137"/>
      <c r="S131" s="137"/>
      <c r="T131" s="137"/>
      <c r="U131" s="152"/>
    </row>
    <row r="132" spans="1:21" ht="16">
      <c r="A132" s="2" t="s">
        <v>558</v>
      </c>
      <c r="B132" s="137">
        <v>22108320</v>
      </c>
      <c r="C132" s="161" t="s">
        <v>2720</v>
      </c>
      <c r="D132" s="120"/>
      <c r="E132" s="137"/>
      <c r="F132" s="137"/>
      <c r="G132" s="137"/>
      <c r="H132" s="137"/>
      <c r="I132" s="23"/>
      <c r="J132" s="137"/>
      <c r="K132" s="137"/>
      <c r="L132" s="137"/>
      <c r="M132" s="137"/>
      <c r="N132" s="137"/>
      <c r="O132" s="137"/>
      <c r="P132" s="137"/>
      <c r="Q132" s="137"/>
      <c r="R132" s="137"/>
      <c r="S132" s="137"/>
      <c r="T132" s="137"/>
      <c r="U132" s="152"/>
    </row>
    <row r="133" spans="1:21" ht="16">
      <c r="A133" s="2" t="s">
        <v>562</v>
      </c>
      <c r="B133" s="137">
        <v>22108974</v>
      </c>
      <c r="C133" s="161" t="s">
        <v>1344</v>
      </c>
      <c r="D133" s="159">
        <v>45266</v>
      </c>
      <c r="E133" s="159">
        <v>45258</v>
      </c>
      <c r="F133" s="159">
        <v>45265</v>
      </c>
      <c r="G133" s="159">
        <v>45259</v>
      </c>
      <c r="H133" s="137">
        <v>6.9</v>
      </c>
      <c r="I133" s="23">
        <v>45257</v>
      </c>
      <c r="J133" s="137">
        <v>72.599999999999994</v>
      </c>
      <c r="K133" s="137">
        <v>19.3</v>
      </c>
      <c r="L133" s="137">
        <v>4165</v>
      </c>
      <c r="M133" s="137">
        <v>1096</v>
      </c>
      <c r="N133" s="137">
        <v>41.6</v>
      </c>
      <c r="O133" s="137">
        <v>2411</v>
      </c>
      <c r="P133" s="137">
        <v>25.5</v>
      </c>
      <c r="Q133" s="137">
        <v>1479</v>
      </c>
      <c r="R133" s="137">
        <v>1.6</v>
      </c>
      <c r="S133" s="137">
        <v>6.6</v>
      </c>
      <c r="T133" s="137">
        <v>374</v>
      </c>
      <c r="U133" s="152"/>
    </row>
    <row r="134" spans="1:21" ht="16">
      <c r="A134" s="2" t="s">
        <v>566</v>
      </c>
      <c r="B134" s="137">
        <v>22107651</v>
      </c>
      <c r="C134" s="161" t="s">
        <v>1353</v>
      </c>
      <c r="D134" s="159">
        <v>45188</v>
      </c>
      <c r="E134" s="159">
        <v>45175</v>
      </c>
      <c r="F134" s="159">
        <v>45196</v>
      </c>
      <c r="G134" s="159">
        <v>45175</v>
      </c>
      <c r="H134" s="137">
        <v>93.3</v>
      </c>
      <c r="I134" s="23">
        <v>45175</v>
      </c>
      <c r="J134" s="137">
        <v>64</v>
      </c>
      <c r="K134" s="137">
        <v>21.3</v>
      </c>
      <c r="L134" s="137">
        <v>2029</v>
      </c>
      <c r="M134" s="137">
        <v>663</v>
      </c>
      <c r="N134" s="137">
        <v>36.700000000000003</v>
      </c>
      <c r="O134" s="137">
        <v>1188</v>
      </c>
      <c r="P134" s="137">
        <v>18.399999999999999</v>
      </c>
      <c r="Q134" s="137">
        <v>596</v>
      </c>
      <c r="R134" s="137">
        <v>2</v>
      </c>
      <c r="S134" s="137">
        <v>13.1</v>
      </c>
      <c r="T134" s="137">
        <v>408</v>
      </c>
      <c r="U134" s="152"/>
    </row>
    <row r="135" spans="1:21" ht="16">
      <c r="A135" s="2" t="s">
        <v>570</v>
      </c>
      <c r="B135" s="137">
        <v>22108335</v>
      </c>
      <c r="C135" s="161" t="s">
        <v>1357</v>
      </c>
      <c r="D135" s="137"/>
      <c r="E135" s="137"/>
      <c r="F135" s="137"/>
      <c r="G135" s="137"/>
      <c r="H135" s="137"/>
      <c r="I135" s="23" t="s">
        <v>1955</v>
      </c>
      <c r="J135" s="137"/>
      <c r="K135" s="137"/>
      <c r="L135" s="137"/>
      <c r="M135" s="137"/>
      <c r="N135" s="137"/>
      <c r="O135" s="137"/>
      <c r="P135" s="137"/>
      <c r="Q135" s="137"/>
      <c r="R135" s="137"/>
      <c r="S135" s="137"/>
      <c r="T135" s="137"/>
      <c r="U135" s="152"/>
    </row>
    <row r="136" spans="1:21" ht="16">
      <c r="A136" s="2" t="s">
        <v>573</v>
      </c>
      <c r="B136" s="137">
        <v>22107996</v>
      </c>
      <c r="C136" s="161" t="s">
        <v>1358</v>
      </c>
      <c r="D136" s="137"/>
      <c r="E136" s="137"/>
      <c r="F136" s="137"/>
      <c r="G136" s="137"/>
      <c r="H136" s="137"/>
      <c r="I136" s="23"/>
      <c r="J136" s="137"/>
      <c r="K136" s="137"/>
      <c r="L136" s="137"/>
      <c r="M136" s="137"/>
      <c r="N136" s="137"/>
      <c r="O136" s="137"/>
      <c r="P136" s="137"/>
      <c r="Q136" s="137"/>
      <c r="R136" s="137"/>
      <c r="S136" s="137"/>
      <c r="T136" s="137"/>
      <c r="U136" s="152"/>
    </row>
    <row r="137" spans="1:21" ht="16">
      <c r="A137" s="2" t="s">
        <v>576</v>
      </c>
      <c r="B137" s="137">
        <v>22108333</v>
      </c>
      <c r="C137" s="161" t="s">
        <v>1360</v>
      </c>
      <c r="D137" s="159">
        <v>45274</v>
      </c>
      <c r="E137" s="159">
        <v>45266</v>
      </c>
      <c r="F137" s="159">
        <v>45286</v>
      </c>
      <c r="G137" s="159">
        <v>45271</v>
      </c>
      <c r="H137" s="137">
        <v>50.9</v>
      </c>
      <c r="I137" s="23">
        <v>45265</v>
      </c>
      <c r="J137" s="137">
        <v>66.099999999999994</v>
      </c>
      <c r="K137" s="137">
        <v>23.7</v>
      </c>
      <c r="L137" s="137">
        <v>2097</v>
      </c>
      <c r="M137" s="137">
        <v>747</v>
      </c>
      <c r="N137" s="137">
        <v>38.1</v>
      </c>
      <c r="O137" s="137">
        <v>1215</v>
      </c>
      <c r="P137" s="137">
        <v>20.399999999999999</v>
      </c>
      <c r="Q137" s="137">
        <v>649</v>
      </c>
      <c r="R137" s="137">
        <v>1.9</v>
      </c>
      <c r="S137" s="137">
        <v>8.1999999999999993</v>
      </c>
      <c r="T137" s="137">
        <v>257</v>
      </c>
      <c r="U137" s="152"/>
    </row>
    <row r="138" spans="1:21" ht="16">
      <c r="A138" s="2" t="s">
        <v>580</v>
      </c>
      <c r="B138" s="137">
        <v>22107506</v>
      </c>
      <c r="C138" s="161" t="s">
        <v>1367</v>
      </c>
      <c r="D138" s="159">
        <v>45232</v>
      </c>
      <c r="E138" s="159">
        <v>45223</v>
      </c>
      <c r="F138" s="159">
        <v>45252</v>
      </c>
      <c r="G138" s="159">
        <v>45230</v>
      </c>
      <c r="H138" s="137">
        <v>156</v>
      </c>
      <c r="I138" s="23">
        <v>45223</v>
      </c>
      <c r="J138" s="137">
        <v>67.8</v>
      </c>
      <c r="K138" s="137">
        <v>25.1</v>
      </c>
      <c r="L138" s="137">
        <v>3847</v>
      </c>
      <c r="M138" s="137">
        <v>1452</v>
      </c>
      <c r="N138" s="137">
        <v>27.5</v>
      </c>
      <c r="O138" s="137">
        <v>1533</v>
      </c>
      <c r="P138" s="137">
        <v>23.8</v>
      </c>
      <c r="Q138" s="137">
        <v>1328</v>
      </c>
      <c r="R138" s="137">
        <v>1.2</v>
      </c>
      <c r="S138" s="137">
        <v>6.2</v>
      </c>
      <c r="T138" s="137">
        <v>360</v>
      </c>
      <c r="U138" s="152"/>
    </row>
    <row r="139" spans="1:21" ht="16">
      <c r="A139" s="2" t="s">
        <v>584</v>
      </c>
      <c r="B139" s="137">
        <v>22106433</v>
      </c>
      <c r="C139" s="161" t="s">
        <v>1369</v>
      </c>
      <c r="D139" s="137"/>
      <c r="E139" s="137"/>
      <c r="F139" s="137"/>
      <c r="G139" s="137"/>
      <c r="H139" s="137"/>
      <c r="I139" s="2"/>
      <c r="J139" s="137"/>
      <c r="K139" s="137"/>
      <c r="L139" s="137"/>
      <c r="M139" s="137"/>
      <c r="N139" s="137"/>
      <c r="O139" s="137"/>
      <c r="P139" s="137"/>
      <c r="Q139" s="137"/>
      <c r="R139" s="137"/>
      <c r="S139" s="137"/>
      <c r="T139" s="137"/>
      <c r="U139" s="152"/>
    </row>
    <row r="140" spans="1:21" ht="16">
      <c r="A140" s="2" t="s">
        <v>589</v>
      </c>
      <c r="B140" s="137">
        <v>22108915</v>
      </c>
      <c r="C140" s="161" t="s">
        <v>1370</v>
      </c>
      <c r="D140" s="137"/>
      <c r="E140" s="137"/>
      <c r="F140" s="137"/>
      <c r="G140" s="137"/>
      <c r="H140" s="137"/>
      <c r="I140" s="2"/>
      <c r="J140" s="137"/>
      <c r="K140" s="137"/>
      <c r="L140" s="137"/>
      <c r="M140" s="137"/>
      <c r="N140" s="137"/>
      <c r="O140" s="137"/>
      <c r="P140" s="137"/>
      <c r="Q140" s="137"/>
      <c r="R140" s="137"/>
      <c r="S140" s="137"/>
      <c r="T140" s="137"/>
      <c r="U140" s="152"/>
    </row>
    <row r="141" spans="1:21" ht="16">
      <c r="A141" s="2" t="s">
        <v>593</v>
      </c>
      <c r="B141" s="137">
        <v>16902223</v>
      </c>
      <c r="C141" s="161" t="s">
        <v>1372</v>
      </c>
      <c r="D141" s="159">
        <v>45329</v>
      </c>
      <c r="E141" s="159">
        <v>45322</v>
      </c>
      <c r="F141" s="137"/>
      <c r="G141" s="159">
        <v>45327</v>
      </c>
      <c r="H141" s="137">
        <v>63.9</v>
      </c>
      <c r="I141" s="23">
        <v>45321</v>
      </c>
      <c r="J141" s="137">
        <v>63</v>
      </c>
      <c r="K141" s="137">
        <v>32</v>
      </c>
      <c r="L141" s="137">
        <v>1910</v>
      </c>
      <c r="M141" s="137">
        <v>996</v>
      </c>
      <c r="N141" s="137">
        <v>40</v>
      </c>
      <c r="O141" s="137">
        <v>1185</v>
      </c>
      <c r="P141" s="137">
        <v>19</v>
      </c>
      <c r="Q141" s="137">
        <v>563</v>
      </c>
      <c r="R141" s="137">
        <v>2.1</v>
      </c>
      <c r="S141" s="137">
        <v>3.4</v>
      </c>
      <c r="T141" s="137">
        <v>106</v>
      </c>
      <c r="U141" s="152"/>
    </row>
    <row r="142" spans="1:21" ht="16">
      <c r="A142" s="2" t="s">
        <v>597</v>
      </c>
      <c r="B142" s="137">
        <v>22108084</v>
      </c>
      <c r="C142" s="161" t="s">
        <v>1377</v>
      </c>
      <c r="D142" s="159">
        <v>45217</v>
      </c>
      <c r="E142" s="159">
        <v>45215</v>
      </c>
      <c r="F142" s="159">
        <v>45252</v>
      </c>
      <c r="G142" s="159">
        <v>45217</v>
      </c>
      <c r="H142" s="137">
        <v>72.7</v>
      </c>
      <c r="I142" s="23">
        <v>45212</v>
      </c>
      <c r="J142" s="137">
        <v>63.5</v>
      </c>
      <c r="K142" s="137">
        <v>26.2</v>
      </c>
      <c r="L142" s="137">
        <v>1302</v>
      </c>
      <c r="M142" s="137">
        <v>514</v>
      </c>
      <c r="N142" s="137">
        <v>44.8</v>
      </c>
      <c r="O142" s="137">
        <v>960</v>
      </c>
      <c r="P142" s="137">
        <v>14.1</v>
      </c>
      <c r="Q142" s="137">
        <v>302</v>
      </c>
      <c r="R142" s="137">
        <v>3.2</v>
      </c>
      <c r="S142" s="137">
        <v>7.8</v>
      </c>
      <c r="T142" s="137">
        <v>154</v>
      </c>
      <c r="U142" s="152"/>
    </row>
    <row r="143" spans="1:21" ht="16">
      <c r="A143" s="2" t="s">
        <v>601</v>
      </c>
      <c r="B143" s="137">
        <v>22107115</v>
      </c>
      <c r="C143" s="161" t="s">
        <v>1380</v>
      </c>
      <c r="D143" s="159">
        <v>45162</v>
      </c>
      <c r="E143" s="159">
        <v>45146</v>
      </c>
      <c r="F143" s="159">
        <v>45162</v>
      </c>
      <c r="G143" s="159">
        <v>45152</v>
      </c>
      <c r="H143" s="137">
        <v>126</v>
      </c>
      <c r="I143" s="23">
        <v>45146</v>
      </c>
      <c r="J143" s="137">
        <v>65</v>
      </c>
      <c r="K143" s="137">
        <v>22.1</v>
      </c>
      <c r="L143" s="137">
        <v>3043</v>
      </c>
      <c r="M143" s="137">
        <v>1020</v>
      </c>
      <c r="N143" s="137">
        <v>40.200000000000003</v>
      </c>
      <c r="O143" s="137">
        <v>1915</v>
      </c>
      <c r="P143" s="137">
        <v>19.8</v>
      </c>
      <c r="Q143" s="137">
        <v>942</v>
      </c>
      <c r="R143" s="137">
        <v>2</v>
      </c>
      <c r="S143" s="137">
        <v>11.8</v>
      </c>
      <c r="T143" s="137">
        <v>543</v>
      </c>
      <c r="U143" s="152"/>
    </row>
    <row r="144" spans="1:21" ht="16">
      <c r="A144" s="2" t="s">
        <v>604</v>
      </c>
      <c r="B144" s="137">
        <v>22106626</v>
      </c>
      <c r="C144" s="161" t="s">
        <v>1388</v>
      </c>
      <c r="D144" s="159">
        <v>45043</v>
      </c>
      <c r="E144" s="159">
        <v>45030</v>
      </c>
      <c r="F144" s="159">
        <v>45055</v>
      </c>
      <c r="G144" s="159">
        <v>45035</v>
      </c>
      <c r="H144" s="137">
        <v>108</v>
      </c>
      <c r="I144" s="23">
        <v>45030</v>
      </c>
      <c r="J144" s="137">
        <v>59.9</v>
      </c>
      <c r="K144" s="137">
        <v>28.3</v>
      </c>
      <c r="L144" s="137">
        <v>1867</v>
      </c>
      <c r="M144" s="137">
        <v>875</v>
      </c>
      <c r="N144" s="137">
        <v>18.7</v>
      </c>
      <c r="O144" s="137">
        <v>589</v>
      </c>
      <c r="P144" s="137">
        <v>38.1</v>
      </c>
      <c r="Q144" s="137">
        <v>1197</v>
      </c>
      <c r="R144" s="137">
        <v>0.5</v>
      </c>
      <c r="S144" s="137">
        <v>10.6</v>
      </c>
      <c r="T144" s="137">
        <v>329</v>
      </c>
      <c r="U144" s="152"/>
    </row>
    <row r="145" spans="1:21" ht="16">
      <c r="A145" s="2" t="s">
        <v>608</v>
      </c>
      <c r="B145" s="137">
        <v>22109189</v>
      </c>
      <c r="C145" s="161" t="s">
        <v>1395</v>
      </c>
      <c r="D145" s="159">
        <v>45274</v>
      </c>
      <c r="E145" s="159">
        <v>45266</v>
      </c>
      <c r="F145" s="159">
        <v>45286</v>
      </c>
      <c r="G145" s="159">
        <v>45271</v>
      </c>
      <c r="H145" s="137">
        <v>16.600000000000001</v>
      </c>
      <c r="I145" s="23">
        <v>45265</v>
      </c>
      <c r="J145" s="137">
        <v>53</v>
      </c>
      <c r="K145" s="137">
        <v>37.1</v>
      </c>
      <c r="L145" s="137">
        <v>1910</v>
      </c>
      <c r="M145" s="137">
        <v>1343</v>
      </c>
      <c r="N145" s="137">
        <v>22.7</v>
      </c>
      <c r="O145" s="137">
        <v>814</v>
      </c>
      <c r="P145" s="137">
        <v>24.9</v>
      </c>
      <c r="Q145" s="137">
        <v>896</v>
      </c>
      <c r="R145" s="137">
        <v>0.9</v>
      </c>
      <c r="S145" s="137">
        <v>7.9</v>
      </c>
      <c r="T145" s="137">
        <v>285</v>
      </c>
      <c r="U145" s="152"/>
    </row>
    <row r="146" spans="1:21" ht="16">
      <c r="A146" s="2" t="s">
        <v>611</v>
      </c>
      <c r="B146" s="137">
        <v>22109134</v>
      </c>
      <c r="C146" s="161" t="s">
        <v>1397</v>
      </c>
      <c r="D146" s="137"/>
      <c r="E146" s="137"/>
      <c r="F146" s="137"/>
      <c r="G146" s="137"/>
      <c r="H146" s="137"/>
      <c r="I146" s="2"/>
      <c r="J146" s="137"/>
      <c r="K146" s="137"/>
      <c r="L146" s="137"/>
      <c r="M146" s="137"/>
      <c r="N146" s="137"/>
      <c r="O146" s="137"/>
      <c r="P146" s="137"/>
      <c r="Q146" s="137"/>
      <c r="R146" s="137"/>
      <c r="S146" s="137"/>
      <c r="T146" s="137"/>
      <c r="U146" s="152"/>
    </row>
    <row r="147" spans="1:21" ht="16">
      <c r="A147" s="2" t="s">
        <v>615</v>
      </c>
      <c r="B147" s="137">
        <v>22101864</v>
      </c>
      <c r="C147" s="161" t="s">
        <v>1401</v>
      </c>
      <c r="D147" s="159">
        <v>44603</v>
      </c>
      <c r="E147" s="159">
        <v>44558</v>
      </c>
      <c r="F147" s="137"/>
      <c r="G147" s="159">
        <v>44559</v>
      </c>
      <c r="H147" s="137">
        <v>97.9</v>
      </c>
      <c r="I147" s="23">
        <v>44557</v>
      </c>
      <c r="J147" s="160">
        <v>64.3</v>
      </c>
      <c r="K147" s="137">
        <v>26.8</v>
      </c>
      <c r="L147" s="137">
        <v>2470</v>
      </c>
      <c r="M147" s="137">
        <v>1028</v>
      </c>
      <c r="N147" s="137">
        <v>28.2</v>
      </c>
      <c r="O147" s="137">
        <v>1084</v>
      </c>
      <c r="P147" s="137">
        <v>24.7</v>
      </c>
      <c r="Q147" s="137">
        <v>949</v>
      </c>
      <c r="R147" s="137">
        <v>1.1000000000000001</v>
      </c>
      <c r="S147" s="137">
        <v>8.8000000000000007</v>
      </c>
      <c r="T147" s="137">
        <v>337</v>
      </c>
      <c r="U147" s="152"/>
    </row>
    <row r="148" spans="1:21" ht="16">
      <c r="A148" s="2" t="s">
        <v>619</v>
      </c>
      <c r="B148" s="137">
        <v>22101865</v>
      </c>
      <c r="C148" s="161" t="s">
        <v>1404</v>
      </c>
      <c r="D148" s="159">
        <v>44603</v>
      </c>
      <c r="E148" s="159">
        <v>44558</v>
      </c>
      <c r="F148" s="137"/>
      <c r="G148" s="159">
        <v>44559</v>
      </c>
      <c r="H148" s="137">
        <v>16.7</v>
      </c>
      <c r="I148" s="23">
        <v>44557</v>
      </c>
      <c r="J148" s="160">
        <v>55.7</v>
      </c>
      <c r="K148" s="137">
        <v>30</v>
      </c>
      <c r="L148" s="137">
        <v>2040</v>
      </c>
      <c r="M148" s="137">
        <v>1096</v>
      </c>
      <c r="N148" s="137">
        <v>35.1</v>
      </c>
      <c r="O148" s="137">
        <v>1287</v>
      </c>
      <c r="P148" s="137">
        <v>14.5</v>
      </c>
      <c r="Q148" s="137">
        <v>532</v>
      </c>
      <c r="R148" s="137">
        <v>2.4</v>
      </c>
      <c r="S148" s="137">
        <v>11.8</v>
      </c>
      <c r="T148" s="137">
        <v>433</v>
      </c>
      <c r="U148" s="152"/>
    </row>
    <row r="149" spans="1:21" ht="16">
      <c r="A149" s="2" t="s">
        <v>622</v>
      </c>
      <c r="B149" s="137">
        <v>22107821</v>
      </c>
      <c r="C149" s="161" t="s">
        <v>1406</v>
      </c>
      <c r="D149" s="137"/>
      <c r="E149" s="137"/>
      <c r="F149" s="137"/>
      <c r="G149" s="137"/>
      <c r="H149" s="137"/>
      <c r="I149" s="2"/>
      <c r="J149" s="137"/>
      <c r="K149" s="137"/>
      <c r="L149" s="137"/>
      <c r="M149" s="137"/>
      <c r="N149" s="137"/>
      <c r="O149" s="137"/>
      <c r="P149" s="137"/>
      <c r="Q149" s="137"/>
      <c r="R149" s="137"/>
      <c r="S149" s="137"/>
      <c r="T149" s="137"/>
      <c r="U149" s="152"/>
    </row>
    <row r="150" spans="1:21" ht="16">
      <c r="A150" s="2" t="s">
        <v>626</v>
      </c>
      <c r="B150" s="137">
        <v>22109239</v>
      </c>
      <c r="C150" s="161" t="s">
        <v>1408</v>
      </c>
      <c r="D150" s="159">
        <v>45262</v>
      </c>
      <c r="E150" s="159">
        <v>45252</v>
      </c>
      <c r="F150" s="159">
        <v>45265</v>
      </c>
      <c r="G150" s="159">
        <v>45258</v>
      </c>
      <c r="H150" s="137">
        <v>36.1</v>
      </c>
      <c r="I150" s="23">
        <v>45251</v>
      </c>
      <c r="J150" s="137">
        <v>65.5</v>
      </c>
      <c r="K150" s="137">
        <v>29</v>
      </c>
      <c r="L150" s="137">
        <v>4722</v>
      </c>
      <c r="M150" s="137">
        <v>2096</v>
      </c>
      <c r="N150" s="137">
        <v>37.4</v>
      </c>
      <c r="O150" s="137">
        <v>2680</v>
      </c>
      <c r="P150" s="137">
        <v>19.7</v>
      </c>
      <c r="Q150" s="137">
        <v>1412</v>
      </c>
      <c r="R150" s="137">
        <v>1.9</v>
      </c>
      <c r="S150" s="137">
        <v>3.4</v>
      </c>
      <c r="T150" s="137">
        <v>243</v>
      </c>
      <c r="U150" s="152"/>
    </row>
    <row r="151" spans="1:21" ht="16">
      <c r="A151" s="2" t="s">
        <v>630</v>
      </c>
      <c r="B151" s="137">
        <v>22107774</v>
      </c>
      <c r="C151" s="161" t="s">
        <v>1411</v>
      </c>
      <c r="D151" s="137"/>
      <c r="E151" s="137"/>
      <c r="F151" s="137"/>
      <c r="G151" s="137"/>
      <c r="H151" s="137"/>
      <c r="I151" s="23"/>
      <c r="J151" s="137"/>
      <c r="K151" s="137"/>
      <c r="L151" s="137"/>
      <c r="M151" s="137"/>
      <c r="N151" s="137"/>
      <c r="O151" s="137"/>
      <c r="P151" s="137"/>
      <c r="Q151" s="137"/>
      <c r="R151" s="137"/>
      <c r="S151" s="137"/>
      <c r="T151" s="137"/>
      <c r="U151" s="152"/>
    </row>
    <row r="152" spans="1:21" ht="16">
      <c r="A152" s="2" t="s">
        <v>633</v>
      </c>
      <c r="B152" s="137">
        <v>22109051</v>
      </c>
      <c r="C152" s="161" t="s">
        <v>1414</v>
      </c>
      <c r="D152" s="159">
        <v>45271</v>
      </c>
      <c r="E152" s="159">
        <v>45265</v>
      </c>
      <c r="F152" s="159">
        <v>45286</v>
      </c>
      <c r="G152" s="159">
        <v>45266</v>
      </c>
      <c r="H152" s="137">
        <v>329</v>
      </c>
      <c r="I152" s="23">
        <v>45260</v>
      </c>
      <c r="J152" s="137">
        <v>59.5</v>
      </c>
      <c r="K152" s="137">
        <v>36.4</v>
      </c>
      <c r="L152" s="137">
        <v>4200</v>
      </c>
      <c r="M152" s="137">
        <v>2541</v>
      </c>
      <c r="N152" s="137">
        <v>38</v>
      </c>
      <c r="O152" s="137">
        <v>2714</v>
      </c>
      <c r="P152" s="137">
        <v>17.399999999999999</v>
      </c>
      <c r="Q152" s="137">
        <v>1243</v>
      </c>
      <c r="R152" s="137">
        <v>2.2000000000000002</v>
      </c>
      <c r="S152" s="137">
        <v>2.5</v>
      </c>
      <c r="T152" s="137">
        <v>173</v>
      </c>
      <c r="U152" s="152"/>
    </row>
    <row r="153" spans="1:21" ht="16">
      <c r="A153" s="2" t="s">
        <v>636</v>
      </c>
      <c r="B153" s="137">
        <v>22109052</v>
      </c>
      <c r="C153" s="161" t="s">
        <v>1423</v>
      </c>
      <c r="D153" s="159">
        <v>45271</v>
      </c>
      <c r="E153" s="159">
        <v>45265</v>
      </c>
      <c r="F153" s="159">
        <v>45286</v>
      </c>
      <c r="G153" s="159">
        <v>45266</v>
      </c>
      <c r="H153" s="137">
        <v>284</v>
      </c>
      <c r="I153" s="23">
        <v>45264</v>
      </c>
      <c r="J153" s="137">
        <v>52.9</v>
      </c>
      <c r="K153" s="137">
        <v>27.6</v>
      </c>
      <c r="L153" s="137">
        <v>1635</v>
      </c>
      <c r="M153" s="137">
        <v>857</v>
      </c>
      <c r="N153" s="137">
        <v>23.7</v>
      </c>
      <c r="O153" s="137">
        <v>728</v>
      </c>
      <c r="P153" s="137">
        <v>20.2</v>
      </c>
      <c r="Q153" s="137">
        <v>620</v>
      </c>
      <c r="R153" s="137">
        <v>1.2</v>
      </c>
      <c r="S153" s="137">
        <v>18.2</v>
      </c>
      <c r="T153" s="137">
        <v>567</v>
      </c>
      <c r="U153" s="152"/>
    </row>
    <row r="154" spans="1:21" ht="16">
      <c r="A154" s="2" t="s">
        <v>638</v>
      </c>
      <c r="B154" s="137">
        <v>22100387</v>
      </c>
      <c r="C154" s="161" t="s">
        <v>1426</v>
      </c>
      <c r="D154" s="159">
        <v>44558</v>
      </c>
      <c r="E154" s="159">
        <v>44540</v>
      </c>
      <c r="F154" s="137"/>
      <c r="G154" s="159">
        <v>44543</v>
      </c>
      <c r="H154" s="137">
        <v>22.6</v>
      </c>
      <c r="I154" s="23">
        <v>44533</v>
      </c>
      <c r="J154" s="160">
        <v>69.400000000000006</v>
      </c>
      <c r="K154" s="137">
        <v>25.9</v>
      </c>
      <c r="L154" s="137">
        <v>2749</v>
      </c>
      <c r="M154" s="137">
        <v>1039</v>
      </c>
      <c r="N154" s="137">
        <v>41.5</v>
      </c>
      <c r="O154" s="137">
        <v>1624</v>
      </c>
      <c r="P154" s="137">
        <v>18.100000000000001</v>
      </c>
      <c r="Q154" s="137">
        <v>708</v>
      </c>
      <c r="R154" s="137">
        <v>2.2999999999999998</v>
      </c>
      <c r="S154" s="137">
        <v>2.87</v>
      </c>
      <c r="T154" s="137">
        <v>115</v>
      </c>
      <c r="U154" s="152"/>
    </row>
    <row r="155" spans="1:21" ht="16">
      <c r="A155" s="2" t="s">
        <v>642</v>
      </c>
      <c r="B155" s="137">
        <v>22108829</v>
      </c>
      <c r="C155" s="161" t="s">
        <v>1431</v>
      </c>
      <c r="D155" s="159">
        <v>45289</v>
      </c>
      <c r="E155" s="159">
        <v>45286</v>
      </c>
      <c r="F155" s="159">
        <v>45293</v>
      </c>
      <c r="G155" s="159">
        <v>45287</v>
      </c>
      <c r="H155" s="137">
        <v>19</v>
      </c>
      <c r="I155" s="23">
        <v>45285</v>
      </c>
      <c r="J155" s="137">
        <v>60.4</v>
      </c>
      <c r="K155" s="137">
        <v>23.4</v>
      </c>
      <c r="L155" s="137">
        <v>2949</v>
      </c>
      <c r="M155" s="137">
        <v>1123</v>
      </c>
      <c r="N155" s="137">
        <v>33.5</v>
      </c>
      <c r="O155" s="137">
        <v>1665</v>
      </c>
      <c r="P155" s="137">
        <v>19.3</v>
      </c>
      <c r="Q155" s="137">
        <v>960</v>
      </c>
      <c r="R155" s="137">
        <v>1.7</v>
      </c>
      <c r="S155" s="137">
        <v>13.6</v>
      </c>
      <c r="T155" s="137">
        <v>654</v>
      </c>
      <c r="U155" s="152"/>
    </row>
    <row r="156" spans="1:21" ht="16">
      <c r="A156" s="6" t="s">
        <v>645</v>
      </c>
      <c r="B156" s="292">
        <v>4998631</v>
      </c>
      <c r="C156" s="293" t="s">
        <v>1439</v>
      </c>
      <c r="D156" s="292"/>
      <c r="E156" s="137"/>
      <c r="F156" s="137"/>
      <c r="G156" s="137"/>
      <c r="H156" s="137"/>
      <c r="I156" s="6"/>
      <c r="J156" s="137"/>
      <c r="K156" s="137"/>
      <c r="L156" s="137"/>
      <c r="M156" s="137"/>
      <c r="N156" s="137"/>
      <c r="O156" s="137"/>
      <c r="P156" s="137"/>
      <c r="Q156" s="137"/>
      <c r="R156" s="137"/>
      <c r="S156" s="137"/>
      <c r="T156" s="137"/>
      <c r="U156" s="152"/>
    </row>
    <row r="157" spans="1:21" ht="16">
      <c r="A157" s="2" t="s">
        <v>649</v>
      </c>
      <c r="B157" s="137">
        <v>22106106</v>
      </c>
      <c r="C157" s="161" t="s">
        <v>1440</v>
      </c>
      <c r="D157" s="159">
        <v>45065</v>
      </c>
      <c r="E157" s="159">
        <v>45055</v>
      </c>
      <c r="F157" s="159">
        <v>45058</v>
      </c>
      <c r="G157" s="159">
        <v>45056</v>
      </c>
      <c r="H157" s="137">
        <v>101</v>
      </c>
      <c r="I157" s="23">
        <v>45050</v>
      </c>
      <c r="J157" s="137">
        <v>56.9</v>
      </c>
      <c r="K157" s="137">
        <v>35.299999999999997</v>
      </c>
      <c r="L157" s="137">
        <v>2419</v>
      </c>
      <c r="M157" s="137">
        <v>1515</v>
      </c>
      <c r="N157" s="137">
        <v>34.1</v>
      </c>
      <c r="O157" s="137">
        <v>1440</v>
      </c>
      <c r="P157" s="137">
        <v>17.899999999999999</v>
      </c>
      <c r="Q157" s="137">
        <v>755</v>
      </c>
      <c r="R157" s="137">
        <v>1.9</v>
      </c>
      <c r="S157" s="137">
        <v>6</v>
      </c>
      <c r="T157" s="137">
        <v>256</v>
      </c>
      <c r="U157" s="152"/>
    </row>
    <row r="158" spans="1:21" ht="16">
      <c r="A158" s="2" t="s">
        <v>652</v>
      </c>
      <c r="B158" s="137">
        <v>22106107</v>
      </c>
      <c r="C158" s="161" t="s">
        <v>1443</v>
      </c>
      <c r="D158" s="159">
        <v>45065</v>
      </c>
      <c r="E158" s="159">
        <v>45058</v>
      </c>
      <c r="F158" s="159">
        <v>45070</v>
      </c>
      <c r="G158" s="159">
        <v>45063</v>
      </c>
      <c r="H158" s="137">
        <v>105</v>
      </c>
      <c r="I158" s="23">
        <v>45057</v>
      </c>
      <c r="J158" s="137">
        <v>66</v>
      </c>
      <c r="K158" s="137">
        <v>27.8</v>
      </c>
      <c r="L158" s="137">
        <v>2312</v>
      </c>
      <c r="M158" s="137">
        <v>986</v>
      </c>
      <c r="N158" s="137">
        <v>44.3</v>
      </c>
      <c r="O158" s="137">
        <v>1534</v>
      </c>
      <c r="P158" s="137">
        <v>16.5</v>
      </c>
      <c r="Q158" s="137">
        <v>570</v>
      </c>
      <c r="R158" s="137">
        <v>2.7</v>
      </c>
      <c r="S158" s="137">
        <v>5.4</v>
      </c>
      <c r="T158" s="137">
        <v>193</v>
      </c>
      <c r="U158" s="152"/>
    </row>
    <row r="159" spans="1:21" ht="16">
      <c r="A159" s="2" t="s">
        <v>655</v>
      </c>
      <c r="B159" s="137">
        <v>22107905</v>
      </c>
      <c r="C159" s="161" t="s">
        <v>1444</v>
      </c>
      <c r="D159" s="137"/>
      <c r="E159" s="137"/>
      <c r="F159" s="137"/>
      <c r="G159" s="137"/>
      <c r="H159" s="137"/>
      <c r="I159" s="23"/>
      <c r="J159" s="137"/>
      <c r="K159" s="137"/>
      <c r="L159" s="137"/>
      <c r="M159" s="137"/>
      <c r="N159" s="137"/>
      <c r="O159" s="137"/>
      <c r="P159" s="137"/>
      <c r="Q159" s="137"/>
      <c r="R159" s="137"/>
      <c r="S159" s="137"/>
      <c r="T159" s="137"/>
      <c r="U159" s="152"/>
    </row>
    <row r="160" spans="1:21" ht="16">
      <c r="A160" s="2" t="s">
        <v>660</v>
      </c>
      <c r="B160" s="137">
        <v>22105736</v>
      </c>
      <c r="C160" s="161" t="s">
        <v>1447</v>
      </c>
      <c r="D160" s="159">
        <v>45001</v>
      </c>
      <c r="E160" s="297">
        <v>44995</v>
      </c>
      <c r="F160" s="159">
        <v>44999</v>
      </c>
      <c r="G160" s="297">
        <v>44998</v>
      </c>
      <c r="H160" s="137">
        <v>82.4</v>
      </c>
      <c r="I160" s="23">
        <v>44993</v>
      </c>
      <c r="J160" s="137">
        <v>69</v>
      </c>
      <c r="K160" s="137">
        <v>20.8</v>
      </c>
      <c r="L160" s="137">
        <v>1563</v>
      </c>
      <c r="M160" s="137">
        <v>477</v>
      </c>
      <c r="N160" s="137">
        <v>45.2</v>
      </c>
      <c r="O160" s="137">
        <v>1010</v>
      </c>
      <c r="P160" s="137">
        <v>18.8</v>
      </c>
      <c r="Q160" s="137">
        <v>419</v>
      </c>
      <c r="R160" s="137">
        <v>2.4</v>
      </c>
      <c r="S160" s="137">
        <v>7.8</v>
      </c>
      <c r="T160" s="137">
        <v>179</v>
      </c>
      <c r="U160" s="152"/>
    </row>
    <row r="161" spans="1:21" ht="16">
      <c r="A161" s="2" t="s">
        <v>664</v>
      </c>
      <c r="B161" s="137">
        <v>22105737</v>
      </c>
      <c r="C161" s="161" t="s">
        <v>1454</v>
      </c>
      <c r="D161" s="159">
        <v>45001</v>
      </c>
      <c r="E161" s="297">
        <v>44995</v>
      </c>
      <c r="F161" s="159">
        <v>44999</v>
      </c>
      <c r="G161" s="297">
        <v>44998</v>
      </c>
      <c r="H161" s="137">
        <v>15.8</v>
      </c>
      <c r="I161" s="23">
        <v>44993</v>
      </c>
      <c r="J161" s="137">
        <v>66.599999999999994</v>
      </c>
      <c r="K161" s="137">
        <v>21.6</v>
      </c>
      <c r="L161" s="137">
        <v>2406</v>
      </c>
      <c r="M161" s="137">
        <v>793</v>
      </c>
      <c r="N161" s="137">
        <v>46</v>
      </c>
      <c r="O161" s="137">
        <v>1638</v>
      </c>
      <c r="P161" s="137">
        <v>16.100000000000001</v>
      </c>
      <c r="Q161" s="137">
        <v>574</v>
      </c>
      <c r="R161" s="137">
        <v>2.9</v>
      </c>
      <c r="S161" s="137">
        <v>9.1</v>
      </c>
      <c r="T161" s="137">
        <v>333</v>
      </c>
      <c r="U161" s="152"/>
    </row>
    <row r="162" spans="1:21" ht="16">
      <c r="A162" s="2" t="s">
        <v>667</v>
      </c>
      <c r="B162" s="137">
        <v>22107737</v>
      </c>
      <c r="C162" s="161" t="s">
        <v>1457</v>
      </c>
      <c r="D162" s="137"/>
      <c r="E162" s="137"/>
      <c r="F162" s="137"/>
      <c r="G162" s="137"/>
      <c r="H162" s="137"/>
      <c r="I162" s="2"/>
      <c r="J162" s="137"/>
      <c r="K162" s="137"/>
      <c r="L162" s="137"/>
      <c r="M162" s="137"/>
      <c r="N162" s="137"/>
      <c r="O162" s="137"/>
      <c r="P162" s="137"/>
      <c r="Q162" s="137"/>
      <c r="R162" s="137"/>
      <c r="S162" s="137"/>
      <c r="T162" s="137"/>
      <c r="U162" s="152"/>
    </row>
    <row r="163" spans="1:21" ht="16">
      <c r="A163" s="2" t="s">
        <v>670</v>
      </c>
      <c r="B163" s="137">
        <v>22107854</v>
      </c>
      <c r="C163" s="161" t="s">
        <v>1458</v>
      </c>
      <c r="D163" s="159">
        <v>45266</v>
      </c>
      <c r="E163" s="159">
        <v>45260</v>
      </c>
      <c r="F163" s="159">
        <v>45265</v>
      </c>
      <c r="G163" s="159">
        <v>45264</v>
      </c>
      <c r="H163" s="137">
        <v>4449</v>
      </c>
      <c r="I163" s="23">
        <v>45258</v>
      </c>
      <c r="J163" s="137">
        <v>66</v>
      </c>
      <c r="K163" s="137">
        <v>24.5</v>
      </c>
      <c r="L163" s="137">
        <v>1353</v>
      </c>
      <c r="M163" s="137">
        <v>505</v>
      </c>
      <c r="N163" s="137">
        <v>47.1</v>
      </c>
      <c r="O163" s="137">
        <v>960</v>
      </c>
      <c r="P163" s="137">
        <v>16.600000000000001</v>
      </c>
      <c r="Q163" s="137">
        <v>338</v>
      </c>
      <c r="R163" s="137">
        <v>2.8</v>
      </c>
      <c r="S163" s="137">
        <v>7.8</v>
      </c>
      <c r="T163" s="137">
        <v>162</v>
      </c>
      <c r="U163" s="152"/>
    </row>
    <row r="164" spans="1:21" ht="16">
      <c r="A164" s="2" t="s">
        <v>673</v>
      </c>
      <c r="B164" s="137">
        <v>22101304</v>
      </c>
      <c r="C164" s="161" t="s">
        <v>1462</v>
      </c>
      <c r="D164" s="159">
        <v>44579</v>
      </c>
      <c r="E164" s="159">
        <v>44551</v>
      </c>
      <c r="F164" s="137"/>
      <c r="G164" s="159">
        <v>44552</v>
      </c>
      <c r="H164" s="137">
        <v>117</v>
      </c>
      <c r="I164" s="23">
        <v>44547</v>
      </c>
      <c r="J164" s="160">
        <v>54.9</v>
      </c>
      <c r="K164" s="137">
        <v>27.1</v>
      </c>
      <c r="L164" s="137">
        <v>3188</v>
      </c>
      <c r="M164" s="137">
        <v>1579</v>
      </c>
      <c r="N164" s="137">
        <v>34.700000000000003</v>
      </c>
      <c r="O164" s="137">
        <v>2008</v>
      </c>
      <c r="P164" s="137">
        <v>13</v>
      </c>
      <c r="Q164" s="137">
        <v>750</v>
      </c>
      <c r="R164" s="137">
        <v>2.7</v>
      </c>
      <c r="S164" s="137">
        <v>15.39</v>
      </c>
      <c r="T164" s="137">
        <v>897</v>
      </c>
      <c r="U164" s="152"/>
    </row>
    <row r="165" spans="1:21" ht="16">
      <c r="A165" s="2" t="s">
        <v>677</v>
      </c>
      <c r="B165" s="137">
        <v>22109289</v>
      </c>
      <c r="C165" s="161" t="s">
        <v>1472</v>
      </c>
      <c r="D165" s="137"/>
      <c r="E165" s="137"/>
      <c r="F165" s="137"/>
      <c r="G165" s="137"/>
      <c r="H165" s="137"/>
      <c r="I165" s="2"/>
      <c r="J165" s="137"/>
      <c r="K165" s="137"/>
      <c r="L165" s="137"/>
      <c r="M165" s="137"/>
      <c r="N165" s="137"/>
      <c r="O165" s="137"/>
      <c r="P165" s="137"/>
      <c r="Q165" s="137"/>
      <c r="R165" s="137"/>
      <c r="S165" s="137"/>
      <c r="T165" s="137"/>
      <c r="U165" s="152"/>
    </row>
    <row r="166" spans="1:21" ht="16">
      <c r="A166" s="2" t="s">
        <v>681</v>
      </c>
      <c r="B166" s="137">
        <v>22109290</v>
      </c>
      <c r="C166" s="161" t="s">
        <v>1479</v>
      </c>
      <c r="D166" s="137"/>
      <c r="E166" s="137"/>
      <c r="F166" s="137"/>
      <c r="G166" s="137"/>
      <c r="H166" s="137"/>
      <c r="I166" s="2"/>
      <c r="J166" s="137"/>
      <c r="K166" s="137"/>
      <c r="L166" s="137"/>
      <c r="M166" s="137"/>
      <c r="N166" s="137"/>
      <c r="O166" s="137"/>
      <c r="P166" s="137"/>
      <c r="Q166" s="137"/>
      <c r="R166" s="137"/>
      <c r="S166" s="137"/>
      <c r="T166" s="137"/>
      <c r="U166" s="152"/>
    </row>
    <row r="167" spans="1:21" ht="16">
      <c r="A167" s="2" t="s">
        <v>683</v>
      </c>
      <c r="B167" s="137">
        <v>22108656</v>
      </c>
      <c r="C167" s="161" t="s">
        <v>1480</v>
      </c>
      <c r="D167" s="137"/>
      <c r="E167" s="137"/>
      <c r="F167" s="137"/>
      <c r="G167" s="137"/>
      <c r="H167" s="137"/>
      <c r="I167" s="2"/>
      <c r="J167" s="137"/>
      <c r="K167" s="137"/>
      <c r="L167" s="137"/>
      <c r="M167" s="137"/>
      <c r="N167" s="137"/>
      <c r="O167" s="137"/>
      <c r="P167" s="137"/>
      <c r="Q167" s="137"/>
      <c r="R167" s="137"/>
      <c r="S167" s="137"/>
      <c r="T167" s="137"/>
      <c r="U167" s="152"/>
    </row>
    <row r="168" spans="1:21" ht="16">
      <c r="A168" s="2" t="s">
        <v>686</v>
      </c>
      <c r="B168" s="137">
        <v>22105237</v>
      </c>
      <c r="C168" s="161" t="s">
        <v>1484</v>
      </c>
      <c r="D168" s="159"/>
      <c r="E168" s="137"/>
      <c r="F168" s="137"/>
      <c r="G168" s="137"/>
      <c r="H168" s="137"/>
      <c r="I168" s="291" t="s">
        <v>1718</v>
      </c>
      <c r="J168" s="137"/>
      <c r="K168" s="137"/>
      <c r="L168" s="137"/>
      <c r="M168" s="137"/>
      <c r="N168" s="137"/>
      <c r="O168" s="137"/>
      <c r="P168" s="137"/>
      <c r="Q168" s="137"/>
      <c r="R168" s="137"/>
      <c r="S168" s="137"/>
      <c r="T168" s="137"/>
      <c r="U168" s="152"/>
    </row>
    <row r="169" spans="1:21" ht="16">
      <c r="A169" s="2" t="s">
        <v>690</v>
      </c>
      <c r="B169" s="137">
        <v>22108457</v>
      </c>
      <c r="C169" s="161" t="s">
        <v>1486</v>
      </c>
      <c r="D169" s="137"/>
      <c r="E169" s="137"/>
      <c r="F169" s="137"/>
      <c r="G169" s="137"/>
      <c r="H169" s="137"/>
      <c r="I169" s="2"/>
      <c r="J169" s="137"/>
      <c r="K169" s="137"/>
      <c r="L169" s="137"/>
      <c r="M169" s="137"/>
      <c r="N169" s="137"/>
      <c r="O169" s="137"/>
      <c r="P169" s="137"/>
      <c r="Q169" s="137"/>
      <c r="R169" s="137"/>
      <c r="S169" s="137"/>
      <c r="T169" s="137"/>
      <c r="U169" s="152"/>
    </row>
    <row r="170" spans="1:21" ht="16">
      <c r="A170" s="2" t="s">
        <v>694</v>
      </c>
      <c r="B170" s="137">
        <v>22109237</v>
      </c>
      <c r="C170" s="161" t="s">
        <v>1487</v>
      </c>
      <c r="D170" s="137"/>
      <c r="E170" s="137"/>
      <c r="F170" s="137"/>
      <c r="G170" s="137"/>
      <c r="H170" s="137"/>
      <c r="I170" s="2"/>
      <c r="J170" s="137"/>
      <c r="K170" s="137"/>
      <c r="L170" s="137"/>
      <c r="M170" s="137"/>
      <c r="N170" s="137"/>
      <c r="O170" s="137"/>
      <c r="P170" s="137"/>
      <c r="Q170" s="137"/>
      <c r="R170" s="137"/>
      <c r="S170" s="137"/>
      <c r="T170" s="137"/>
      <c r="U170" s="152"/>
    </row>
    <row r="171" spans="1:21" ht="16">
      <c r="A171" s="2" t="s">
        <v>699</v>
      </c>
      <c r="B171" s="137">
        <v>22108488</v>
      </c>
      <c r="C171" s="161" t="s">
        <v>1494</v>
      </c>
      <c r="D171" s="137"/>
      <c r="E171" s="137"/>
      <c r="F171" s="137"/>
      <c r="G171" s="137"/>
      <c r="H171" s="137"/>
      <c r="I171" s="2"/>
      <c r="J171" s="137"/>
      <c r="K171" s="137"/>
      <c r="L171" s="137"/>
      <c r="M171" s="137"/>
      <c r="N171" s="137"/>
      <c r="O171" s="137"/>
      <c r="P171" s="137"/>
      <c r="Q171" s="137"/>
      <c r="R171" s="137"/>
      <c r="S171" s="137"/>
      <c r="T171" s="137"/>
      <c r="U171" s="152"/>
    </row>
    <row r="172" spans="1:21" ht="16">
      <c r="A172" s="2" t="s">
        <v>703</v>
      </c>
      <c r="B172" s="137">
        <v>22107816</v>
      </c>
      <c r="C172" s="161" t="s">
        <v>2721</v>
      </c>
      <c r="D172" s="159">
        <v>45085</v>
      </c>
      <c r="E172" s="159">
        <v>45070</v>
      </c>
      <c r="F172" s="159">
        <v>45076</v>
      </c>
      <c r="G172" s="159">
        <v>45069</v>
      </c>
      <c r="H172" s="137">
        <v>27.1</v>
      </c>
      <c r="I172" s="23">
        <v>45069</v>
      </c>
      <c r="J172" s="137">
        <v>63.8</v>
      </c>
      <c r="K172" s="137">
        <v>25.7</v>
      </c>
      <c r="L172" s="137">
        <v>3155</v>
      </c>
      <c r="M172" s="137">
        <v>1277</v>
      </c>
      <c r="N172" s="137">
        <v>39.6</v>
      </c>
      <c r="O172" s="137">
        <v>1953</v>
      </c>
      <c r="P172" s="137">
        <v>19</v>
      </c>
      <c r="Q172" s="137">
        <v>937</v>
      </c>
      <c r="R172" s="137">
        <v>2.1</v>
      </c>
      <c r="S172" s="137">
        <v>11</v>
      </c>
      <c r="T172" s="137">
        <v>547</v>
      </c>
      <c r="U172" s="152"/>
    </row>
    <row r="173" spans="1:21" ht="16">
      <c r="A173" s="2" t="s">
        <v>707</v>
      </c>
      <c r="B173" s="137">
        <v>22109442</v>
      </c>
      <c r="C173" s="161" t="s">
        <v>1501</v>
      </c>
      <c r="D173" s="137"/>
      <c r="E173" s="137"/>
      <c r="F173" s="137"/>
      <c r="G173" s="137"/>
      <c r="H173" s="137"/>
      <c r="I173" s="2"/>
      <c r="J173" s="137"/>
      <c r="K173" s="137"/>
      <c r="L173" s="137"/>
      <c r="M173" s="137"/>
      <c r="N173" s="137"/>
      <c r="O173" s="137"/>
      <c r="P173" s="137"/>
      <c r="Q173" s="137"/>
      <c r="R173" s="137"/>
      <c r="S173" s="137"/>
      <c r="T173" s="137"/>
      <c r="U173" s="152"/>
    </row>
    <row r="174" spans="1:21" ht="16">
      <c r="A174" s="2" t="s">
        <v>711</v>
      </c>
      <c r="B174" s="137">
        <v>22109297</v>
      </c>
      <c r="C174" s="161" t="s">
        <v>1505</v>
      </c>
      <c r="D174" s="159">
        <v>45232</v>
      </c>
      <c r="E174" s="159">
        <v>45225</v>
      </c>
      <c r="F174" s="159">
        <v>45252</v>
      </c>
      <c r="G174" s="159">
        <v>45230</v>
      </c>
      <c r="H174" s="137">
        <v>7.07</v>
      </c>
      <c r="I174" s="23">
        <v>45224</v>
      </c>
      <c r="J174" s="137">
        <v>67.8</v>
      </c>
      <c r="K174" s="137">
        <v>25.1</v>
      </c>
      <c r="L174" s="137">
        <v>3847</v>
      </c>
      <c r="M174" s="137">
        <v>1452</v>
      </c>
      <c r="N174" s="137">
        <v>27.5</v>
      </c>
      <c r="O174" s="137">
        <v>1533</v>
      </c>
      <c r="P174" s="137">
        <v>23.8</v>
      </c>
      <c r="Q174" s="137">
        <v>1328</v>
      </c>
      <c r="R174" s="137">
        <v>1.2</v>
      </c>
      <c r="S174" s="137">
        <v>6.2</v>
      </c>
      <c r="T174" s="137">
        <v>360</v>
      </c>
      <c r="U174" s="152"/>
    </row>
    <row r="175" spans="1:21" ht="16">
      <c r="A175" s="2" t="s">
        <v>714</v>
      </c>
      <c r="B175" s="137">
        <v>22103382</v>
      </c>
      <c r="C175" s="161" t="s">
        <v>2722</v>
      </c>
      <c r="D175" s="159">
        <v>44740</v>
      </c>
      <c r="E175" s="159">
        <v>44729</v>
      </c>
      <c r="F175" s="159">
        <v>44733</v>
      </c>
      <c r="G175" s="159">
        <v>44732</v>
      </c>
      <c r="H175" s="137">
        <v>1540</v>
      </c>
      <c r="I175" s="23">
        <v>44726</v>
      </c>
      <c r="J175" s="160">
        <v>64.3</v>
      </c>
      <c r="K175" s="137">
        <v>24.7</v>
      </c>
      <c r="L175" s="137">
        <v>2633</v>
      </c>
      <c r="M175" s="137">
        <v>1014</v>
      </c>
      <c r="N175" s="137">
        <v>35.6</v>
      </c>
      <c r="O175" s="137">
        <v>1449</v>
      </c>
      <c r="P175" s="137">
        <v>23.9</v>
      </c>
      <c r="Q175" s="137">
        <v>975</v>
      </c>
      <c r="R175" s="137">
        <v>1.5</v>
      </c>
      <c r="S175" s="137">
        <v>7.3</v>
      </c>
      <c r="T175" s="137">
        <v>299</v>
      </c>
      <c r="U175" s="152"/>
    </row>
    <row r="176" spans="1:21" ht="16">
      <c r="A176" s="2" t="s">
        <v>718</v>
      </c>
      <c r="B176" s="137">
        <v>22103953</v>
      </c>
      <c r="C176" s="161" t="s">
        <v>2723</v>
      </c>
      <c r="D176" s="159">
        <v>44804</v>
      </c>
      <c r="E176" s="159">
        <v>44796</v>
      </c>
      <c r="F176" s="159">
        <v>44799</v>
      </c>
      <c r="G176" s="159">
        <v>44797</v>
      </c>
      <c r="H176" s="137">
        <v>17.3</v>
      </c>
      <c r="I176" s="23">
        <v>44791</v>
      </c>
      <c r="J176" s="160">
        <v>60.2</v>
      </c>
      <c r="K176" s="137">
        <v>22.6</v>
      </c>
      <c r="L176" s="137">
        <v>4160</v>
      </c>
      <c r="M176" s="137">
        <v>1520</v>
      </c>
      <c r="N176" s="137">
        <v>28.1</v>
      </c>
      <c r="O176" s="137">
        <v>1989</v>
      </c>
      <c r="P176" s="137">
        <v>26.5</v>
      </c>
      <c r="Q176" s="137">
        <v>1877</v>
      </c>
      <c r="R176" s="137">
        <v>1.1000000000000001</v>
      </c>
      <c r="S176" s="137">
        <v>14.4</v>
      </c>
      <c r="T176" s="137">
        <v>969</v>
      </c>
      <c r="U176" s="152"/>
    </row>
    <row r="177" spans="1:21" ht="16">
      <c r="A177" s="2" t="s">
        <v>722</v>
      </c>
      <c r="B177" s="137">
        <v>22109329</v>
      </c>
      <c r="C177" s="161" t="s">
        <v>1514</v>
      </c>
      <c r="D177" s="159">
        <v>45356</v>
      </c>
      <c r="E177" s="159">
        <v>45345</v>
      </c>
      <c r="F177" s="137"/>
      <c r="G177" s="159">
        <v>45348</v>
      </c>
      <c r="H177" s="137">
        <v>457</v>
      </c>
      <c r="I177" s="23">
        <v>45342</v>
      </c>
      <c r="J177" s="137">
        <v>72.8</v>
      </c>
      <c r="K177" s="137">
        <v>23.538740000000001</v>
      </c>
      <c r="L177" s="137">
        <v>1252</v>
      </c>
      <c r="M177" s="137">
        <v>40.4</v>
      </c>
      <c r="N177" s="137">
        <v>2148</v>
      </c>
      <c r="O177" s="137">
        <v>25.2</v>
      </c>
      <c r="P177" s="137">
        <v>1339</v>
      </c>
      <c r="Q177" s="137">
        <v>1.6</v>
      </c>
      <c r="R177" s="137">
        <v>2.2999999999999998</v>
      </c>
      <c r="S177" s="137">
        <v>124</v>
      </c>
      <c r="T177" s="137">
        <v>1.6</v>
      </c>
      <c r="U177" s="152"/>
    </row>
    <row r="178" spans="1:21" ht="16">
      <c r="A178" s="2" t="s">
        <v>726</v>
      </c>
      <c r="B178" s="137">
        <v>22108528</v>
      </c>
      <c r="C178" s="161" t="s">
        <v>1520</v>
      </c>
      <c r="D178" s="159">
        <v>45262</v>
      </c>
      <c r="E178" s="159">
        <v>45252</v>
      </c>
      <c r="F178" s="159">
        <v>45265</v>
      </c>
      <c r="G178" s="159">
        <v>45258</v>
      </c>
      <c r="H178" s="137">
        <v>11.3</v>
      </c>
      <c r="I178" s="23">
        <v>45252</v>
      </c>
      <c r="J178" s="137">
        <v>66.599999999999994</v>
      </c>
      <c r="K178" s="137">
        <v>16</v>
      </c>
      <c r="L178" s="137">
        <v>2932</v>
      </c>
      <c r="M178" s="137">
        <v>705</v>
      </c>
      <c r="N178" s="137">
        <v>41.4</v>
      </c>
      <c r="O178" s="137">
        <v>1822</v>
      </c>
      <c r="P178" s="137">
        <v>18</v>
      </c>
      <c r="Q178" s="137">
        <v>793</v>
      </c>
      <c r="R178" s="137">
        <v>2.2999999999999998</v>
      </c>
      <c r="S178" s="137">
        <v>16.3</v>
      </c>
      <c r="T178" s="137">
        <v>718</v>
      </c>
      <c r="U178" s="152"/>
    </row>
    <row r="179" spans="1:21" ht="16">
      <c r="A179" s="2" t="s">
        <v>729</v>
      </c>
      <c r="B179" s="137">
        <v>22108317</v>
      </c>
      <c r="C179" s="161" t="s">
        <v>2724</v>
      </c>
      <c r="D179" s="137"/>
      <c r="E179" s="137"/>
      <c r="F179" s="137"/>
      <c r="G179" s="137"/>
      <c r="H179" s="137"/>
      <c r="I179" s="2"/>
      <c r="J179" s="137"/>
      <c r="K179" s="137"/>
      <c r="L179" s="137"/>
      <c r="M179" s="137"/>
      <c r="N179" s="137"/>
      <c r="O179" s="137"/>
      <c r="P179" s="137"/>
      <c r="Q179" s="137"/>
      <c r="R179" s="137"/>
      <c r="S179" s="137"/>
      <c r="T179" s="137"/>
      <c r="U179" s="152"/>
    </row>
    <row r="180" spans="1:21" ht="16">
      <c r="A180" s="2" t="s">
        <v>734</v>
      </c>
      <c r="B180" s="137">
        <v>22104263</v>
      </c>
      <c r="C180" s="161" t="s">
        <v>735</v>
      </c>
      <c r="D180" s="159"/>
      <c r="E180" s="137"/>
      <c r="F180" s="137"/>
      <c r="G180" s="137"/>
      <c r="H180" s="137"/>
      <c r="I180" s="30"/>
      <c r="J180" s="137"/>
      <c r="K180" s="137"/>
      <c r="L180" s="137"/>
      <c r="M180" s="137"/>
      <c r="N180" s="137"/>
      <c r="O180" s="137"/>
      <c r="P180" s="137"/>
      <c r="Q180" s="137"/>
      <c r="R180" s="137"/>
      <c r="S180" s="137"/>
      <c r="T180" s="137"/>
      <c r="U180" s="152"/>
    </row>
    <row r="181" spans="1:21" ht="16">
      <c r="A181" s="2" t="s">
        <v>737</v>
      </c>
      <c r="B181" s="137">
        <v>22109759</v>
      </c>
      <c r="C181" s="161" t="s">
        <v>738</v>
      </c>
      <c r="D181" s="159">
        <v>45443</v>
      </c>
      <c r="E181" s="159">
        <v>45429</v>
      </c>
      <c r="F181" s="159">
        <v>45433</v>
      </c>
      <c r="G181" s="159">
        <v>45425</v>
      </c>
      <c r="H181" s="137">
        <v>2565</v>
      </c>
      <c r="I181" s="23">
        <v>45425</v>
      </c>
      <c r="J181" s="137">
        <v>61.4</v>
      </c>
      <c r="K181" s="137">
        <v>34.6</v>
      </c>
      <c r="L181" s="137">
        <v>1725</v>
      </c>
      <c r="M181" s="137">
        <v>1017</v>
      </c>
      <c r="N181" s="137">
        <v>25.6</v>
      </c>
      <c r="O181" s="137">
        <v>688</v>
      </c>
      <c r="P181" s="137">
        <v>33.1</v>
      </c>
      <c r="Q181" s="137">
        <v>888</v>
      </c>
      <c r="R181" s="137">
        <v>0.8</v>
      </c>
      <c r="S181" s="137">
        <v>3.8</v>
      </c>
      <c r="T181" s="137">
        <v>112</v>
      </c>
      <c r="U181" s="152"/>
    </row>
    <row r="182" spans="1:21" ht="16">
      <c r="A182" s="2" t="s">
        <v>742</v>
      </c>
      <c r="B182" s="137">
        <v>16903095</v>
      </c>
      <c r="C182" s="161" t="s">
        <v>743</v>
      </c>
      <c r="D182" s="137"/>
      <c r="E182" s="137"/>
      <c r="F182" s="137"/>
      <c r="G182" s="137"/>
      <c r="H182" s="137"/>
      <c r="I182" s="2"/>
      <c r="J182" s="137"/>
      <c r="K182" s="137"/>
      <c r="L182" s="137"/>
      <c r="M182" s="137"/>
      <c r="N182" s="137"/>
      <c r="O182" s="137"/>
      <c r="P182" s="137"/>
      <c r="Q182" s="137"/>
      <c r="R182" s="137"/>
      <c r="S182" s="137"/>
      <c r="T182" s="137"/>
      <c r="U182" s="152"/>
    </row>
    <row r="183" spans="1:21" ht="16">
      <c r="A183" s="2" t="s">
        <v>747</v>
      </c>
      <c r="B183" s="137">
        <v>22109538</v>
      </c>
      <c r="C183" s="161" t="s">
        <v>1534</v>
      </c>
      <c r="D183" s="137"/>
      <c r="E183" s="137"/>
      <c r="F183" s="137"/>
      <c r="G183" s="137"/>
      <c r="H183" s="137"/>
      <c r="I183" s="2"/>
      <c r="J183" s="137"/>
      <c r="K183" s="137"/>
      <c r="L183" s="137"/>
      <c r="M183" s="137"/>
      <c r="N183" s="137"/>
      <c r="O183" s="137"/>
      <c r="P183" s="137"/>
      <c r="Q183" s="137"/>
      <c r="R183" s="137"/>
      <c r="S183" s="137"/>
      <c r="T183" s="137"/>
      <c r="U183" s="152"/>
    </row>
    <row r="184" spans="1:21" ht="16">
      <c r="A184" s="2" t="s">
        <v>752</v>
      </c>
      <c r="B184" s="137">
        <v>22109793</v>
      </c>
      <c r="C184" s="161" t="s">
        <v>1538</v>
      </c>
      <c r="D184" s="137"/>
      <c r="E184" s="137"/>
      <c r="F184" s="137"/>
      <c r="G184" s="137"/>
      <c r="H184" s="137"/>
      <c r="I184" s="2"/>
      <c r="J184" s="137"/>
      <c r="K184" s="137"/>
      <c r="L184" s="137"/>
      <c r="M184" s="137"/>
      <c r="N184" s="137"/>
      <c r="O184" s="137"/>
      <c r="P184" s="137"/>
      <c r="Q184" s="137"/>
      <c r="R184" s="137"/>
      <c r="S184" s="137"/>
      <c r="T184" s="137"/>
      <c r="U184" s="152"/>
    </row>
    <row r="185" spans="1:21" ht="16">
      <c r="A185" s="2" t="s">
        <v>756</v>
      </c>
      <c r="B185" s="137">
        <v>22109501</v>
      </c>
      <c r="C185" s="161" t="s">
        <v>757</v>
      </c>
      <c r="D185" s="137"/>
      <c r="E185" s="137"/>
      <c r="F185" s="137"/>
      <c r="G185" s="137"/>
      <c r="H185" s="137"/>
      <c r="I185" s="2"/>
      <c r="J185" s="137"/>
      <c r="K185" s="137"/>
      <c r="L185" s="137"/>
      <c r="M185" s="137"/>
      <c r="N185" s="137"/>
      <c r="O185" s="137"/>
      <c r="P185" s="137"/>
      <c r="Q185" s="137"/>
      <c r="R185" s="137"/>
      <c r="S185" s="137"/>
      <c r="T185" s="137"/>
      <c r="U185" s="152"/>
    </row>
    <row r="186" spans="1:21" ht="16">
      <c r="A186" s="2" t="s">
        <v>759</v>
      </c>
      <c r="B186" s="137">
        <v>22109705</v>
      </c>
      <c r="C186" s="161" t="s">
        <v>760</v>
      </c>
      <c r="D186" s="137"/>
      <c r="E186" s="137"/>
      <c r="F186" s="137"/>
      <c r="G186" s="137"/>
      <c r="H186" s="137"/>
      <c r="I186" s="2"/>
      <c r="J186" s="137"/>
      <c r="K186" s="137"/>
      <c r="L186" s="137"/>
      <c r="M186" s="137"/>
      <c r="N186" s="137"/>
      <c r="O186" s="137"/>
      <c r="P186" s="137"/>
      <c r="Q186" s="137"/>
      <c r="R186" s="137"/>
      <c r="S186" s="137"/>
      <c r="T186" s="137"/>
      <c r="U186" s="152"/>
    </row>
    <row r="187" spans="1:21" ht="16">
      <c r="A187" s="2" t="s">
        <v>762</v>
      </c>
      <c r="B187" s="137">
        <v>22109441</v>
      </c>
      <c r="C187" s="161" t="s">
        <v>1543</v>
      </c>
      <c r="D187" s="137"/>
      <c r="E187" s="137"/>
      <c r="F187" s="137"/>
      <c r="G187" s="137"/>
      <c r="H187" s="137"/>
      <c r="I187" s="2"/>
      <c r="J187" s="137"/>
      <c r="K187" s="137"/>
      <c r="L187" s="137"/>
      <c r="M187" s="137"/>
      <c r="N187" s="137"/>
      <c r="O187" s="137"/>
      <c r="P187" s="137"/>
      <c r="Q187" s="137"/>
      <c r="R187" s="137"/>
      <c r="S187" s="137"/>
      <c r="T187" s="137"/>
      <c r="U187" s="152"/>
    </row>
    <row r="188" spans="1:21" ht="16">
      <c r="A188" s="2" t="s">
        <v>766</v>
      </c>
      <c r="B188" s="137">
        <v>22108398</v>
      </c>
      <c r="C188" s="161" t="s">
        <v>1549</v>
      </c>
      <c r="D188" s="159">
        <v>45232</v>
      </c>
      <c r="E188" s="159">
        <v>45223</v>
      </c>
      <c r="F188" s="159">
        <v>45252</v>
      </c>
      <c r="G188" s="159">
        <v>45230</v>
      </c>
      <c r="H188" s="137">
        <v>26.5</v>
      </c>
      <c r="I188" s="23">
        <v>45222</v>
      </c>
      <c r="J188" s="137">
        <v>63.4</v>
      </c>
      <c r="K188" s="137">
        <v>30.3</v>
      </c>
      <c r="L188" s="137">
        <v>3289</v>
      </c>
      <c r="M188" s="137">
        <v>1568</v>
      </c>
      <c r="N188" s="137">
        <v>30.2</v>
      </c>
      <c r="O188" s="137">
        <v>1568</v>
      </c>
      <c r="P188" s="137">
        <v>26</v>
      </c>
      <c r="Q188" s="137">
        <v>1348</v>
      </c>
      <c r="R188" s="137">
        <v>1.2</v>
      </c>
      <c r="S188" s="137">
        <v>4.5999999999999996</v>
      </c>
      <c r="T188" s="137">
        <v>239</v>
      </c>
      <c r="U188" s="152"/>
    </row>
    <row r="189" spans="1:21" ht="16">
      <c r="A189" s="2" t="s">
        <v>770</v>
      </c>
      <c r="B189" s="137">
        <v>22109053</v>
      </c>
      <c r="C189" s="161" t="s">
        <v>771</v>
      </c>
      <c r="D189" s="137"/>
      <c r="E189" s="137"/>
      <c r="F189" s="137"/>
      <c r="G189" s="137"/>
      <c r="H189" s="137"/>
      <c r="I189" s="2"/>
      <c r="J189" s="137"/>
      <c r="K189" s="137"/>
      <c r="L189" s="137"/>
      <c r="M189" s="137"/>
      <c r="N189" s="137"/>
      <c r="O189" s="137"/>
      <c r="P189" s="137"/>
      <c r="Q189" s="137"/>
      <c r="R189" s="137"/>
      <c r="S189" s="137"/>
      <c r="T189" s="137"/>
      <c r="U189" s="152"/>
    </row>
    <row r="190" spans="1:21" ht="16">
      <c r="A190" s="2" t="s">
        <v>773</v>
      </c>
      <c r="B190" s="137">
        <v>22108554</v>
      </c>
      <c r="C190" s="161" t="s">
        <v>774</v>
      </c>
      <c r="D190" s="159">
        <v>45271</v>
      </c>
      <c r="E190" s="159">
        <v>45265</v>
      </c>
      <c r="F190" s="159">
        <v>45286</v>
      </c>
      <c r="G190" s="159">
        <v>45266</v>
      </c>
      <c r="H190" s="137">
        <v>13.8</v>
      </c>
      <c r="I190" s="2"/>
      <c r="J190" s="137"/>
      <c r="K190" s="137"/>
      <c r="L190" s="137"/>
      <c r="M190" s="137"/>
      <c r="N190" s="137"/>
      <c r="O190" s="137"/>
      <c r="P190" s="137"/>
      <c r="Q190" s="137"/>
      <c r="R190" s="137"/>
      <c r="S190" s="137"/>
      <c r="T190" s="137"/>
      <c r="U190" s="152"/>
    </row>
    <row r="191" spans="1:21" ht="16">
      <c r="A191" s="2" t="s">
        <v>776</v>
      </c>
      <c r="B191" s="137">
        <v>22108696</v>
      </c>
      <c r="C191" s="161" t="s">
        <v>1566</v>
      </c>
      <c r="D191" s="159">
        <v>45217</v>
      </c>
      <c r="E191" s="159">
        <v>45196</v>
      </c>
      <c r="F191" s="159">
        <v>45252</v>
      </c>
      <c r="G191" s="159">
        <v>45203</v>
      </c>
      <c r="H191" s="137">
        <v>222</v>
      </c>
      <c r="I191" s="23">
        <v>45196</v>
      </c>
      <c r="J191" s="137">
        <v>67.3</v>
      </c>
      <c r="K191" s="137">
        <v>23.9</v>
      </c>
      <c r="L191" s="137">
        <v>2921</v>
      </c>
      <c r="M191" s="137">
        <v>1035</v>
      </c>
      <c r="N191" s="137">
        <v>41.4</v>
      </c>
      <c r="O191" s="137">
        <v>1794</v>
      </c>
      <c r="P191" s="137">
        <v>17.600000000000001</v>
      </c>
      <c r="Q191" s="137">
        <v>765</v>
      </c>
      <c r="R191" s="137">
        <v>2.2999999999999998</v>
      </c>
      <c r="S191" s="137">
        <v>6.7</v>
      </c>
      <c r="T191" s="137">
        <v>291</v>
      </c>
      <c r="U191" s="152"/>
    </row>
    <row r="192" spans="1:21" ht="16">
      <c r="A192" s="2" t="s">
        <v>780</v>
      </c>
      <c r="B192" s="137">
        <v>22109754</v>
      </c>
      <c r="C192" s="161" t="s">
        <v>1569</v>
      </c>
      <c r="D192" s="137"/>
      <c r="E192" s="137"/>
      <c r="F192" s="137"/>
      <c r="G192" s="137"/>
      <c r="H192" s="137"/>
      <c r="I192" s="2"/>
      <c r="J192" s="137"/>
      <c r="K192" s="137"/>
      <c r="L192" s="137"/>
      <c r="M192" s="137"/>
      <c r="N192" s="137"/>
      <c r="O192" s="137"/>
      <c r="P192" s="137"/>
      <c r="Q192" s="137"/>
      <c r="R192" s="137"/>
      <c r="S192" s="137"/>
      <c r="T192" s="137"/>
      <c r="U192" s="152"/>
    </row>
    <row r="193" spans="1:21" ht="16">
      <c r="A193" s="2" t="s">
        <v>784</v>
      </c>
      <c r="B193" s="137">
        <v>22109131</v>
      </c>
      <c r="C193" s="161" t="s">
        <v>1570</v>
      </c>
      <c r="D193" s="137"/>
      <c r="E193" s="137"/>
      <c r="F193" s="137"/>
      <c r="G193" s="137"/>
      <c r="H193" s="137"/>
      <c r="I193" s="2"/>
      <c r="J193" s="137"/>
      <c r="K193" s="137"/>
      <c r="L193" s="137"/>
      <c r="M193" s="137"/>
      <c r="N193" s="137"/>
      <c r="O193" s="137"/>
      <c r="P193" s="137"/>
      <c r="Q193" s="137"/>
      <c r="R193" s="137"/>
      <c r="S193" s="137"/>
      <c r="T193" s="137"/>
      <c r="U193" s="152"/>
    </row>
    <row r="194" spans="1:21" ht="16">
      <c r="A194" s="2" t="s">
        <v>788</v>
      </c>
      <c r="B194" s="137">
        <v>22108366</v>
      </c>
      <c r="C194" s="161" t="s">
        <v>1573</v>
      </c>
      <c r="D194" s="159">
        <v>45217</v>
      </c>
      <c r="E194" s="159">
        <v>45210</v>
      </c>
      <c r="F194" s="159">
        <v>45252</v>
      </c>
      <c r="G194" s="159">
        <v>45211</v>
      </c>
      <c r="H194" s="137">
        <v>130</v>
      </c>
      <c r="I194" s="23">
        <v>45204</v>
      </c>
      <c r="J194" s="137">
        <v>68.8</v>
      </c>
      <c r="K194" s="137">
        <v>22</v>
      </c>
      <c r="L194" s="137">
        <v>940</v>
      </c>
      <c r="M194" s="137">
        <v>339</v>
      </c>
      <c r="N194" s="137">
        <v>38.5</v>
      </c>
      <c r="O194" s="137">
        <v>458</v>
      </c>
      <c r="P194" s="137">
        <v>23.4</v>
      </c>
      <c r="Q194" s="137">
        <v>278</v>
      </c>
      <c r="R194" s="137">
        <v>1.6</v>
      </c>
      <c r="S194" s="137">
        <v>6.8</v>
      </c>
      <c r="T194" s="137">
        <v>104</v>
      </c>
      <c r="U194" s="152"/>
    </row>
    <row r="195" spans="1:21" ht="16">
      <c r="A195" s="2" t="s">
        <v>792</v>
      </c>
      <c r="B195" s="137">
        <v>22109864</v>
      </c>
      <c r="C195" s="161" t="s">
        <v>1578</v>
      </c>
      <c r="D195" s="159">
        <v>45597</v>
      </c>
      <c r="E195" s="159">
        <v>45590</v>
      </c>
      <c r="F195" s="137"/>
      <c r="G195" s="137"/>
      <c r="H195" s="137">
        <v>11</v>
      </c>
      <c r="I195" s="23">
        <v>45583</v>
      </c>
      <c r="J195" s="137">
        <v>68.2</v>
      </c>
      <c r="K195" s="137">
        <v>27.1</v>
      </c>
      <c r="L195" s="137">
        <v>3929</v>
      </c>
      <c r="M195" s="137">
        <v>1573</v>
      </c>
      <c r="N195" s="137">
        <v>37.6</v>
      </c>
      <c r="O195" s="137">
        <v>2147</v>
      </c>
      <c r="P195" s="137">
        <v>27.8</v>
      </c>
      <c r="Q195" s="137">
        <v>1584</v>
      </c>
      <c r="R195" s="137">
        <v>1.4</v>
      </c>
      <c r="S195" s="137">
        <v>3.6</v>
      </c>
      <c r="T195" s="137">
        <v>210</v>
      </c>
      <c r="U195" s="152"/>
    </row>
    <row r="196" spans="1:21" ht="16">
      <c r="A196" s="2" t="s">
        <v>796</v>
      </c>
      <c r="B196" s="137">
        <v>22109794</v>
      </c>
      <c r="C196" s="161" t="s">
        <v>797</v>
      </c>
      <c r="D196" s="137"/>
      <c r="E196" s="137"/>
      <c r="F196" s="137"/>
      <c r="G196" s="137"/>
      <c r="H196" s="137"/>
      <c r="I196" s="2"/>
      <c r="J196" s="137"/>
      <c r="K196" s="137"/>
      <c r="L196" s="137"/>
      <c r="M196" s="137"/>
      <c r="N196" s="137"/>
      <c r="O196" s="137"/>
      <c r="P196" s="137"/>
      <c r="Q196" s="137"/>
      <c r="R196" s="137"/>
      <c r="S196" s="137"/>
      <c r="T196" s="137"/>
      <c r="U196" s="152"/>
    </row>
    <row r="197" spans="1:21" ht="16">
      <c r="A197" s="6" t="s">
        <v>800</v>
      </c>
      <c r="B197" s="292">
        <v>37900814</v>
      </c>
      <c r="C197" s="293" t="s">
        <v>1590</v>
      </c>
      <c r="D197" s="292"/>
      <c r="E197" s="137"/>
      <c r="F197" s="137"/>
      <c r="G197" s="137"/>
      <c r="H197" s="137"/>
      <c r="I197" s="6"/>
      <c r="J197" s="137"/>
      <c r="K197" s="137"/>
      <c r="L197" s="137"/>
      <c r="M197" s="137"/>
      <c r="N197" s="137"/>
      <c r="O197" s="137"/>
      <c r="P197" s="137"/>
      <c r="Q197" s="137"/>
      <c r="R197" s="137"/>
      <c r="S197" s="137"/>
      <c r="T197" s="137"/>
      <c r="U197" s="152"/>
    </row>
    <row r="198" spans="1:21" ht="16">
      <c r="A198" s="2" t="s">
        <v>804</v>
      </c>
      <c r="B198" s="137">
        <v>22108914</v>
      </c>
      <c r="C198" s="161" t="s">
        <v>1591</v>
      </c>
      <c r="D198" s="159">
        <v>45301</v>
      </c>
      <c r="E198" s="159">
        <v>45293</v>
      </c>
      <c r="F198" s="159">
        <v>45322</v>
      </c>
      <c r="G198" s="159">
        <v>45295</v>
      </c>
      <c r="H198" s="137">
        <v>63.6</v>
      </c>
      <c r="I198" s="23">
        <v>45289</v>
      </c>
      <c r="J198" s="152">
        <v>63.2</v>
      </c>
      <c r="K198" s="152">
        <v>31.9</v>
      </c>
      <c r="L198" s="152">
        <v>1950</v>
      </c>
      <c r="M198" s="152">
        <v>980</v>
      </c>
      <c r="N198" s="152">
        <v>40.799999999999997</v>
      </c>
      <c r="O198" s="152">
        <v>1266</v>
      </c>
      <c r="P198" s="152">
        <v>18.5</v>
      </c>
      <c r="Q198" s="152">
        <v>574</v>
      </c>
      <c r="R198" s="152">
        <v>2.2000000000000002</v>
      </c>
      <c r="S198" s="152"/>
      <c r="T198" s="152"/>
      <c r="U198" s="152"/>
    </row>
    <row r="199" spans="1:21" ht="16">
      <c r="A199" s="2" t="s">
        <v>807</v>
      </c>
      <c r="B199" s="137">
        <v>22108784</v>
      </c>
      <c r="C199" s="161" t="s">
        <v>847</v>
      </c>
      <c r="D199" s="183">
        <v>45279</v>
      </c>
      <c r="E199" s="159">
        <v>45275</v>
      </c>
      <c r="F199" s="159">
        <v>45286</v>
      </c>
      <c r="G199" s="159">
        <v>45278</v>
      </c>
      <c r="H199" s="137">
        <v>231</v>
      </c>
      <c r="I199" s="23">
        <v>45272</v>
      </c>
      <c r="J199" s="152">
        <v>73.099999999999994</v>
      </c>
      <c r="K199" s="152">
        <v>16.2</v>
      </c>
      <c r="L199" s="152">
        <v>3245</v>
      </c>
      <c r="M199" s="152">
        <v>704</v>
      </c>
      <c r="N199" s="152">
        <v>32</v>
      </c>
      <c r="O199" s="152">
        <v>1453</v>
      </c>
      <c r="P199" s="152">
        <v>34.299999999999997</v>
      </c>
      <c r="Q199" s="152">
        <v>1556</v>
      </c>
      <c r="R199" s="152">
        <v>0.9</v>
      </c>
      <c r="S199" s="152">
        <v>9.9</v>
      </c>
      <c r="T199" s="152">
        <v>431</v>
      </c>
      <c r="U199" s="152"/>
    </row>
    <row r="200" spans="1:21" ht="16">
      <c r="A200" s="2" t="s">
        <v>811</v>
      </c>
      <c r="B200" s="137">
        <v>22109526</v>
      </c>
      <c r="C200" s="161" t="s">
        <v>1602</v>
      </c>
      <c r="D200" s="159">
        <v>45447</v>
      </c>
      <c r="E200" s="159">
        <v>45429</v>
      </c>
      <c r="F200" s="159">
        <v>45433</v>
      </c>
      <c r="G200" s="159">
        <v>45426</v>
      </c>
      <c r="H200" s="137">
        <v>39.700000000000003</v>
      </c>
      <c r="I200" s="23">
        <v>45426</v>
      </c>
      <c r="J200" s="152">
        <v>60.9</v>
      </c>
      <c r="K200" s="152">
        <v>27.6</v>
      </c>
      <c r="L200" s="152">
        <v>2301</v>
      </c>
      <c r="M200" s="152">
        <v>1058</v>
      </c>
      <c r="N200" s="152">
        <v>30.2</v>
      </c>
      <c r="O200" s="152">
        <v>1126</v>
      </c>
      <c r="P200" s="152">
        <v>25.1</v>
      </c>
      <c r="Q200" s="152">
        <v>936</v>
      </c>
      <c r="R200" s="152">
        <v>1.2</v>
      </c>
      <c r="S200" s="152">
        <v>9.9</v>
      </c>
      <c r="T200" s="152">
        <v>379</v>
      </c>
      <c r="U200" s="152"/>
    </row>
    <row r="201" spans="1:21" ht="16">
      <c r="A201" s="2" t="s">
        <v>815</v>
      </c>
      <c r="B201" s="137">
        <v>22109482</v>
      </c>
      <c r="C201" s="161" t="s">
        <v>1603</v>
      </c>
      <c r="D201" s="137"/>
      <c r="E201" s="137"/>
      <c r="F201" s="137"/>
      <c r="G201" s="137"/>
      <c r="H201" s="137"/>
      <c r="I201" s="2"/>
      <c r="J201" s="152"/>
      <c r="K201" s="152"/>
      <c r="L201" s="152"/>
      <c r="M201" s="152"/>
      <c r="N201" s="152"/>
      <c r="O201" s="152"/>
      <c r="P201" s="152"/>
      <c r="Q201" s="152"/>
      <c r="R201" s="152"/>
      <c r="S201" s="152"/>
      <c r="T201" s="152"/>
      <c r="U201" s="152"/>
    </row>
    <row r="202" spans="1:21" ht="16">
      <c r="A202" s="2" t="s">
        <v>818</v>
      </c>
      <c r="B202" s="137">
        <v>22109057</v>
      </c>
      <c r="C202" s="161" t="s">
        <v>819</v>
      </c>
      <c r="D202" s="159">
        <v>45289</v>
      </c>
      <c r="E202" s="159">
        <v>45286</v>
      </c>
      <c r="F202" s="159">
        <v>45293</v>
      </c>
      <c r="G202" s="159">
        <v>45287</v>
      </c>
      <c r="H202" s="137">
        <v>98.2</v>
      </c>
      <c r="I202" s="55">
        <v>45285</v>
      </c>
      <c r="J202" s="152">
        <v>68.5</v>
      </c>
      <c r="K202" s="152">
        <v>23.1</v>
      </c>
      <c r="L202" s="152">
        <v>3631</v>
      </c>
      <c r="M202" s="152">
        <v>1214</v>
      </c>
      <c r="N202" s="152">
        <v>38.700000000000003</v>
      </c>
      <c r="O202" s="152">
        <v>2072</v>
      </c>
      <c r="P202" s="152">
        <v>26</v>
      </c>
      <c r="Q202" s="152">
        <v>1394</v>
      </c>
      <c r="R202" s="152">
        <v>1.5</v>
      </c>
      <c r="S202" s="152">
        <v>6.6</v>
      </c>
      <c r="T202" s="152">
        <v>346</v>
      </c>
      <c r="U202" s="152"/>
    </row>
    <row r="203" spans="1:21" ht="16">
      <c r="A203" s="2" t="s">
        <v>822</v>
      </c>
      <c r="B203" s="137">
        <v>22109404</v>
      </c>
      <c r="C203" s="161" t="s">
        <v>1609</v>
      </c>
      <c r="D203" s="137"/>
      <c r="E203" s="137"/>
      <c r="F203" s="137"/>
      <c r="G203" s="137"/>
      <c r="H203" s="137"/>
      <c r="I203" s="2"/>
      <c r="J203" s="152"/>
      <c r="K203" s="152"/>
      <c r="L203" s="152"/>
      <c r="M203" s="152"/>
      <c r="N203" s="152"/>
      <c r="O203" s="152"/>
      <c r="P203" s="152"/>
      <c r="Q203" s="152"/>
      <c r="R203" s="152"/>
      <c r="S203" s="152"/>
      <c r="T203" s="152"/>
      <c r="U203" s="152"/>
    </row>
    <row r="204" spans="1:21" ht="16">
      <c r="A204" s="2" t="s">
        <v>825</v>
      </c>
      <c r="B204" s="137">
        <v>22107380</v>
      </c>
      <c r="C204" s="161" t="s">
        <v>826</v>
      </c>
      <c r="D204" s="137"/>
      <c r="E204" s="137"/>
      <c r="F204" s="137"/>
      <c r="G204" s="137"/>
      <c r="H204" s="137"/>
      <c r="I204" s="2"/>
      <c r="J204" s="152"/>
      <c r="K204" s="152"/>
      <c r="L204" s="152"/>
      <c r="M204" s="152"/>
      <c r="N204" s="152"/>
      <c r="O204" s="152"/>
      <c r="P204" s="152"/>
      <c r="Q204" s="152"/>
      <c r="R204" s="152"/>
      <c r="S204" s="152"/>
      <c r="T204" s="152"/>
      <c r="U204" s="152"/>
    </row>
    <row r="205" spans="1:21" ht="16">
      <c r="A205" s="2" t="s">
        <v>829</v>
      </c>
      <c r="B205" s="137">
        <v>22108775</v>
      </c>
      <c r="C205" s="161" t="s">
        <v>1613</v>
      </c>
      <c r="D205" s="159">
        <v>45356</v>
      </c>
      <c r="E205" s="159">
        <v>45351</v>
      </c>
      <c r="F205" s="137"/>
      <c r="G205" s="159">
        <v>45355</v>
      </c>
      <c r="H205" s="137">
        <v>56.1</v>
      </c>
      <c r="I205" s="23">
        <v>45349</v>
      </c>
      <c r="J205" s="152">
        <v>73.3</v>
      </c>
      <c r="K205" s="152">
        <v>16.5</v>
      </c>
      <c r="L205" s="152">
        <v>3719</v>
      </c>
      <c r="M205" s="152">
        <v>823</v>
      </c>
      <c r="N205" s="152">
        <v>27.3</v>
      </c>
      <c r="O205" s="152">
        <v>1403</v>
      </c>
      <c r="P205" s="152">
        <v>39.200000000000003</v>
      </c>
      <c r="Q205" s="152">
        <v>2015</v>
      </c>
      <c r="R205" s="152">
        <v>0.7</v>
      </c>
      <c r="S205" s="152">
        <v>7.7</v>
      </c>
      <c r="T205" s="152">
        <v>386</v>
      </c>
      <c r="U205" s="152">
        <v>0.7</v>
      </c>
    </row>
    <row r="206" spans="1:21" ht="16">
      <c r="A206" s="2" t="s">
        <v>833</v>
      </c>
      <c r="B206" s="137">
        <v>22103595</v>
      </c>
      <c r="C206" s="161" t="s">
        <v>834</v>
      </c>
      <c r="D206" s="159">
        <v>44804</v>
      </c>
      <c r="E206" s="159">
        <v>44796</v>
      </c>
      <c r="F206" s="159">
        <v>44799</v>
      </c>
      <c r="G206" s="159">
        <v>44797</v>
      </c>
      <c r="H206" s="137">
        <v>25.6</v>
      </c>
      <c r="I206" s="23">
        <v>44790</v>
      </c>
      <c r="J206" s="160">
        <v>64.3</v>
      </c>
      <c r="K206" s="137">
        <v>23.2</v>
      </c>
      <c r="L206" s="137">
        <v>2444</v>
      </c>
      <c r="M206" s="137">
        <v>883</v>
      </c>
      <c r="N206" s="137">
        <v>45.4</v>
      </c>
      <c r="O206" s="137">
        <v>1728</v>
      </c>
      <c r="P206" s="137">
        <v>14.4</v>
      </c>
      <c r="Q206" s="137">
        <v>547</v>
      </c>
      <c r="R206" s="137">
        <v>3.2</v>
      </c>
      <c r="S206" s="137">
        <v>10.9</v>
      </c>
      <c r="T206" s="137">
        <v>414</v>
      </c>
      <c r="U206" s="152"/>
    </row>
    <row r="207" spans="1:21" ht="16">
      <c r="A207" s="2" t="s">
        <v>838</v>
      </c>
      <c r="B207" s="137">
        <v>22109382</v>
      </c>
      <c r="C207" s="161" t="s">
        <v>839</v>
      </c>
      <c r="D207" s="159">
        <v>45266</v>
      </c>
      <c r="E207" s="159">
        <v>45258</v>
      </c>
      <c r="F207" s="159">
        <v>45265</v>
      </c>
      <c r="G207" s="159">
        <v>45258</v>
      </c>
      <c r="H207" s="137">
        <v>119</v>
      </c>
      <c r="I207" s="23">
        <v>45257</v>
      </c>
      <c r="J207" s="152">
        <v>53.8</v>
      </c>
      <c r="K207" s="152">
        <v>34.799999999999997</v>
      </c>
      <c r="L207" s="152">
        <v>4186</v>
      </c>
      <c r="M207" s="152">
        <v>2740</v>
      </c>
      <c r="N207" s="152">
        <v>33.700000000000003</v>
      </c>
      <c r="O207" s="152">
        <v>2590</v>
      </c>
      <c r="P207" s="152">
        <v>17.600000000000001</v>
      </c>
      <c r="Q207" s="152">
        <v>1353</v>
      </c>
      <c r="R207" s="152">
        <v>1.9</v>
      </c>
      <c r="S207" s="152">
        <v>9</v>
      </c>
      <c r="T207" s="152">
        <v>710</v>
      </c>
      <c r="U207" s="152"/>
    </row>
    <row r="208" spans="1:21" ht="16">
      <c r="B208" s="137"/>
      <c r="C208" s="137"/>
      <c r="D208" s="137"/>
      <c r="E208" s="137"/>
      <c r="F208" s="137"/>
      <c r="G208" s="137"/>
      <c r="H208" s="137"/>
      <c r="J208" s="152"/>
      <c r="K208" s="152"/>
      <c r="L208" s="152"/>
      <c r="M208" s="152"/>
      <c r="N208" s="152"/>
      <c r="O208" s="152"/>
      <c r="P208" s="152"/>
      <c r="Q208" s="152"/>
      <c r="R208" s="152"/>
      <c r="S208" s="152"/>
      <c r="T208" s="152"/>
      <c r="U208" s="152"/>
    </row>
  </sheetData>
  <autoFilter ref="A1:AT207" xr:uid="{00000000-0009-0000-0000-000005000000}">
    <sortState xmlns:xlrd2="http://schemas.microsoft.com/office/spreadsheetml/2017/richdata2" ref="A2:AT207">
      <sortCondition ref="A1:A207"/>
    </sortState>
  </autoFilter>
  <phoneticPr fontId="3" type="noConversion"/>
  <pageMargins left="0.7" right="0.7" top="0.75" bottom="0.75" header="0.3" footer="0.3"/>
  <pageSetup paperSize="9"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L231"/>
  <sheetViews>
    <sheetView tabSelected="1" zoomScaleNormal="90" workbookViewId="0">
      <pane xSplit="3" ySplit="1" topLeftCell="AH183" activePane="bottomRight" state="frozen"/>
      <selection pane="topRight" activeCell="D1" sqref="D1"/>
      <selection pane="bottomLeft" activeCell="A2" sqref="A2"/>
      <selection pane="bottomRight" activeCell="AI192" sqref="AI192"/>
    </sheetView>
  </sheetViews>
  <sheetFormatPr baseColWidth="10" defaultColWidth="11.5" defaultRowHeight="15"/>
  <sheetData>
    <row r="1" spans="1:106" ht="18">
      <c r="A1" s="1" t="s">
        <v>0</v>
      </c>
      <c r="B1" s="137" t="s">
        <v>850</v>
      </c>
      <c r="C1" s="137" t="s">
        <v>851</v>
      </c>
      <c r="D1" s="138" t="s">
        <v>852</v>
      </c>
      <c r="E1" s="139" t="s">
        <v>853</v>
      </c>
      <c r="F1" s="139" t="s">
        <v>854</v>
      </c>
      <c r="G1" s="139" t="s">
        <v>855</v>
      </c>
      <c r="H1" s="140" t="s">
        <v>856</v>
      </c>
      <c r="I1" s="141" t="s">
        <v>857</v>
      </c>
      <c r="J1" s="141" t="s">
        <v>858</v>
      </c>
      <c r="K1" s="141" t="s">
        <v>1797</v>
      </c>
      <c r="L1" s="141" t="s">
        <v>1798</v>
      </c>
      <c r="M1" s="141" t="s">
        <v>1799</v>
      </c>
      <c r="N1" s="141" t="s">
        <v>859</v>
      </c>
      <c r="O1" s="141" t="s">
        <v>860</v>
      </c>
      <c r="P1" s="141" t="s">
        <v>861</v>
      </c>
      <c r="Q1" s="141" t="s">
        <v>862</v>
      </c>
      <c r="R1" s="141" t="s">
        <v>863</v>
      </c>
      <c r="S1" s="141" t="s">
        <v>864</v>
      </c>
      <c r="T1" s="141" t="s">
        <v>865</v>
      </c>
      <c r="U1" s="141" t="s">
        <v>866</v>
      </c>
      <c r="V1" s="141" t="s">
        <v>867</v>
      </c>
      <c r="W1" s="141" t="s">
        <v>868</v>
      </c>
      <c r="X1" s="141" t="s">
        <v>869</v>
      </c>
      <c r="Y1" s="141" t="s">
        <v>870</v>
      </c>
      <c r="Z1" s="142" t="s">
        <v>871</v>
      </c>
      <c r="AA1" s="142" t="s">
        <v>872</v>
      </c>
      <c r="AB1" s="142" t="s">
        <v>873</v>
      </c>
      <c r="AC1" s="142" t="s">
        <v>874</v>
      </c>
      <c r="AD1" s="142" t="s">
        <v>875</v>
      </c>
      <c r="AE1" s="143" t="s">
        <v>876</v>
      </c>
      <c r="AF1" s="144" t="s">
        <v>877</v>
      </c>
      <c r="AG1" s="144" t="s">
        <v>878</v>
      </c>
      <c r="AH1" s="145" t="s">
        <v>876</v>
      </c>
      <c r="AI1" s="146" t="s">
        <v>1819</v>
      </c>
      <c r="AJ1" s="146" t="s">
        <v>879</v>
      </c>
      <c r="AK1" s="146" t="s">
        <v>880</v>
      </c>
      <c r="AL1" s="146" t="s">
        <v>881</v>
      </c>
      <c r="AM1" s="146" t="s">
        <v>882</v>
      </c>
      <c r="AN1" s="146" t="s">
        <v>883</v>
      </c>
      <c r="AO1" s="146" t="s">
        <v>884</v>
      </c>
      <c r="AP1" s="146" t="s">
        <v>885</v>
      </c>
      <c r="AQ1" s="146" t="s">
        <v>886</v>
      </c>
      <c r="AR1" s="137" t="s">
        <v>2201</v>
      </c>
      <c r="AS1" s="147" t="s">
        <v>888</v>
      </c>
      <c r="AT1" s="147" t="s">
        <v>889</v>
      </c>
      <c r="AU1" s="147" t="s">
        <v>890</v>
      </c>
      <c r="AV1" s="147" t="s">
        <v>891</v>
      </c>
      <c r="AW1" s="147" t="s">
        <v>892</v>
      </c>
      <c r="AX1" s="147" t="s">
        <v>893</v>
      </c>
      <c r="AY1" s="148" t="s">
        <v>894</v>
      </c>
      <c r="AZ1" s="148" t="s">
        <v>895</v>
      </c>
      <c r="BA1" s="148" t="s">
        <v>896</v>
      </c>
      <c r="BB1" s="148" t="s">
        <v>897</v>
      </c>
      <c r="BC1" s="148" t="s">
        <v>898</v>
      </c>
      <c r="BD1" s="148" t="s">
        <v>899</v>
      </c>
      <c r="BE1" s="148" t="s">
        <v>900</v>
      </c>
      <c r="BF1" s="148" t="s">
        <v>901</v>
      </c>
      <c r="BG1" s="148" t="s">
        <v>902</v>
      </c>
      <c r="BH1" s="148" t="s">
        <v>903</v>
      </c>
      <c r="BI1" s="148" t="s">
        <v>904</v>
      </c>
      <c r="BJ1" s="148" t="s">
        <v>905</v>
      </c>
      <c r="BK1" s="149" t="s">
        <v>906</v>
      </c>
      <c r="BL1" s="149" t="s">
        <v>907</v>
      </c>
      <c r="BM1" s="149" t="s">
        <v>908</v>
      </c>
      <c r="BN1" s="149" t="s">
        <v>909</v>
      </c>
      <c r="BO1" s="149" t="s">
        <v>910</v>
      </c>
      <c r="BP1" s="149" t="s">
        <v>911</v>
      </c>
      <c r="BQ1" s="149" t="s">
        <v>912</v>
      </c>
      <c r="BR1" s="149" t="s">
        <v>913</v>
      </c>
      <c r="BS1" s="149" t="s">
        <v>914</v>
      </c>
      <c r="BT1" s="149" t="s">
        <v>915</v>
      </c>
      <c r="BU1" s="149" t="s">
        <v>916</v>
      </c>
      <c r="BV1" s="149" t="s">
        <v>917</v>
      </c>
      <c r="BW1" s="150" t="s">
        <v>1858</v>
      </c>
      <c r="BX1" s="150" t="s">
        <v>918</v>
      </c>
      <c r="BY1" s="150" t="s">
        <v>919</v>
      </c>
      <c r="BZ1" s="151" t="s">
        <v>1860</v>
      </c>
      <c r="CA1" s="151" t="s">
        <v>1861</v>
      </c>
      <c r="CB1" s="151" t="s">
        <v>1862</v>
      </c>
      <c r="CC1" s="151" t="s">
        <v>920</v>
      </c>
      <c r="CD1" s="151" t="s">
        <v>921</v>
      </c>
      <c r="CE1" s="151" t="s">
        <v>922</v>
      </c>
      <c r="CF1" s="151" t="s">
        <v>923</v>
      </c>
      <c r="CG1" s="151" t="s">
        <v>924</v>
      </c>
      <c r="CH1" s="151" t="s">
        <v>925</v>
      </c>
      <c r="CI1" s="151" t="s">
        <v>926</v>
      </c>
      <c r="CJ1" s="151" t="s">
        <v>927</v>
      </c>
      <c r="CK1" s="151" t="s">
        <v>928</v>
      </c>
      <c r="CL1" s="151" t="s">
        <v>929</v>
      </c>
      <c r="CM1" s="151" t="s">
        <v>930</v>
      </c>
      <c r="CN1" s="151" t="s">
        <v>931</v>
      </c>
      <c r="CO1" s="151" t="s">
        <v>932</v>
      </c>
      <c r="CP1" s="151" t="s">
        <v>933</v>
      </c>
      <c r="CQ1" s="151" t="s">
        <v>934</v>
      </c>
      <c r="CR1" s="151" t="s">
        <v>935</v>
      </c>
      <c r="CS1" s="151" t="s">
        <v>936</v>
      </c>
      <c r="CT1" s="151" t="s">
        <v>937</v>
      </c>
      <c r="CU1" s="151" t="s">
        <v>938</v>
      </c>
      <c r="CV1" s="151" t="s">
        <v>939</v>
      </c>
      <c r="CW1" s="151" t="s">
        <v>940</v>
      </c>
      <c r="CX1" s="151" t="s">
        <v>941</v>
      </c>
      <c r="CY1" s="151" t="s">
        <v>942</v>
      </c>
      <c r="CZ1" s="151" t="s">
        <v>943</v>
      </c>
      <c r="DA1" s="137" t="s">
        <v>944</v>
      </c>
      <c r="DB1" s="152"/>
    </row>
    <row r="2" spans="1:106" s="110" customFormat="1" ht="16">
      <c r="A2" s="107" t="s">
        <v>15</v>
      </c>
      <c r="B2" s="153">
        <v>22104031</v>
      </c>
      <c r="C2" s="154" t="s">
        <v>945</v>
      </c>
      <c r="D2" s="155">
        <v>44160</v>
      </c>
      <c r="E2" s="153">
        <v>67.8</v>
      </c>
      <c r="F2" s="153">
        <v>3.9</v>
      </c>
      <c r="G2" s="156">
        <v>8.48</v>
      </c>
      <c r="H2" s="153">
        <v>42</v>
      </c>
      <c r="I2" s="153">
        <v>39</v>
      </c>
      <c r="J2" s="153">
        <v>3</v>
      </c>
      <c r="K2" s="153">
        <v>0</v>
      </c>
      <c r="L2" s="153">
        <v>1</v>
      </c>
      <c r="M2" s="153">
        <v>0</v>
      </c>
      <c r="N2" s="153">
        <v>9</v>
      </c>
      <c r="O2" s="153">
        <v>10</v>
      </c>
      <c r="P2" s="153">
        <v>4020</v>
      </c>
      <c r="Q2" s="153">
        <v>52.5</v>
      </c>
      <c r="R2" s="153">
        <v>35</v>
      </c>
      <c r="S2" s="153">
        <v>36</v>
      </c>
      <c r="T2" s="155">
        <v>30399</v>
      </c>
      <c r="U2" s="153">
        <v>37.15</v>
      </c>
      <c r="V2" s="153">
        <v>3</v>
      </c>
      <c r="W2" s="153">
        <v>0</v>
      </c>
      <c r="X2" s="153">
        <v>1</v>
      </c>
      <c r="Y2" s="153">
        <v>3</v>
      </c>
      <c r="Z2" s="153">
        <v>0</v>
      </c>
      <c r="AA2" s="153">
        <v>0</v>
      </c>
      <c r="AB2" s="153">
        <v>1</v>
      </c>
      <c r="AC2" s="153">
        <v>0</v>
      </c>
      <c r="AD2" s="153">
        <v>0</v>
      </c>
      <c r="AE2" s="153">
        <v>0</v>
      </c>
      <c r="AF2" s="153">
        <v>0</v>
      </c>
      <c r="AG2" s="153">
        <v>0</v>
      </c>
      <c r="AH2" s="153">
        <v>0</v>
      </c>
      <c r="AI2" s="153">
        <v>1</v>
      </c>
      <c r="AJ2" s="153">
        <v>0</v>
      </c>
      <c r="AK2" s="153">
        <v>0</v>
      </c>
      <c r="AL2" s="153">
        <v>0</v>
      </c>
      <c r="AM2" s="153">
        <v>0</v>
      </c>
      <c r="AN2" s="153">
        <v>0</v>
      </c>
      <c r="AO2" s="153">
        <v>0</v>
      </c>
      <c r="AP2" s="153">
        <v>1</v>
      </c>
      <c r="AQ2" s="153">
        <v>10</v>
      </c>
      <c r="AR2" s="153">
        <v>1</v>
      </c>
      <c r="AS2" s="153">
        <v>1</v>
      </c>
      <c r="AT2" s="153">
        <v>0</v>
      </c>
      <c r="AU2" s="153">
        <v>1</v>
      </c>
      <c r="AV2" s="153">
        <v>0</v>
      </c>
      <c r="AW2" s="153">
        <v>0</v>
      </c>
      <c r="AX2" s="153">
        <v>0</v>
      </c>
      <c r="AY2" s="153">
        <v>0</v>
      </c>
      <c r="AZ2" s="153">
        <v>0</v>
      </c>
      <c r="BA2" s="153">
        <v>0</v>
      </c>
      <c r="BB2" s="153">
        <v>0</v>
      </c>
      <c r="BC2" s="153">
        <v>0</v>
      </c>
      <c r="BD2" s="153">
        <v>0</v>
      </c>
      <c r="BE2" s="153">
        <v>0</v>
      </c>
      <c r="BF2" s="153">
        <v>0</v>
      </c>
      <c r="BG2" s="153">
        <v>0</v>
      </c>
      <c r="BH2" s="153">
        <v>0</v>
      </c>
      <c r="BI2" s="153">
        <v>0</v>
      </c>
      <c r="BJ2" s="153">
        <v>0</v>
      </c>
      <c r="BK2" s="153">
        <v>0</v>
      </c>
      <c r="BL2" s="153">
        <v>0</v>
      </c>
      <c r="BM2" s="153">
        <v>0</v>
      </c>
      <c r="BN2" s="153">
        <v>0</v>
      </c>
      <c r="BO2" s="153">
        <v>0</v>
      </c>
      <c r="BP2" s="153">
        <v>0</v>
      </c>
      <c r="BQ2" s="153">
        <v>0</v>
      </c>
      <c r="BR2" s="153">
        <v>0</v>
      </c>
      <c r="BS2" s="153">
        <v>0</v>
      </c>
      <c r="BT2" s="153">
        <v>0</v>
      </c>
      <c r="BU2" s="153">
        <v>0</v>
      </c>
      <c r="BV2" s="153">
        <v>0</v>
      </c>
      <c r="BW2" s="153">
        <v>0</v>
      </c>
      <c r="BX2" s="153">
        <v>0</v>
      </c>
      <c r="BY2" s="153">
        <v>0</v>
      </c>
      <c r="BZ2" s="153">
        <v>1</v>
      </c>
      <c r="CA2" s="153" t="s">
        <v>946</v>
      </c>
      <c r="CB2" s="153">
        <v>0</v>
      </c>
      <c r="CC2" s="153" t="s">
        <v>947</v>
      </c>
      <c r="CD2" s="153">
        <v>1</v>
      </c>
      <c r="CE2" s="153" t="s">
        <v>948</v>
      </c>
      <c r="CF2" s="157" t="s">
        <v>949</v>
      </c>
      <c r="CG2" s="153">
        <v>1</v>
      </c>
      <c r="CH2" s="153" t="s">
        <v>950</v>
      </c>
      <c r="CI2" s="153">
        <v>0</v>
      </c>
      <c r="CJ2" s="153" t="s">
        <v>947</v>
      </c>
      <c r="CK2" s="153" t="s">
        <v>947</v>
      </c>
      <c r="CL2" s="153">
        <v>0</v>
      </c>
      <c r="CM2" s="153" t="s">
        <v>947</v>
      </c>
      <c r="CN2" s="153" t="s">
        <v>947</v>
      </c>
      <c r="CO2" s="153">
        <v>0</v>
      </c>
      <c r="CP2" s="153" t="s">
        <v>947</v>
      </c>
      <c r="CQ2" s="153" t="s">
        <v>947</v>
      </c>
      <c r="CR2" s="153">
        <v>0</v>
      </c>
      <c r="CS2" s="153" t="s">
        <v>947</v>
      </c>
      <c r="CT2" s="153" t="s">
        <v>947</v>
      </c>
      <c r="CU2" s="153">
        <v>1</v>
      </c>
      <c r="CV2" s="153" t="s">
        <v>951</v>
      </c>
      <c r="CW2" s="157" t="s">
        <v>952</v>
      </c>
      <c r="CX2" s="153">
        <v>1</v>
      </c>
      <c r="CY2" s="153"/>
      <c r="CZ2" s="153">
        <v>2</v>
      </c>
      <c r="DA2" s="153"/>
      <c r="DB2" s="158"/>
    </row>
    <row r="3" spans="1:106" ht="16">
      <c r="A3" s="1" t="s">
        <v>21</v>
      </c>
      <c r="B3" s="137">
        <v>22103764</v>
      </c>
      <c r="C3" s="152" t="s">
        <v>953</v>
      </c>
      <c r="D3" s="159">
        <v>44132</v>
      </c>
      <c r="E3" s="137">
        <v>61.1</v>
      </c>
      <c r="F3" s="137">
        <v>6.3</v>
      </c>
      <c r="G3" s="160">
        <v>16.88</v>
      </c>
      <c r="H3" s="137">
        <v>42</v>
      </c>
      <c r="I3" s="137">
        <v>38</v>
      </c>
      <c r="J3" s="137">
        <v>0</v>
      </c>
      <c r="K3" s="137">
        <v>0</v>
      </c>
      <c r="L3" s="137">
        <v>2</v>
      </c>
      <c r="M3" s="137">
        <v>0</v>
      </c>
      <c r="N3" s="137">
        <v>9</v>
      </c>
      <c r="O3" s="137">
        <v>10</v>
      </c>
      <c r="P3" s="137">
        <v>2810</v>
      </c>
      <c r="Q3" s="137">
        <v>47</v>
      </c>
      <c r="R3" s="137">
        <v>33</v>
      </c>
      <c r="S3" s="137">
        <v>31</v>
      </c>
      <c r="T3" s="159">
        <v>36126</v>
      </c>
      <c r="U3" s="137">
        <v>21.4</v>
      </c>
      <c r="V3" s="137">
        <v>2</v>
      </c>
      <c r="W3" s="137">
        <v>0</v>
      </c>
      <c r="X3" s="137">
        <v>1</v>
      </c>
      <c r="Y3" s="137">
        <v>2</v>
      </c>
      <c r="Z3" s="137">
        <v>0</v>
      </c>
      <c r="AA3" s="137">
        <v>0</v>
      </c>
      <c r="AB3" s="137">
        <v>0</v>
      </c>
      <c r="AC3" s="137">
        <v>0</v>
      </c>
      <c r="AD3" s="137">
        <v>0</v>
      </c>
      <c r="AE3" s="137">
        <v>0</v>
      </c>
      <c r="AF3" s="137">
        <v>0</v>
      </c>
      <c r="AG3" s="137">
        <v>0</v>
      </c>
      <c r="AH3" s="137">
        <v>0</v>
      </c>
      <c r="AI3" s="137">
        <v>0</v>
      </c>
      <c r="AJ3" s="137">
        <v>0</v>
      </c>
      <c r="AK3" s="137">
        <v>0</v>
      </c>
      <c r="AL3" s="137">
        <v>0</v>
      </c>
      <c r="AM3" s="137">
        <v>0</v>
      </c>
      <c r="AN3" s="137">
        <v>0</v>
      </c>
      <c r="AO3" s="137">
        <v>0</v>
      </c>
      <c r="AP3" s="137">
        <v>0</v>
      </c>
      <c r="AQ3" s="137">
        <v>0</v>
      </c>
      <c r="AR3" s="137" t="s">
        <v>954</v>
      </c>
      <c r="AS3" s="137">
        <v>1</v>
      </c>
      <c r="AT3" s="137">
        <v>0</v>
      </c>
      <c r="AU3" s="137">
        <v>1</v>
      </c>
      <c r="AV3" s="137">
        <v>0</v>
      </c>
      <c r="AW3" s="137">
        <v>0</v>
      </c>
      <c r="AX3" s="137">
        <v>0</v>
      </c>
      <c r="AY3" s="137">
        <v>1</v>
      </c>
      <c r="AZ3" s="137">
        <v>0</v>
      </c>
      <c r="BA3" s="137">
        <v>0</v>
      </c>
      <c r="BB3" s="137">
        <v>1</v>
      </c>
      <c r="BC3" s="137">
        <v>0</v>
      </c>
      <c r="BD3" s="137">
        <v>0</v>
      </c>
      <c r="BE3" s="137">
        <v>0</v>
      </c>
      <c r="BF3" s="137">
        <v>0</v>
      </c>
      <c r="BG3" s="137">
        <v>0</v>
      </c>
      <c r="BH3" s="137">
        <v>0</v>
      </c>
      <c r="BI3" s="137">
        <v>0</v>
      </c>
      <c r="BJ3" s="137">
        <v>0</v>
      </c>
      <c r="BK3" s="137">
        <v>1</v>
      </c>
      <c r="BL3" s="137">
        <v>0</v>
      </c>
      <c r="BM3" s="137">
        <v>0</v>
      </c>
      <c r="BN3" s="137">
        <v>1</v>
      </c>
      <c r="BO3" s="137">
        <v>0</v>
      </c>
      <c r="BP3" s="137">
        <v>0</v>
      </c>
      <c r="BQ3" s="137">
        <v>0</v>
      </c>
      <c r="BR3" s="137">
        <v>0</v>
      </c>
      <c r="BS3" s="137">
        <v>0</v>
      </c>
      <c r="BT3" s="137">
        <v>0</v>
      </c>
      <c r="BU3" s="137">
        <v>0</v>
      </c>
      <c r="BV3" s="137">
        <v>0</v>
      </c>
      <c r="BW3" s="137">
        <v>0</v>
      </c>
      <c r="BX3" s="137">
        <v>0</v>
      </c>
      <c r="BY3" s="137">
        <v>0</v>
      </c>
      <c r="BZ3" s="137">
        <v>1</v>
      </c>
      <c r="CA3" s="137" t="s">
        <v>955</v>
      </c>
      <c r="CB3" s="137">
        <v>0</v>
      </c>
      <c r="CC3" s="137" t="s">
        <v>947</v>
      </c>
      <c r="CD3" s="137">
        <v>1</v>
      </c>
      <c r="CE3" s="137" t="s">
        <v>956</v>
      </c>
      <c r="CF3" s="161" t="s">
        <v>957</v>
      </c>
      <c r="CG3" s="137">
        <v>0</v>
      </c>
      <c r="CH3" s="137" t="s">
        <v>947</v>
      </c>
      <c r="CI3" s="137">
        <v>0</v>
      </c>
      <c r="CJ3" s="137" t="s">
        <v>947</v>
      </c>
      <c r="CK3" s="137" t="s">
        <v>947</v>
      </c>
      <c r="CL3" s="137">
        <v>0</v>
      </c>
      <c r="CM3" s="137" t="s">
        <v>947</v>
      </c>
      <c r="CN3" s="137" t="s">
        <v>947</v>
      </c>
      <c r="CO3" s="137" t="s">
        <v>958</v>
      </c>
      <c r="CP3" s="137" t="s">
        <v>950</v>
      </c>
      <c r="CQ3" s="137" t="s">
        <v>959</v>
      </c>
      <c r="CR3" s="137">
        <v>0</v>
      </c>
      <c r="CS3" s="137" t="s">
        <v>947</v>
      </c>
      <c r="CT3" s="137" t="s">
        <v>947</v>
      </c>
      <c r="CU3" s="137">
        <v>1</v>
      </c>
      <c r="CV3" s="137" t="s">
        <v>960</v>
      </c>
      <c r="CW3" s="161" t="s">
        <v>961</v>
      </c>
      <c r="CX3" s="137">
        <v>1</v>
      </c>
      <c r="CY3" s="137" t="s">
        <v>962</v>
      </c>
      <c r="CZ3" s="137">
        <v>2</v>
      </c>
      <c r="DA3" s="137"/>
      <c r="DB3" s="152"/>
    </row>
    <row r="4" spans="1:106" ht="16">
      <c r="A4" s="1" t="s">
        <v>26</v>
      </c>
      <c r="B4" s="137">
        <v>22103833</v>
      </c>
      <c r="C4" s="161" t="s">
        <v>963</v>
      </c>
      <c r="D4" s="159">
        <v>44139</v>
      </c>
      <c r="E4" s="137">
        <v>68</v>
      </c>
      <c r="F4" s="137">
        <v>8.1</v>
      </c>
      <c r="G4" s="160">
        <v>17.52</v>
      </c>
      <c r="H4" s="137">
        <v>42.7</v>
      </c>
      <c r="I4" s="137">
        <v>40</v>
      </c>
      <c r="J4" s="137">
        <v>2</v>
      </c>
      <c r="K4" s="137">
        <v>0</v>
      </c>
      <c r="L4" s="137">
        <v>1</v>
      </c>
      <c r="M4" s="137">
        <v>0</v>
      </c>
      <c r="N4" s="137">
        <v>9</v>
      </c>
      <c r="O4" s="137">
        <v>10</v>
      </c>
      <c r="P4" s="137">
        <v>3040</v>
      </c>
      <c r="Q4" s="137">
        <v>53</v>
      </c>
      <c r="R4" s="137">
        <v>33.5</v>
      </c>
      <c r="S4" s="137">
        <v>33</v>
      </c>
      <c r="T4" s="159">
        <v>33416</v>
      </c>
      <c r="U4" s="137">
        <v>28.83</v>
      </c>
      <c r="V4" s="137">
        <v>2</v>
      </c>
      <c r="W4" s="137">
        <v>0</v>
      </c>
      <c r="X4" s="137">
        <v>0</v>
      </c>
      <c r="Y4" s="137">
        <v>2</v>
      </c>
      <c r="Z4" s="137">
        <v>0</v>
      </c>
      <c r="AA4" s="137">
        <v>0</v>
      </c>
      <c r="AB4" s="137">
        <v>0</v>
      </c>
      <c r="AC4" s="137">
        <v>0</v>
      </c>
      <c r="AD4" s="137">
        <v>0</v>
      </c>
      <c r="AE4" s="137">
        <v>0</v>
      </c>
      <c r="AF4" s="137">
        <v>0</v>
      </c>
      <c r="AG4" s="137">
        <v>0</v>
      </c>
      <c r="AH4" s="137">
        <v>0</v>
      </c>
      <c r="AI4" s="137">
        <v>0</v>
      </c>
      <c r="AJ4" s="137">
        <v>0</v>
      </c>
      <c r="AK4" s="137">
        <v>0</v>
      </c>
      <c r="AL4" s="137">
        <v>0</v>
      </c>
      <c r="AM4" s="137">
        <v>0</v>
      </c>
      <c r="AN4" s="137">
        <v>0</v>
      </c>
      <c r="AO4" s="137">
        <v>0</v>
      </c>
      <c r="AP4" s="137">
        <v>0</v>
      </c>
      <c r="AQ4" s="137">
        <v>0</v>
      </c>
      <c r="AR4" s="137" t="s">
        <v>954</v>
      </c>
      <c r="AS4" s="137">
        <v>0</v>
      </c>
      <c r="AT4" s="137">
        <v>0</v>
      </c>
      <c r="AU4" s="137">
        <v>0</v>
      </c>
      <c r="AV4" s="137">
        <v>0</v>
      </c>
      <c r="AW4" s="137">
        <v>0</v>
      </c>
      <c r="AX4" s="137">
        <v>0</v>
      </c>
      <c r="AY4" s="137">
        <v>0</v>
      </c>
      <c r="AZ4" s="137">
        <v>0</v>
      </c>
      <c r="BA4" s="137">
        <v>0</v>
      </c>
      <c r="BB4" s="137">
        <v>0</v>
      </c>
      <c r="BC4" s="137">
        <v>0</v>
      </c>
      <c r="BD4" s="137">
        <v>0</v>
      </c>
      <c r="BE4" s="137">
        <v>0</v>
      </c>
      <c r="BF4" s="137">
        <v>0</v>
      </c>
      <c r="BG4" s="137">
        <v>0</v>
      </c>
      <c r="BH4" s="137">
        <v>0</v>
      </c>
      <c r="BI4" s="137">
        <v>0</v>
      </c>
      <c r="BJ4" s="137">
        <v>0</v>
      </c>
      <c r="BK4" s="137">
        <v>0</v>
      </c>
      <c r="BL4" s="137">
        <v>0</v>
      </c>
      <c r="BM4" s="137">
        <v>0</v>
      </c>
      <c r="BN4" s="137">
        <v>0</v>
      </c>
      <c r="BO4" s="137">
        <v>0</v>
      </c>
      <c r="BP4" s="137">
        <v>0</v>
      </c>
      <c r="BQ4" s="137">
        <v>0</v>
      </c>
      <c r="BR4" s="137">
        <v>0</v>
      </c>
      <c r="BS4" s="137">
        <v>0</v>
      </c>
      <c r="BT4" s="137">
        <v>0</v>
      </c>
      <c r="BU4" s="137">
        <v>0</v>
      </c>
      <c r="BV4" s="137">
        <v>0</v>
      </c>
      <c r="BW4" s="137">
        <v>0</v>
      </c>
      <c r="BX4" s="137">
        <v>0</v>
      </c>
      <c r="BY4" s="137">
        <v>0</v>
      </c>
      <c r="BZ4" s="137">
        <v>1</v>
      </c>
      <c r="CA4" s="137" t="s">
        <v>946</v>
      </c>
      <c r="CB4" s="137">
        <v>0</v>
      </c>
      <c r="CC4" s="137" t="s">
        <v>947</v>
      </c>
      <c r="CD4" s="137">
        <v>1</v>
      </c>
      <c r="CE4" s="137" t="s">
        <v>946</v>
      </c>
      <c r="CF4" s="161" t="s">
        <v>964</v>
      </c>
      <c r="CG4" s="137">
        <v>0</v>
      </c>
      <c r="CH4" s="137" t="s">
        <v>947</v>
      </c>
      <c r="CI4" s="137">
        <v>0</v>
      </c>
      <c r="CJ4" s="137" t="s">
        <v>947</v>
      </c>
      <c r="CK4" s="137" t="s">
        <v>947</v>
      </c>
      <c r="CL4" s="137">
        <v>0</v>
      </c>
      <c r="CM4" s="137" t="s">
        <v>947</v>
      </c>
      <c r="CN4" s="137" t="s">
        <v>947</v>
      </c>
      <c r="CO4" s="137">
        <v>0</v>
      </c>
      <c r="CP4" s="137" t="s">
        <v>947</v>
      </c>
      <c r="CQ4" s="137" t="s">
        <v>947</v>
      </c>
      <c r="CR4" s="137">
        <v>0</v>
      </c>
      <c r="CS4" s="137" t="s">
        <v>947</v>
      </c>
      <c r="CT4" s="137" t="s">
        <v>947</v>
      </c>
      <c r="CU4" s="137">
        <v>0</v>
      </c>
      <c r="CV4" s="137" t="s">
        <v>947</v>
      </c>
      <c r="CW4" s="137" t="s">
        <v>947</v>
      </c>
      <c r="CX4" s="137">
        <v>1</v>
      </c>
      <c r="CY4" s="137" t="s">
        <v>965</v>
      </c>
      <c r="CZ4" s="137">
        <v>2</v>
      </c>
      <c r="DA4" s="137"/>
      <c r="DB4" s="152"/>
    </row>
    <row r="5" spans="1:106" s="114" customFormat="1" ht="16">
      <c r="A5" s="112" t="s">
        <v>31</v>
      </c>
      <c r="B5" s="162">
        <v>21928650</v>
      </c>
      <c r="C5" s="163" t="s">
        <v>966</v>
      </c>
      <c r="D5" s="162"/>
      <c r="E5" s="162"/>
      <c r="F5" s="162"/>
      <c r="G5" s="162"/>
      <c r="H5" s="162"/>
      <c r="I5" s="162"/>
      <c r="J5" s="162"/>
      <c r="K5" s="162"/>
      <c r="L5" s="162">
        <v>1</v>
      </c>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4"/>
    </row>
    <row r="6" spans="1:106" ht="16">
      <c r="A6" s="1" t="s">
        <v>36</v>
      </c>
      <c r="B6" s="137">
        <v>16900804</v>
      </c>
      <c r="C6" s="161" t="s">
        <v>967</v>
      </c>
      <c r="D6" s="159">
        <v>44174</v>
      </c>
      <c r="E6" s="137">
        <v>69.400000000000006</v>
      </c>
      <c r="F6" s="137">
        <v>7.8</v>
      </c>
      <c r="G6" s="160">
        <v>16.190000000000001</v>
      </c>
      <c r="H6" s="137">
        <v>43.8</v>
      </c>
      <c r="I6" s="137">
        <v>40</v>
      </c>
      <c r="J6" s="137">
        <v>1</v>
      </c>
      <c r="K6" s="137">
        <v>0</v>
      </c>
      <c r="L6" s="137">
        <v>1</v>
      </c>
      <c r="M6" s="137">
        <v>0</v>
      </c>
      <c r="N6" s="137">
        <v>9</v>
      </c>
      <c r="O6" s="137">
        <v>10</v>
      </c>
      <c r="P6" s="137">
        <v>3155</v>
      </c>
      <c r="Q6" s="137">
        <v>49</v>
      </c>
      <c r="R6" s="137">
        <v>35.5</v>
      </c>
      <c r="S6" s="137">
        <v>32</v>
      </c>
      <c r="T6" s="159">
        <v>31252</v>
      </c>
      <c r="U6" s="137">
        <v>34.840000000000003</v>
      </c>
      <c r="V6" s="137">
        <v>1</v>
      </c>
      <c r="W6" s="137">
        <v>0</v>
      </c>
      <c r="X6" s="137">
        <v>1</v>
      </c>
      <c r="Y6" s="137">
        <v>1</v>
      </c>
      <c r="Z6" s="137">
        <v>0</v>
      </c>
      <c r="AA6" s="137">
        <v>0</v>
      </c>
      <c r="AB6" s="137">
        <v>0</v>
      </c>
      <c r="AC6" s="137">
        <v>0</v>
      </c>
      <c r="AD6" s="137">
        <v>0</v>
      </c>
      <c r="AE6" s="137">
        <v>0</v>
      </c>
      <c r="AF6" s="137">
        <v>0</v>
      </c>
      <c r="AG6" s="137">
        <v>0</v>
      </c>
      <c r="AH6" s="137">
        <v>0</v>
      </c>
      <c r="AI6" s="137">
        <v>0</v>
      </c>
      <c r="AJ6" s="137">
        <v>0</v>
      </c>
      <c r="AK6" s="137">
        <v>0</v>
      </c>
      <c r="AL6" s="137">
        <v>0</v>
      </c>
      <c r="AM6" s="137">
        <v>0</v>
      </c>
      <c r="AN6" s="137">
        <v>0</v>
      </c>
      <c r="AO6" s="137">
        <v>0</v>
      </c>
      <c r="AP6" s="137">
        <v>0</v>
      </c>
      <c r="AQ6" s="137">
        <v>0</v>
      </c>
      <c r="AR6" s="137" t="s">
        <v>954</v>
      </c>
      <c r="AS6" s="137">
        <v>0</v>
      </c>
      <c r="AT6" s="137">
        <v>0</v>
      </c>
      <c r="AU6" s="137">
        <v>0</v>
      </c>
      <c r="AV6" s="137">
        <v>0</v>
      </c>
      <c r="AW6" s="137">
        <v>0</v>
      </c>
      <c r="AX6" s="137">
        <v>0</v>
      </c>
      <c r="AY6" s="137">
        <v>0</v>
      </c>
      <c r="AZ6" s="137">
        <v>0</v>
      </c>
      <c r="BA6" s="137">
        <v>0</v>
      </c>
      <c r="BB6" s="137">
        <v>0</v>
      </c>
      <c r="BC6" s="137">
        <v>0</v>
      </c>
      <c r="BD6" s="137">
        <v>0</v>
      </c>
      <c r="BE6" s="137">
        <v>0</v>
      </c>
      <c r="BF6" s="137">
        <v>0</v>
      </c>
      <c r="BG6" s="137">
        <v>0</v>
      </c>
      <c r="BH6" s="137">
        <v>0</v>
      </c>
      <c r="BI6" s="137">
        <v>0</v>
      </c>
      <c r="BJ6" s="137">
        <v>0</v>
      </c>
      <c r="BK6" s="137">
        <v>0</v>
      </c>
      <c r="BL6" s="137">
        <v>0</v>
      </c>
      <c r="BM6" s="137">
        <v>0</v>
      </c>
      <c r="BN6" s="137">
        <v>0</v>
      </c>
      <c r="BO6" s="137">
        <v>0</v>
      </c>
      <c r="BP6" s="137">
        <v>0</v>
      </c>
      <c r="BQ6" s="137">
        <v>0</v>
      </c>
      <c r="BR6" s="137">
        <v>0</v>
      </c>
      <c r="BS6" s="137">
        <v>0</v>
      </c>
      <c r="BT6" s="137">
        <v>0</v>
      </c>
      <c r="BU6" s="137">
        <v>0</v>
      </c>
      <c r="BV6" s="137">
        <v>0</v>
      </c>
      <c r="BW6" s="137">
        <v>0</v>
      </c>
      <c r="BX6" s="137">
        <v>0</v>
      </c>
      <c r="BY6" s="137">
        <v>0</v>
      </c>
      <c r="BZ6" s="137">
        <v>1</v>
      </c>
      <c r="CA6" s="137" t="s">
        <v>968</v>
      </c>
      <c r="CB6" s="137">
        <v>0</v>
      </c>
      <c r="CC6" s="137" t="s">
        <v>947</v>
      </c>
      <c r="CD6" s="137">
        <v>1</v>
      </c>
      <c r="CE6" s="137" t="s">
        <v>946</v>
      </c>
      <c r="CF6" s="137" t="s">
        <v>969</v>
      </c>
      <c r="CG6" s="137">
        <v>0</v>
      </c>
      <c r="CH6" s="137" t="s">
        <v>947</v>
      </c>
      <c r="CI6" s="137">
        <v>0</v>
      </c>
      <c r="CJ6" s="137" t="s">
        <v>947</v>
      </c>
      <c r="CK6" s="137" t="s">
        <v>947</v>
      </c>
      <c r="CL6" s="137">
        <v>0</v>
      </c>
      <c r="CM6" s="137" t="s">
        <v>947</v>
      </c>
      <c r="CN6" s="137" t="s">
        <v>947</v>
      </c>
      <c r="CO6" s="137">
        <v>0</v>
      </c>
      <c r="CP6" s="137" t="s">
        <v>947</v>
      </c>
      <c r="CQ6" s="137" t="s">
        <v>947</v>
      </c>
      <c r="CR6" s="137">
        <v>0</v>
      </c>
      <c r="CS6" s="137" t="s">
        <v>947</v>
      </c>
      <c r="CT6" s="137" t="s">
        <v>947</v>
      </c>
      <c r="CU6" s="137">
        <v>0</v>
      </c>
      <c r="CV6" s="137" t="s">
        <v>947</v>
      </c>
      <c r="CW6" s="137" t="s">
        <v>947</v>
      </c>
      <c r="CX6" s="137">
        <v>1</v>
      </c>
      <c r="CY6" s="137" t="s">
        <v>970</v>
      </c>
      <c r="CZ6" s="137">
        <v>2</v>
      </c>
      <c r="DA6" s="137"/>
      <c r="DB6" s="152"/>
    </row>
    <row r="7" spans="1:106" s="127" customFormat="1" ht="16">
      <c r="A7" s="123" t="s">
        <v>41</v>
      </c>
      <c r="B7" s="165">
        <v>21926441</v>
      </c>
      <c r="C7" s="166" t="s">
        <v>843</v>
      </c>
      <c r="D7" s="167"/>
      <c r="E7" s="167"/>
      <c r="F7" s="167"/>
      <c r="G7" s="167"/>
      <c r="H7" s="167"/>
      <c r="I7" s="167"/>
      <c r="J7" s="167"/>
      <c r="K7" s="167"/>
      <c r="L7" s="167"/>
      <c r="M7" s="167"/>
      <c r="N7" s="167"/>
      <c r="O7" s="167"/>
      <c r="P7" s="167">
        <v>1030</v>
      </c>
      <c r="Q7" s="167">
        <v>36</v>
      </c>
      <c r="R7" s="167">
        <v>26</v>
      </c>
      <c r="S7" s="167">
        <v>22</v>
      </c>
      <c r="T7" s="168">
        <v>33068</v>
      </c>
      <c r="U7" s="167">
        <v>27.95</v>
      </c>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7"/>
      <c r="CH7" s="167"/>
      <c r="CI7" s="167"/>
      <c r="CJ7" s="167"/>
      <c r="CK7" s="167"/>
      <c r="CL7" s="167"/>
      <c r="CM7" s="167"/>
      <c r="CN7" s="167"/>
      <c r="CO7" s="167"/>
      <c r="CP7" s="167"/>
      <c r="CQ7" s="167"/>
      <c r="CR7" s="167"/>
      <c r="CS7" s="167"/>
      <c r="CT7" s="167"/>
      <c r="CU7" s="167"/>
      <c r="CV7" s="167"/>
      <c r="CW7" s="167"/>
      <c r="CX7" s="167"/>
      <c r="CY7" s="167"/>
      <c r="CZ7" s="167"/>
      <c r="DA7" s="167"/>
      <c r="DB7" s="169"/>
    </row>
    <row r="8" spans="1:106" s="114" customFormat="1" ht="16">
      <c r="A8" s="112" t="s">
        <v>46</v>
      </c>
      <c r="B8" s="162">
        <v>21929504</v>
      </c>
      <c r="C8" s="163" t="s">
        <v>971</v>
      </c>
      <c r="D8" s="162"/>
      <c r="E8" s="162"/>
      <c r="F8" s="162"/>
      <c r="G8" s="162"/>
      <c r="H8" s="162"/>
      <c r="I8" s="162"/>
      <c r="J8" s="162"/>
      <c r="K8" s="162"/>
      <c r="L8" s="162"/>
      <c r="M8" s="162"/>
      <c r="N8" s="162"/>
      <c r="O8" s="162"/>
      <c r="P8" s="162"/>
      <c r="Q8" s="162"/>
      <c r="R8" s="162"/>
      <c r="S8" s="16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c r="CJ8" s="162"/>
      <c r="CK8" s="162"/>
      <c r="CL8" s="162"/>
      <c r="CM8" s="162"/>
      <c r="CN8" s="162"/>
      <c r="CO8" s="162"/>
      <c r="CP8" s="162"/>
      <c r="CQ8" s="162"/>
      <c r="CR8" s="162"/>
      <c r="CS8" s="162"/>
      <c r="CT8" s="162"/>
      <c r="CU8" s="162"/>
      <c r="CV8" s="162"/>
      <c r="CW8" s="162"/>
      <c r="CX8" s="162"/>
      <c r="CY8" s="162"/>
      <c r="CZ8" s="162"/>
      <c r="DA8" s="162"/>
      <c r="DB8" s="164"/>
    </row>
    <row r="9" spans="1:106" s="114" customFormat="1" ht="16">
      <c r="A9" s="112" t="s">
        <v>51</v>
      </c>
      <c r="B9" s="162">
        <v>21929505</v>
      </c>
      <c r="C9" s="163" t="s">
        <v>972</v>
      </c>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4"/>
    </row>
    <row r="10" spans="1:106" s="114" customFormat="1" ht="16">
      <c r="A10" s="112" t="s">
        <v>54</v>
      </c>
      <c r="B10" s="162">
        <v>22100733</v>
      </c>
      <c r="C10" s="163" t="s">
        <v>973</v>
      </c>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c r="CY10" s="162"/>
      <c r="CZ10" s="162"/>
      <c r="DA10" s="162"/>
      <c r="DB10" s="164"/>
    </row>
    <row r="11" spans="1:106" s="110" customFormat="1" ht="16">
      <c r="A11" s="107" t="s">
        <v>59</v>
      </c>
      <c r="B11" s="153">
        <v>22101152</v>
      </c>
      <c r="C11" s="157" t="s">
        <v>974</v>
      </c>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c r="BW11" s="153"/>
      <c r="BX11" s="153"/>
      <c r="BY11" s="153"/>
      <c r="BZ11" s="153"/>
      <c r="CA11" s="153"/>
      <c r="CB11" s="153"/>
      <c r="CC11" s="153"/>
      <c r="CD11" s="153"/>
      <c r="CE11" s="153"/>
      <c r="CF11" s="153"/>
      <c r="CG11" s="153"/>
      <c r="CH11" s="153"/>
      <c r="CI11" s="153"/>
      <c r="CJ11" s="153"/>
      <c r="CK11" s="153"/>
      <c r="CL11" s="153"/>
      <c r="CM11" s="153"/>
      <c r="CN11" s="153"/>
      <c r="CO11" s="153"/>
      <c r="CP11" s="153"/>
      <c r="CQ11" s="153"/>
      <c r="CR11" s="153"/>
      <c r="CS11" s="153"/>
      <c r="CT11" s="153"/>
      <c r="CU11" s="153"/>
      <c r="CV11" s="153"/>
      <c r="CW11" s="153"/>
      <c r="CX11" s="153"/>
      <c r="CY11" s="153"/>
      <c r="CZ11" s="153"/>
      <c r="DA11" s="153"/>
      <c r="DB11" s="158"/>
    </row>
    <row r="12" spans="1:106" s="127" customFormat="1" ht="16">
      <c r="A12" s="123" t="s">
        <v>63</v>
      </c>
      <c r="B12" s="165">
        <v>22140400</v>
      </c>
      <c r="C12" s="166" t="s">
        <v>975</v>
      </c>
      <c r="D12" s="167"/>
      <c r="E12" s="167"/>
      <c r="F12" s="167"/>
      <c r="G12" s="167"/>
      <c r="H12" s="167"/>
      <c r="I12" s="167"/>
      <c r="J12" s="167"/>
      <c r="K12" s="167"/>
      <c r="L12" s="167"/>
      <c r="M12" s="167"/>
      <c r="N12" s="167"/>
      <c r="O12" s="167"/>
      <c r="P12" s="167">
        <v>1820</v>
      </c>
      <c r="Q12" s="167">
        <v>44</v>
      </c>
      <c r="R12" s="167">
        <v>29.5</v>
      </c>
      <c r="S12" s="167"/>
      <c r="T12" s="167"/>
      <c r="U12" s="170"/>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9"/>
    </row>
    <row r="13" spans="1:106" s="127" customFormat="1" ht="16">
      <c r="A13" s="123" t="s">
        <v>68</v>
      </c>
      <c r="B13" s="165">
        <v>22140401</v>
      </c>
      <c r="C13" s="166" t="s">
        <v>976</v>
      </c>
      <c r="D13" s="167"/>
      <c r="E13" s="167"/>
      <c r="F13" s="167"/>
      <c r="G13" s="167"/>
      <c r="H13" s="167"/>
      <c r="I13" s="167"/>
      <c r="J13" s="167"/>
      <c r="K13" s="167"/>
      <c r="L13" s="167"/>
      <c r="M13" s="167"/>
      <c r="N13" s="167"/>
      <c r="O13" s="167"/>
      <c r="P13" s="167">
        <v>1520</v>
      </c>
      <c r="Q13" s="167">
        <v>43</v>
      </c>
      <c r="R13" s="167">
        <v>29</v>
      </c>
      <c r="S13" s="167">
        <v>26</v>
      </c>
      <c r="T13" s="167"/>
      <c r="U13" s="170"/>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c r="CZ13" s="167"/>
      <c r="DA13" s="167"/>
      <c r="DB13" s="169"/>
    </row>
    <row r="14" spans="1:106" s="110" customFormat="1" ht="16">
      <c r="A14" s="107" t="s">
        <v>71</v>
      </c>
      <c r="B14" s="153">
        <v>16900981</v>
      </c>
      <c r="C14" s="157" t="s">
        <v>977</v>
      </c>
      <c r="D14" s="117">
        <v>44209</v>
      </c>
      <c r="E14" s="153">
        <v>66.599999999999994</v>
      </c>
      <c r="F14" s="153">
        <v>7.9</v>
      </c>
      <c r="G14" s="153">
        <v>17.809999999999999</v>
      </c>
      <c r="H14" s="153">
        <v>41.3</v>
      </c>
      <c r="I14" s="153">
        <v>38</v>
      </c>
      <c r="J14" s="153">
        <v>2</v>
      </c>
      <c r="K14" s="153">
        <v>0</v>
      </c>
      <c r="L14" s="153">
        <v>2</v>
      </c>
      <c r="M14" s="153">
        <v>0</v>
      </c>
      <c r="N14" s="153">
        <v>9</v>
      </c>
      <c r="O14" s="153">
        <v>10</v>
      </c>
      <c r="P14" s="153">
        <v>3040</v>
      </c>
      <c r="Q14" s="153">
        <v>49</v>
      </c>
      <c r="R14" s="153">
        <v>34</v>
      </c>
      <c r="S14" s="153">
        <v>33</v>
      </c>
      <c r="T14" s="155">
        <v>30094</v>
      </c>
      <c r="U14" s="153">
        <v>38.130000000000003</v>
      </c>
      <c r="V14" s="153">
        <v>2</v>
      </c>
      <c r="W14" s="153">
        <v>0</v>
      </c>
      <c r="X14" s="153">
        <v>0</v>
      </c>
      <c r="Y14" s="153">
        <v>2</v>
      </c>
      <c r="Z14" s="153">
        <v>0</v>
      </c>
      <c r="AA14" s="153">
        <v>0</v>
      </c>
      <c r="AB14" s="153">
        <v>0</v>
      </c>
      <c r="AC14" s="153">
        <v>0</v>
      </c>
      <c r="AD14" s="153">
        <v>0</v>
      </c>
      <c r="AE14" s="153">
        <v>0</v>
      </c>
      <c r="AF14" s="153">
        <v>0</v>
      </c>
      <c r="AG14" s="153">
        <v>0</v>
      </c>
      <c r="AH14" s="153">
        <v>0</v>
      </c>
      <c r="AI14" s="153">
        <v>0</v>
      </c>
      <c r="AJ14" s="153">
        <v>0</v>
      </c>
      <c r="AK14" s="153">
        <v>0</v>
      </c>
      <c r="AL14" s="153">
        <v>0</v>
      </c>
      <c r="AM14" s="153">
        <v>0</v>
      </c>
      <c r="AN14" s="153">
        <v>0</v>
      </c>
      <c r="AO14" s="153">
        <v>0</v>
      </c>
      <c r="AP14" s="153">
        <v>0</v>
      </c>
      <c r="AQ14" s="153">
        <v>0</v>
      </c>
      <c r="AR14" s="153" t="s">
        <v>954</v>
      </c>
      <c r="AS14" s="153">
        <v>0</v>
      </c>
      <c r="AT14" s="153">
        <v>0</v>
      </c>
      <c r="AU14" s="153">
        <v>0</v>
      </c>
      <c r="AV14" s="153">
        <v>0</v>
      </c>
      <c r="AW14" s="153">
        <v>0</v>
      </c>
      <c r="AX14" s="153">
        <v>0</v>
      </c>
      <c r="AY14" s="153">
        <v>0</v>
      </c>
      <c r="AZ14" s="153">
        <v>0</v>
      </c>
      <c r="BA14" s="153">
        <v>0</v>
      </c>
      <c r="BB14" s="153">
        <v>0</v>
      </c>
      <c r="BC14" s="153">
        <v>0</v>
      </c>
      <c r="BD14" s="153">
        <v>0</v>
      </c>
      <c r="BE14" s="153">
        <v>0</v>
      </c>
      <c r="BF14" s="153">
        <v>0</v>
      </c>
      <c r="BG14" s="153">
        <v>0</v>
      </c>
      <c r="BH14" s="153">
        <v>0</v>
      </c>
      <c r="BI14" s="153">
        <v>0</v>
      </c>
      <c r="BJ14" s="153">
        <v>0</v>
      </c>
      <c r="BK14" s="153">
        <v>0</v>
      </c>
      <c r="BL14" s="153">
        <v>0</v>
      </c>
      <c r="BM14" s="153">
        <v>0</v>
      </c>
      <c r="BN14" s="153">
        <v>0</v>
      </c>
      <c r="BO14" s="153">
        <v>0</v>
      </c>
      <c r="BP14" s="153">
        <v>0</v>
      </c>
      <c r="BQ14" s="153" t="s">
        <v>978</v>
      </c>
      <c r="BR14" s="153">
        <v>0</v>
      </c>
      <c r="BS14" s="153">
        <v>0</v>
      </c>
      <c r="BT14" s="153">
        <v>0</v>
      </c>
      <c r="BU14" s="153">
        <v>0</v>
      </c>
      <c r="BV14" s="153">
        <v>0</v>
      </c>
      <c r="BW14" s="153">
        <v>0</v>
      </c>
      <c r="BX14" s="153">
        <v>0</v>
      </c>
      <c r="BY14" s="153">
        <v>0</v>
      </c>
      <c r="BZ14" s="153">
        <v>1</v>
      </c>
      <c r="CA14" s="153" t="s">
        <v>979</v>
      </c>
      <c r="CB14" s="153">
        <v>0</v>
      </c>
      <c r="CC14" s="153" t="s">
        <v>947</v>
      </c>
      <c r="CD14" s="153">
        <v>1</v>
      </c>
      <c r="CE14" s="153" t="s">
        <v>946</v>
      </c>
      <c r="CF14" s="157" t="s">
        <v>980</v>
      </c>
      <c r="CG14" s="153">
        <v>0</v>
      </c>
      <c r="CH14" s="153" t="s">
        <v>947</v>
      </c>
      <c r="CI14" s="153">
        <v>0</v>
      </c>
      <c r="CJ14" s="153" t="s">
        <v>947</v>
      </c>
      <c r="CK14" s="153" t="s">
        <v>947</v>
      </c>
      <c r="CL14" s="153">
        <v>1</v>
      </c>
      <c r="CM14" s="153" t="s">
        <v>981</v>
      </c>
      <c r="CN14" s="157" t="s">
        <v>982</v>
      </c>
      <c r="CO14" s="153">
        <v>0</v>
      </c>
      <c r="CP14" s="153" t="s">
        <v>947</v>
      </c>
      <c r="CQ14" s="153" t="s">
        <v>947</v>
      </c>
      <c r="CR14" s="153">
        <v>0</v>
      </c>
      <c r="CS14" s="153" t="s">
        <v>947</v>
      </c>
      <c r="CT14" s="153" t="s">
        <v>947</v>
      </c>
      <c r="CU14" s="153">
        <v>0</v>
      </c>
      <c r="CV14" s="153" t="s">
        <v>947</v>
      </c>
      <c r="CW14" s="153" t="s">
        <v>947</v>
      </c>
      <c r="CX14" s="153">
        <v>1</v>
      </c>
      <c r="CY14" s="153" t="s">
        <v>962</v>
      </c>
      <c r="CZ14" s="153">
        <v>2</v>
      </c>
      <c r="DA14" s="153"/>
      <c r="DB14" s="158"/>
    </row>
    <row r="15" spans="1:106" s="114" customFormat="1" ht="16">
      <c r="A15" s="112" t="s">
        <v>77</v>
      </c>
      <c r="B15" s="162">
        <v>21928109</v>
      </c>
      <c r="C15" s="163" t="s">
        <v>983</v>
      </c>
      <c r="D15" s="162"/>
      <c r="E15" s="162"/>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c r="CY15" s="162"/>
      <c r="CZ15" s="162"/>
      <c r="DA15" s="162"/>
      <c r="DB15" s="164"/>
    </row>
    <row r="16" spans="1:106" ht="16">
      <c r="A16" s="1" t="s">
        <v>82</v>
      </c>
      <c r="B16" s="137">
        <v>22104301</v>
      </c>
      <c r="C16" s="161" t="s">
        <v>984</v>
      </c>
      <c r="D16" s="10">
        <v>44244</v>
      </c>
      <c r="E16" s="137">
        <v>63.8</v>
      </c>
      <c r="F16" s="137">
        <v>7.3</v>
      </c>
      <c r="G16" s="137">
        <v>17.93</v>
      </c>
      <c r="H16" s="137">
        <v>43.7</v>
      </c>
      <c r="I16" s="137">
        <v>31</v>
      </c>
      <c r="J16" s="137">
        <v>4</v>
      </c>
      <c r="K16" s="137">
        <v>1</v>
      </c>
      <c r="L16" s="137">
        <v>2</v>
      </c>
      <c r="M16" s="137">
        <v>0</v>
      </c>
      <c r="N16" s="137">
        <v>9</v>
      </c>
      <c r="O16" s="137">
        <v>9</v>
      </c>
      <c r="P16" s="137">
        <v>985</v>
      </c>
      <c r="Q16" s="137">
        <v>35</v>
      </c>
      <c r="R16" s="137">
        <v>27</v>
      </c>
      <c r="S16" s="137">
        <v>21</v>
      </c>
      <c r="T16" s="137"/>
      <c r="U16" s="137">
        <v>120.46</v>
      </c>
      <c r="V16" s="137">
        <v>0</v>
      </c>
      <c r="W16" s="137">
        <v>1</v>
      </c>
      <c r="X16" s="137">
        <v>0</v>
      </c>
      <c r="Y16" s="137">
        <v>1</v>
      </c>
      <c r="Z16" s="137">
        <v>0</v>
      </c>
      <c r="AA16" s="137">
        <v>1</v>
      </c>
      <c r="AB16" s="137">
        <v>0</v>
      </c>
      <c r="AC16" s="137">
        <v>0</v>
      </c>
      <c r="AD16" s="137">
        <v>0</v>
      </c>
      <c r="AE16" s="137">
        <v>0</v>
      </c>
      <c r="AF16" s="137">
        <v>0</v>
      </c>
      <c r="AG16" s="137">
        <v>0</v>
      </c>
      <c r="AH16" s="137">
        <v>0</v>
      </c>
      <c r="AI16" s="137">
        <v>0</v>
      </c>
      <c r="AJ16" s="137">
        <v>0</v>
      </c>
      <c r="AK16" s="137">
        <v>0</v>
      </c>
      <c r="AL16" s="137">
        <v>0</v>
      </c>
      <c r="AM16" s="137">
        <v>0</v>
      </c>
      <c r="AN16" s="137">
        <v>0</v>
      </c>
      <c r="AO16" s="137">
        <v>0</v>
      </c>
      <c r="AP16" s="137">
        <v>0</v>
      </c>
      <c r="AQ16" s="137">
        <v>0</v>
      </c>
      <c r="AR16" s="137">
        <v>1</v>
      </c>
      <c r="AS16" s="137">
        <v>0</v>
      </c>
      <c r="AT16" s="137">
        <v>0</v>
      </c>
      <c r="AU16" s="137">
        <v>0</v>
      </c>
      <c r="AV16" s="137">
        <v>0</v>
      </c>
      <c r="AW16" s="137">
        <v>0</v>
      </c>
      <c r="AX16" s="137">
        <v>0</v>
      </c>
      <c r="AY16" s="137">
        <v>0</v>
      </c>
      <c r="AZ16" s="137">
        <v>0</v>
      </c>
      <c r="BA16" s="137">
        <v>0</v>
      </c>
      <c r="BB16" s="137">
        <v>0</v>
      </c>
      <c r="BC16" s="137">
        <v>0</v>
      </c>
      <c r="BD16" s="137">
        <v>0</v>
      </c>
      <c r="BE16" s="137">
        <v>0</v>
      </c>
      <c r="BF16" s="137">
        <v>0</v>
      </c>
      <c r="BG16" s="137">
        <v>0</v>
      </c>
      <c r="BH16" s="137">
        <v>0</v>
      </c>
      <c r="BI16" s="137">
        <v>0</v>
      </c>
      <c r="BJ16" s="137">
        <v>0</v>
      </c>
      <c r="BK16" s="137">
        <v>1</v>
      </c>
      <c r="BL16" s="137">
        <v>0</v>
      </c>
      <c r="BM16" s="137">
        <v>0</v>
      </c>
      <c r="BN16" s="137">
        <v>0</v>
      </c>
      <c r="BO16" s="137">
        <v>0</v>
      </c>
      <c r="BP16" s="137">
        <v>0</v>
      </c>
      <c r="BQ16" s="137" t="s">
        <v>985</v>
      </c>
      <c r="BR16" s="137">
        <v>0</v>
      </c>
      <c r="BS16" s="137">
        <v>0</v>
      </c>
      <c r="BT16" s="137">
        <v>0</v>
      </c>
      <c r="BU16" s="137">
        <v>0</v>
      </c>
      <c r="BV16" s="137">
        <v>0</v>
      </c>
      <c r="BW16" s="137">
        <v>0</v>
      </c>
      <c r="BX16" s="137">
        <v>0</v>
      </c>
      <c r="BY16" s="137">
        <v>0</v>
      </c>
      <c r="BZ16" s="137">
        <v>1</v>
      </c>
      <c r="CA16" s="137" t="s">
        <v>986</v>
      </c>
      <c r="CB16" s="137">
        <v>1</v>
      </c>
      <c r="CC16" s="161" t="s">
        <v>987</v>
      </c>
      <c r="CD16" s="137">
        <v>1</v>
      </c>
      <c r="CE16" s="137" t="s">
        <v>988</v>
      </c>
      <c r="CF16" s="161" t="s">
        <v>989</v>
      </c>
      <c r="CG16" s="137">
        <v>1</v>
      </c>
      <c r="CH16" s="137" t="s">
        <v>990</v>
      </c>
      <c r="CI16" s="137">
        <v>0</v>
      </c>
      <c r="CJ16" s="137" t="s">
        <v>947</v>
      </c>
      <c r="CK16" s="137" t="s">
        <v>947</v>
      </c>
      <c r="CL16" s="137">
        <v>1</v>
      </c>
      <c r="CM16" s="137" t="s">
        <v>946</v>
      </c>
      <c r="CN16" s="161" t="s">
        <v>991</v>
      </c>
      <c r="CO16" s="161" t="s">
        <v>992</v>
      </c>
      <c r="CP16" s="137" t="s">
        <v>946</v>
      </c>
      <c r="CQ16" s="161" t="s">
        <v>993</v>
      </c>
      <c r="CR16" s="137">
        <v>0</v>
      </c>
      <c r="CS16" s="137" t="s">
        <v>947</v>
      </c>
      <c r="CT16" s="137" t="s">
        <v>947</v>
      </c>
      <c r="CU16" s="137">
        <v>0</v>
      </c>
      <c r="CV16" s="137" t="s">
        <v>947</v>
      </c>
      <c r="CW16" s="137" t="s">
        <v>947</v>
      </c>
      <c r="CX16" s="137">
        <v>1</v>
      </c>
      <c r="CY16" s="161" t="s">
        <v>994</v>
      </c>
      <c r="CZ16" s="137">
        <v>2</v>
      </c>
      <c r="DA16" s="137"/>
      <c r="DB16" s="152"/>
    </row>
    <row r="17" spans="1:106" s="127" customFormat="1" ht="16">
      <c r="A17" s="123" t="s">
        <v>87</v>
      </c>
      <c r="B17" s="165">
        <v>21929043</v>
      </c>
      <c r="C17" s="166" t="s">
        <v>995</v>
      </c>
      <c r="D17" s="171"/>
      <c r="E17" s="167"/>
      <c r="F17" s="167"/>
      <c r="G17" s="167"/>
      <c r="H17" s="167"/>
      <c r="I17" s="167"/>
      <c r="J17" s="167"/>
      <c r="K17" s="167"/>
      <c r="L17" s="167"/>
      <c r="M17" s="167"/>
      <c r="N17" s="167"/>
      <c r="O17" s="167"/>
      <c r="P17" s="167"/>
      <c r="Q17" s="167"/>
      <c r="R17" s="167"/>
      <c r="S17" s="167"/>
      <c r="T17" s="167"/>
      <c r="U17" s="170"/>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c r="BG17" s="167"/>
      <c r="BH17" s="167"/>
      <c r="BI17" s="167"/>
      <c r="BJ17" s="167"/>
      <c r="BK17" s="167"/>
      <c r="BL17" s="167"/>
      <c r="BM17" s="167"/>
      <c r="BN17" s="167"/>
      <c r="BO17" s="167"/>
      <c r="BP17" s="167"/>
      <c r="BQ17" s="167"/>
      <c r="BR17" s="167"/>
      <c r="BS17" s="167"/>
      <c r="BT17" s="167"/>
      <c r="BU17" s="167"/>
      <c r="BV17" s="167"/>
      <c r="BW17" s="167"/>
      <c r="BX17" s="167"/>
      <c r="BY17" s="167"/>
      <c r="BZ17" s="167"/>
      <c r="CA17" s="167"/>
      <c r="CB17" s="167"/>
      <c r="CC17" s="167"/>
      <c r="CD17" s="167"/>
      <c r="CE17" s="167"/>
      <c r="CF17" s="167"/>
      <c r="CG17" s="167"/>
      <c r="CH17" s="167"/>
      <c r="CI17" s="167"/>
      <c r="CJ17" s="167"/>
      <c r="CK17" s="167"/>
      <c r="CL17" s="167"/>
      <c r="CM17" s="167"/>
      <c r="CN17" s="167"/>
      <c r="CO17" s="167"/>
      <c r="CP17" s="167"/>
      <c r="CQ17" s="167"/>
      <c r="CR17" s="167"/>
      <c r="CS17" s="167"/>
      <c r="CT17" s="167"/>
      <c r="CU17" s="167"/>
      <c r="CV17" s="167"/>
      <c r="CW17" s="167"/>
      <c r="CX17" s="167"/>
      <c r="CY17" s="167"/>
      <c r="CZ17" s="167"/>
      <c r="DA17" s="167"/>
      <c r="DB17" s="169"/>
    </row>
    <row r="18" spans="1:106" ht="16">
      <c r="A18" s="1" t="s">
        <v>92</v>
      </c>
      <c r="B18" s="137">
        <v>22104128</v>
      </c>
      <c r="C18" s="161" t="s">
        <v>996</v>
      </c>
      <c r="D18" s="10">
        <v>44232</v>
      </c>
      <c r="E18" s="137">
        <v>65.7</v>
      </c>
      <c r="F18" s="137">
        <v>7.3</v>
      </c>
      <c r="G18" s="137">
        <v>16.91</v>
      </c>
      <c r="H18" s="137">
        <v>42</v>
      </c>
      <c r="I18" s="137">
        <v>29</v>
      </c>
      <c r="J18" s="137">
        <v>0</v>
      </c>
      <c r="K18" s="137">
        <v>1</v>
      </c>
      <c r="L18" s="137">
        <v>2</v>
      </c>
      <c r="M18" s="137">
        <v>0</v>
      </c>
      <c r="N18" s="137">
        <v>6</v>
      </c>
      <c r="O18" s="137">
        <v>9</v>
      </c>
      <c r="P18" s="137">
        <v>940</v>
      </c>
      <c r="Q18" s="137">
        <v>34</v>
      </c>
      <c r="R18" s="137">
        <v>24.5</v>
      </c>
      <c r="S18" s="137">
        <v>24</v>
      </c>
      <c r="T18" s="159">
        <v>34681</v>
      </c>
      <c r="U18" s="137">
        <v>25.46</v>
      </c>
      <c r="V18" s="137">
        <v>0</v>
      </c>
      <c r="W18" s="137">
        <v>1</v>
      </c>
      <c r="X18" s="137">
        <v>0</v>
      </c>
      <c r="Y18" s="137">
        <v>1</v>
      </c>
      <c r="Z18" s="137">
        <v>0</v>
      </c>
      <c r="AA18" s="137">
        <v>0</v>
      </c>
      <c r="AB18" s="137">
        <v>0</v>
      </c>
      <c r="AC18" s="137">
        <v>0</v>
      </c>
      <c r="AD18" s="137">
        <v>0</v>
      </c>
      <c r="AE18" s="137">
        <v>0</v>
      </c>
      <c r="AF18" s="137">
        <v>0</v>
      </c>
      <c r="AG18" s="137">
        <v>0</v>
      </c>
      <c r="AH18" s="137">
        <v>0</v>
      </c>
      <c r="AI18" s="137">
        <v>0</v>
      </c>
      <c r="AJ18" s="137">
        <v>0</v>
      </c>
      <c r="AK18" s="137">
        <v>0</v>
      </c>
      <c r="AL18" s="137">
        <v>0</v>
      </c>
      <c r="AM18" s="137">
        <v>0</v>
      </c>
      <c r="AN18" s="137">
        <v>0</v>
      </c>
      <c r="AO18" s="137">
        <v>0</v>
      </c>
      <c r="AP18" s="137">
        <v>0</v>
      </c>
      <c r="AQ18" s="137">
        <v>0</v>
      </c>
      <c r="AR18" s="137">
        <v>1</v>
      </c>
      <c r="AS18" s="137">
        <v>0</v>
      </c>
      <c r="AT18" s="137">
        <v>0</v>
      </c>
      <c r="AU18" s="137">
        <v>0</v>
      </c>
      <c r="AV18" s="137">
        <v>0</v>
      </c>
      <c r="AW18" s="137">
        <v>0</v>
      </c>
      <c r="AX18" s="137">
        <v>0</v>
      </c>
      <c r="AY18" s="137">
        <v>0</v>
      </c>
      <c r="AZ18" s="137">
        <v>0</v>
      </c>
      <c r="BA18" s="137">
        <v>0</v>
      </c>
      <c r="BB18" s="137">
        <v>0</v>
      </c>
      <c r="BC18" s="137">
        <v>0</v>
      </c>
      <c r="BD18" s="137">
        <v>0</v>
      </c>
      <c r="BE18" s="137">
        <v>0</v>
      </c>
      <c r="BF18" s="137">
        <v>0</v>
      </c>
      <c r="BG18" s="137">
        <v>0</v>
      </c>
      <c r="BH18" s="137">
        <v>0</v>
      </c>
      <c r="BI18" s="137">
        <v>0</v>
      </c>
      <c r="BJ18" s="137">
        <v>0</v>
      </c>
      <c r="BK18" s="137">
        <v>1</v>
      </c>
      <c r="BL18" s="137">
        <v>0</v>
      </c>
      <c r="BM18" s="137">
        <v>0</v>
      </c>
      <c r="BN18" s="137">
        <v>0</v>
      </c>
      <c r="BO18" s="137">
        <v>0</v>
      </c>
      <c r="BP18" s="137">
        <v>0</v>
      </c>
      <c r="BQ18" s="137">
        <v>0</v>
      </c>
      <c r="BR18" s="137">
        <v>0</v>
      </c>
      <c r="BS18" s="137">
        <v>0</v>
      </c>
      <c r="BT18" s="137">
        <v>1</v>
      </c>
      <c r="BU18" s="137">
        <v>0</v>
      </c>
      <c r="BV18" s="137">
        <v>0</v>
      </c>
      <c r="BW18" s="137">
        <v>0</v>
      </c>
      <c r="BX18" s="137">
        <v>0</v>
      </c>
      <c r="BY18" s="137">
        <v>0</v>
      </c>
      <c r="BZ18" s="137">
        <v>1</v>
      </c>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c r="CY18" s="137"/>
      <c r="CZ18" s="137"/>
      <c r="DA18" s="137"/>
      <c r="DB18" s="152"/>
    </row>
    <row r="19" spans="1:106" ht="16">
      <c r="A19" s="8" t="s">
        <v>97</v>
      </c>
      <c r="B19" s="8">
        <v>22104135</v>
      </c>
      <c r="C19" s="172" t="s">
        <v>997</v>
      </c>
      <c r="D19" s="10">
        <v>44225</v>
      </c>
      <c r="E19" s="137">
        <v>67.8</v>
      </c>
      <c r="F19" s="137">
        <v>7.5</v>
      </c>
      <c r="G19" s="137">
        <v>16.32</v>
      </c>
      <c r="H19" s="137">
        <v>43.2</v>
      </c>
      <c r="I19" s="137">
        <v>30</v>
      </c>
      <c r="J19" s="137">
        <v>1</v>
      </c>
      <c r="K19" s="137">
        <v>1</v>
      </c>
      <c r="L19" s="137">
        <v>2</v>
      </c>
      <c r="M19" s="137">
        <v>0</v>
      </c>
      <c r="N19" s="137">
        <v>7</v>
      </c>
      <c r="O19" s="137">
        <v>9</v>
      </c>
      <c r="P19" s="137">
        <v>1010</v>
      </c>
      <c r="Q19" s="137">
        <v>35</v>
      </c>
      <c r="R19" s="137">
        <v>26</v>
      </c>
      <c r="S19" s="137">
        <v>22.5</v>
      </c>
      <c r="T19" s="159">
        <v>31787</v>
      </c>
      <c r="U19" s="137">
        <v>33.39</v>
      </c>
      <c r="V19" s="137">
        <v>0</v>
      </c>
      <c r="W19" s="137">
        <v>1</v>
      </c>
      <c r="X19" s="137">
        <v>0</v>
      </c>
      <c r="Y19" s="137">
        <v>1</v>
      </c>
      <c r="Z19" s="137">
        <v>1</v>
      </c>
      <c r="AA19" s="137">
        <v>0</v>
      </c>
      <c r="AB19" s="137">
        <v>0</v>
      </c>
      <c r="AC19" s="137">
        <v>0</v>
      </c>
      <c r="AD19" s="137">
        <v>0</v>
      </c>
      <c r="AE19" s="137">
        <v>0</v>
      </c>
      <c r="AF19" s="137">
        <v>0</v>
      </c>
      <c r="AG19" s="137">
        <v>0</v>
      </c>
      <c r="AH19" s="137">
        <v>0</v>
      </c>
      <c r="AI19" s="137">
        <v>0</v>
      </c>
      <c r="AJ19" s="137">
        <v>0</v>
      </c>
      <c r="AK19" s="137">
        <v>0</v>
      </c>
      <c r="AL19" s="137">
        <v>0</v>
      </c>
      <c r="AM19" s="137">
        <v>0</v>
      </c>
      <c r="AN19" s="137">
        <v>0</v>
      </c>
      <c r="AO19" s="137">
        <v>0</v>
      </c>
      <c r="AP19" s="137">
        <v>0</v>
      </c>
      <c r="AQ19" s="137">
        <v>0</v>
      </c>
      <c r="AR19" s="137" t="s">
        <v>998</v>
      </c>
      <c r="AS19" s="137">
        <v>0</v>
      </c>
      <c r="AT19" s="137">
        <v>0</v>
      </c>
      <c r="AU19" s="137">
        <v>0</v>
      </c>
      <c r="AV19" s="137">
        <v>0</v>
      </c>
      <c r="AW19" s="137">
        <v>0</v>
      </c>
      <c r="AX19" s="137">
        <v>0</v>
      </c>
      <c r="AY19" s="137">
        <v>0</v>
      </c>
      <c r="AZ19" s="137">
        <v>0</v>
      </c>
      <c r="BA19" s="137">
        <v>0</v>
      </c>
      <c r="BB19" s="137">
        <v>0</v>
      </c>
      <c r="BC19" s="137">
        <v>0</v>
      </c>
      <c r="BD19" s="137">
        <v>0</v>
      </c>
      <c r="BE19" s="137">
        <v>0</v>
      </c>
      <c r="BF19" s="137">
        <v>0</v>
      </c>
      <c r="BG19" s="137">
        <v>0</v>
      </c>
      <c r="BH19" s="137">
        <v>0</v>
      </c>
      <c r="BI19" s="137">
        <v>0</v>
      </c>
      <c r="BJ19" s="137">
        <v>0</v>
      </c>
      <c r="BK19" s="137">
        <v>1</v>
      </c>
      <c r="BL19" s="137">
        <v>0</v>
      </c>
      <c r="BM19" s="137">
        <v>0</v>
      </c>
      <c r="BN19" s="137">
        <v>0</v>
      </c>
      <c r="BO19" s="137">
        <v>0</v>
      </c>
      <c r="BP19" s="137">
        <v>0</v>
      </c>
      <c r="BQ19" s="137" t="s">
        <v>999</v>
      </c>
      <c r="BR19" s="137">
        <v>0</v>
      </c>
      <c r="BS19" s="137">
        <v>0</v>
      </c>
      <c r="BT19" s="137">
        <v>0</v>
      </c>
      <c r="BU19" s="137">
        <v>0</v>
      </c>
      <c r="BV19" s="137">
        <v>0</v>
      </c>
      <c r="BW19" s="137">
        <v>0</v>
      </c>
      <c r="BX19" s="137">
        <v>0</v>
      </c>
      <c r="BY19" s="137">
        <v>0</v>
      </c>
      <c r="BZ19" s="137">
        <v>1</v>
      </c>
      <c r="CA19" s="137" t="s">
        <v>1000</v>
      </c>
      <c r="CB19" s="137">
        <v>1</v>
      </c>
      <c r="CC19" s="161" t="s">
        <v>987</v>
      </c>
      <c r="CD19" s="137">
        <v>1</v>
      </c>
      <c r="CE19" s="137" t="s">
        <v>946</v>
      </c>
      <c r="CF19" s="161" t="s">
        <v>1001</v>
      </c>
      <c r="CG19" s="137">
        <v>1</v>
      </c>
      <c r="CH19" s="137" t="s">
        <v>960</v>
      </c>
      <c r="CI19" s="137">
        <v>1</v>
      </c>
      <c r="CJ19" s="137" t="s">
        <v>960</v>
      </c>
      <c r="CK19" s="161" t="s">
        <v>1002</v>
      </c>
      <c r="CL19" s="137">
        <v>1</v>
      </c>
      <c r="CM19" s="137" t="s">
        <v>1003</v>
      </c>
      <c r="CN19" s="161" t="s">
        <v>1004</v>
      </c>
      <c r="CO19" s="137">
        <v>0</v>
      </c>
      <c r="CP19" s="137" t="s">
        <v>947</v>
      </c>
      <c r="CQ19" s="137" t="s">
        <v>947</v>
      </c>
      <c r="CR19" s="137">
        <v>0</v>
      </c>
      <c r="CS19" s="137" t="s">
        <v>947</v>
      </c>
      <c r="CT19" s="137" t="s">
        <v>947</v>
      </c>
      <c r="CU19" s="137">
        <v>0</v>
      </c>
      <c r="CV19" s="137" t="s">
        <v>947</v>
      </c>
      <c r="CW19" s="137" t="s">
        <v>947</v>
      </c>
      <c r="CX19" s="137">
        <v>1</v>
      </c>
      <c r="CY19" s="161" t="s">
        <v>1005</v>
      </c>
      <c r="CZ19" s="137">
        <v>2</v>
      </c>
      <c r="DA19" s="137"/>
      <c r="DB19" s="152"/>
    </row>
    <row r="20" spans="1:106" ht="16">
      <c r="A20" s="8" t="s">
        <v>102</v>
      </c>
      <c r="B20" s="8">
        <v>22243391</v>
      </c>
      <c r="C20" s="172" t="s">
        <v>1006</v>
      </c>
      <c r="D20" s="10">
        <v>44279</v>
      </c>
      <c r="E20" s="137">
        <v>65.8</v>
      </c>
      <c r="F20" s="137">
        <v>6.4</v>
      </c>
      <c r="G20" s="137">
        <v>14.78</v>
      </c>
      <c r="H20" s="137">
        <v>41.2</v>
      </c>
      <c r="I20" s="137">
        <v>31</v>
      </c>
      <c r="J20" s="137">
        <v>3</v>
      </c>
      <c r="K20" s="137">
        <v>1</v>
      </c>
      <c r="L20" s="137">
        <v>1</v>
      </c>
      <c r="M20" s="137">
        <v>0</v>
      </c>
      <c r="N20" s="137">
        <v>7</v>
      </c>
      <c r="O20" s="137">
        <v>9</v>
      </c>
      <c r="P20" s="137">
        <v>1320</v>
      </c>
      <c r="Q20" s="137">
        <v>38</v>
      </c>
      <c r="R20" s="137">
        <v>26</v>
      </c>
      <c r="S20" s="137">
        <v>22.5</v>
      </c>
      <c r="T20" s="159">
        <v>35738</v>
      </c>
      <c r="U20" s="137">
        <v>22.65</v>
      </c>
      <c r="V20" s="137">
        <v>0</v>
      </c>
      <c r="W20" s="137">
        <v>1</v>
      </c>
      <c r="X20" s="137">
        <v>0</v>
      </c>
      <c r="Y20" s="137">
        <v>1</v>
      </c>
      <c r="Z20" s="137">
        <v>0</v>
      </c>
      <c r="AA20" s="137">
        <v>0</v>
      </c>
      <c r="AB20" s="137">
        <v>0</v>
      </c>
      <c r="AC20" s="137">
        <v>1</v>
      </c>
      <c r="AD20" s="137">
        <v>0</v>
      </c>
      <c r="AE20" s="137">
        <v>0</v>
      </c>
      <c r="AF20" s="137">
        <v>0</v>
      </c>
      <c r="AG20" s="137">
        <v>0</v>
      </c>
      <c r="AH20" s="137">
        <v>1</v>
      </c>
      <c r="AI20" s="137">
        <v>1</v>
      </c>
      <c r="AJ20" s="137">
        <v>0</v>
      </c>
      <c r="AK20" s="137">
        <v>0</v>
      </c>
      <c r="AL20" s="137">
        <v>1</v>
      </c>
      <c r="AM20" s="137">
        <v>5</v>
      </c>
      <c r="AN20" s="137">
        <v>0</v>
      </c>
      <c r="AO20" s="137">
        <v>0</v>
      </c>
      <c r="AP20" s="137">
        <v>0</v>
      </c>
      <c r="AQ20" s="137">
        <v>0</v>
      </c>
      <c r="AR20" s="137">
        <v>1</v>
      </c>
      <c r="AS20" s="137">
        <v>0</v>
      </c>
      <c r="AT20" s="137">
        <v>0</v>
      </c>
      <c r="AU20" s="137">
        <v>0</v>
      </c>
      <c r="AV20" s="137">
        <v>0</v>
      </c>
      <c r="AW20" s="137">
        <v>0</v>
      </c>
      <c r="AX20" s="137">
        <v>0</v>
      </c>
      <c r="AY20" s="137">
        <v>0</v>
      </c>
      <c r="AZ20" s="137">
        <v>0</v>
      </c>
      <c r="BA20" s="137">
        <v>0</v>
      </c>
      <c r="BB20" s="137">
        <v>0</v>
      </c>
      <c r="BC20" s="137">
        <v>0</v>
      </c>
      <c r="BD20" s="137">
        <v>0</v>
      </c>
      <c r="BE20" s="137">
        <v>0</v>
      </c>
      <c r="BF20" s="137">
        <v>0</v>
      </c>
      <c r="BG20" s="137">
        <v>0</v>
      </c>
      <c r="BH20" s="137">
        <v>0</v>
      </c>
      <c r="BI20" s="137">
        <v>0</v>
      </c>
      <c r="BJ20" s="137">
        <v>0</v>
      </c>
      <c r="BK20" s="137">
        <v>1</v>
      </c>
      <c r="BL20" s="137">
        <v>0</v>
      </c>
      <c r="BM20" s="137">
        <v>0</v>
      </c>
      <c r="BN20" s="137">
        <v>0</v>
      </c>
      <c r="BO20" s="137">
        <v>0</v>
      </c>
      <c r="BP20" s="137">
        <v>0</v>
      </c>
      <c r="BQ20" s="137">
        <v>1</v>
      </c>
      <c r="BR20" s="137">
        <v>0</v>
      </c>
      <c r="BS20" s="137">
        <v>0</v>
      </c>
      <c r="BT20" s="137">
        <v>0</v>
      </c>
      <c r="BU20" s="137">
        <v>0</v>
      </c>
      <c r="BV20" s="137">
        <v>0</v>
      </c>
      <c r="BW20" s="137">
        <v>0</v>
      </c>
      <c r="BX20" s="137">
        <v>0</v>
      </c>
      <c r="BY20" s="137">
        <v>0</v>
      </c>
      <c r="BZ20" s="137">
        <v>1</v>
      </c>
      <c r="CA20" s="137" t="s">
        <v>968</v>
      </c>
      <c r="CB20" s="137">
        <v>0</v>
      </c>
      <c r="CC20" s="137" t="s">
        <v>947</v>
      </c>
      <c r="CD20" s="137">
        <v>1</v>
      </c>
      <c r="CE20" s="137" t="s">
        <v>946</v>
      </c>
      <c r="CF20" s="137" t="s">
        <v>1007</v>
      </c>
      <c r="CG20" s="137">
        <v>1</v>
      </c>
      <c r="CH20" s="137" t="s">
        <v>946</v>
      </c>
      <c r="CI20" s="137">
        <v>1</v>
      </c>
      <c r="CJ20" s="137" t="s">
        <v>946</v>
      </c>
      <c r="CK20" s="161" t="s">
        <v>993</v>
      </c>
      <c r="CL20" s="137">
        <v>0</v>
      </c>
      <c r="CM20" s="137" t="s">
        <v>947</v>
      </c>
      <c r="CN20" s="137" t="s">
        <v>947</v>
      </c>
      <c r="CO20" s="137">
        <v>0</v>
      </c>
      <c r="CP20" s="137" t="s">
        <v>947</v>
      </c>
      <c r="CQ20" s="137" t="s">
        <v>947</v>
      </c>
      <c r="CR20" s="137">
        <v>0</v>
      </c>
      <c r="CS20" s="137" t="s">
        <v>947</v>
      </c>
      <c r="CT20" s="137" t="s">
        <v>947</v>
      </c>
      <c r="CU20" s="137">
        <v>0</v>
      </c>
      <c r="CV20" s="137" t="s">
        <v>947</v>
      </c>
      <c r="CW20" s="137" t="s">
        <v>947</v>
      </c>
      <c r="CX20" s="137">
        <v>1</v>
      </c>
      <c r="CY20" s="137" t="s">
        <v>965</v>
      </c>
      <c r="CZ20" s="137">
        <v>2</v>
      </c>
      <c r="DA20" s="137"/>
      <c r="DB20" s="152"/>
    </row>
    <row r="21" spans="1:106" ht="16">
      <c r="A21" s="8" t="s">
        <v>107</v>
      </c>
      <c r="B21" s="8">
        <v>22103984</v>
      </c>
      <c r="C21" s="172" t="s">
        <v>1008</v>
      </c>
      <c r="D21" s="10">
        <v>44211</v>
      </c>
      <c r="E21" s="137">
        <v>71.3</v>
      </c>
      <c r="F21" s="137">
        <v>8.6</v>
      </c>
      <c r="G21" s="137">
        <v>16.920000000000002</v>
      </c>
      <c r="H21" s="137">
        <v>43.5</v>
      </c>
      <c r="I21" s="137">
        <v>39</v>
      </c>
      <c r="J21" s="137">
        <v>1</v>
      </c>
      <c r="K21" s="137">
        <v>0</v>
      </c>
      <c r="L21" s="137">
        <v>1</v>
      </c>
      <c r="M21" s="137">
        <v>0</v>
      </c>
      <c r="N21" s="137">
        <v>9</v>
      </c>
      <c r="O21" s="137">
        <v>10</v>
      </c>
      <c r="P21" s="137">
        <v>3170</v>
      </c>
      <c r="Q21" s="137">
        <v>52</v>
      </c>
      <c r="R21" s="137">
        <v>33.5</v>
      </c>
      <c r="S21" s="137">
        <v>32</v>
      </c>
      <c r="T21" s="159">
        <v>32858</v>
      </c>
      <c r="U21" s="137">
        <v>30.41</v>
      </c>
      <c r="V21" s="137">
        <v>1</v>
      </c>
      <c r="W21" s="137">
        <v>0</v>
      </c>
      <c r="X21" s="137">
        <v>0</v>
      </c>
      <c r="Y21" s="137">
        <v>1</v>
      </c>
      <c r="Z21" s="137">
        <v>0</v>
      </c>
      <c r="AA21" s="137">
        <v>0</v>
      </c>
      <c r="AB21" s="137">
        <v>0</v>
      </c>
      <c r="AC21" s="137">
        <v>0</v>
      </c>
      <c r="AD21" s="137">
        <v>0</v>
      </c>
      <c r="AE21" s="137">
        <v>0</v>
      </c>
      <c r="AF21" s="137">
        <v>0</v>
      </c>
      <c r="AG21" s="137">
        <v>0</v>
      </c>
      <c r="AH21" s="137">
        <v>0</v>
      </c>
      <c r="AI21" s="137">
        <v>1</v>
      </c>
      <c r="AJ21" s="137">
        <v>0</v>
      </c>
      <c r="AK21" s="137">
        <v>0</v>
      </c>
      <c r="AL21" s="137">
        <v>1</v>
      </c>
      <c r="AM21" s="137">
        <v>10</v>
      </c>
      <c r="AN21" s="137">
        <v>1</v>
      </c>
      <c r="AO21" s="137">
        <v>10</v>
      </c>
      <c r="AP21" s="137">
        <v>1</v>
      </c>
      <c r="AQ21" s="137">
        <v>1</v>
      </c>
      <c r="AR21" s="137" t="s">
        <v>998</v>
      </c>
      <c r="AS21" s="137">
        <v>0</v>
      </c>
      <c r="AT21" s="137">
        <v>0</v>
      </c>
      <c r="AU21" s="137">
        <v>0</v>
      </c>
      <c r="AV21" s="137">
        <v>0</v>
      </c>
      <c r="AW21" s="137">
        <v>0</v>
      </c>
      <c r="AX21" s="137">
        <v>0</v>
      </c>
      <c r="AY21" s="137">
        <v>0</v>
      </c>
      <c r="AZ21" s="137">
        <v>0</v>
      </c>
      <c r="BA21" s="137">
        <v>0</v>
      </c>
      <c r="BB21" s="137">
        <v>0</v>
      </c>
      <c r="BC21" s="137">
        <v>0</v>
      </c>
      <c r="BD21" s="137">
        <v>0</v>
      </c>
      <c r="BE21" s="137">
        <v>0</v>
      </c>
      <c r="BF21" s="137">
        <v>0</v>
      </c>
      <c r="BG21" s="137">
        <v>0</v>
      </c>
      <c r="BH21" s="137">
        <v>0</v>
      </c>
      <c r="BI21" s="137">
        <v>0</v>
      </c>
      <c r="BJ21" s="137">
        <v>0</v>
      </c>
      <c r="BK21" s="137">
        <v>0</v>
      </c>
      <c r="BL21" s="137">
        <v>0</v>
      </c>
      <c r="BM21" s="137">
        <v>0</v>
      </c>
      <c r="BN21" s="137">
        <v>0</v>
      </c>
      <c r="BO21" s="137">
        <v>0</v>
      </c>
      <c r="BP21" s="137">
        <v>0</v>
      </c>
      <c r="BQ21" s="137">
        <v>0</v>
      </c>
      <c r="BR21" s="137">
        <v>0</v>
      </c>
      <c r="BS21" s="137">
        <v>0</v>
      </c>
      <c r="BT21" s="137">
        <v>0</v>
      </c>
      <c r="BU21" s="137">
        <v>0</v>
      </c>
      <c r="BV21" s="137">
        <v>0</v>
      </c>
      <c r="BW21" s="137">
        <v>0</v>
      </c>
      <c r="BX21" s="137">
        <v>0</v>
      </c>
      <c r="BY21" s="137">
        <v>0</v>
      </c>
      <c r="BZ21" s="137">
        <v>1</v>
      </c>
      <c r="CA21" s="137" t="s">
        <v>1000</v>
      </c>
      <c r="CB21" s="137">
        <v>0</v>
      </c>
      <c r="CC21" s="137" t="s">
        <v>947</v>
      </c>
      <c r="CD21" s="137">
        <v>1</v>
      </c>
      <c r="CE21" s="137" t="s">
        <v>946</v>
      </c>
      <c r="CF21" s="161" t="s">
        <v>1009</v>
      </c>
      <c r="CG21" s="137">
        <v>0</v>
      </c>
      <c r="CH21" s="137" t="s">
        <v>947</v>
      </c>
      <c r="CI21" s="137">
        <v>0</v>
      </c>
      <c r="CJ21" s="137" t="s">
        <v>947</v>
      </c>
      <c r="CK21" s="137" t="s">
        <v>947</v>
      </c>
      <c r="CL21" s="137">
        <v>0</v>
      </c>
      <c r="CM21" s="137" t="s">
        <v>947</v>
      </c>
      <c r="CN21" s="137" t="s">
        <v>947</v>
      </c>
      <c r="CO21" s="137" t="s">
        <v>1010</v>
      </c>
      <c r="CP21" s="137" t="s">
        <v>1011</v>
      </c>
      <c r="CQ21" s="161" t="s">
        <v>1012</v>
      </c>
      <c r="CR21" s="137"/>
      <c r="CS21" s="137"/>
      <c r="CT21" s="137"/>
      <c r="CU21" s="137">
        <v>1</v>
      </c>
      <c r="CV21" s="159" t="s">
        <v>1013</v>
      </c>
      <c r="CW21" s="161" t="s">
        <v>1014</v>
      </c>
      <c r="CX21" s="137">
        <v>1</v>
      </c>
      <c r="CY21" s="159">
        <v>44094</v>
      </c>
      <c r="CZ21" s="137">
        <v>2</v>
      </c>
      <c r="DA21" s="137"/>
      <c r="DB21" s="152"/>
    </row>
    <row r="22" spans="1:106" s="114" customFormat="1" ht="16">
      <c r="A22" s="115" t="s">
        <v>112</v>
      </c>
      <c r="B22" s="115">
        <v>21927677</v>
      </c>
      <c r="C22" s="173" t="s">
        <v>844</v>
      </c>
    </row>
    <row r="23" spans="1:106" ht="16">
      <c r="A23" s="8" t="s">
        <v>116</v>
      </c>
      <c r="B23" s="8">
        <v>22104757</v>
      </c>
      <c r="C23" s="172" t="s">
        <v>1017</v>
      </c>
      <c r="D23" s="10">
        <v>44278</v>
      </c>
      <c r="E23" s="137">
        <v>66.400000000000006</v>
      </c>
      <c r="F23" s="137">
        <v>8.5</v>
      </c>
      <c r="G23" s="137">
        <v>19.28</v>
      </c>
      <c r="H23" s="137">
        <v>43.7</v>
      </c>
      <c r="I23" s="137">
        <v>31</v>
      </c>
      <c r="J23" s="137">
        <v>5</v>
      </c>
      <c r="K23" s="137">
        <v>1</v>
      </c>
      <c r="L23" s="137">
        <v>1</v>
      </c>
      <c r="M23" s="137">
        <v>0</v>
      </c>
      <c r="N23" s="137">
        <v>8</v>
      </c>
      <c r="O23" s="137">
        <v>9</v>
      </c>
      <c r="P23" s="137">
        <v>1450</v>
      </c>
      <c r="Q23" s="137">
        <v>40</v>
      </c>
      <c r="R23" s="137">
        <v>27.5</v>
      </c>
      <c r="S23" s="137">
        <v>24.5</v>
      </c>
      <c r="T23" s="159">
        <v>31635</v>
      </c>
      <c r="U23" s="137">
        <v>33.97</v>
      </c>
      <c r="V23" s="137">
        <v>0</v>
      </c>
      <c r="W23" s="137">
        <v>1</v>
      </c>
      <c r="X23" s="137">
        <v>0</v>
      </c>
      <c r="Y23" s="137">
        <v>1</v>
      </c>
      <c r="Z23" s="137">
        <v>0</v>
      </c>
      <c r="AA23" s="137">
        <v>0</v>
      </c>
      <c r="AB23" s="137">
        <v>0</v>
      </c>
      <c r="AC23" s="137">
        <v>1</v>
      </c>
      <c r="AD23" s="137">
        <v>0</v>
      </c>
      <c r="AE23" s="137">
        <v>0</v>
      </c>
      <c r="AF23" s="137">
        <v>0</v>
      </c>
      <c r="AG23" s="137">
        <v>0</v>
      </c>
      <c r="AH23" s="137">
        <v>0</v>
      </c>
      <c r="AI23" s="137">
        <v>1</v>
      </c>
      <c r="AJ23" s="137">
        <v>0</v>
      </c>
      <c r="AK23" s="137">
        <v>0</v>
      </c>
      <c r="AL23" s="137">
        <v>1</v>
      </c>
      <c r="AM23" s="137">
        <v>10</v>
      </c>
      <c r="AN23" s="137">
        <v>0</v>
      </c>
      <c r="AO23" s="137">
        <v>0</v>
      </c>
      <c r="AP23" s="137">
        <v>0</v>
      </c>
      <c r="AQ23" s="137">
        <v>0</v>
      </c>
      <c r="AR23" s="137">
        <v>2</v>
      </c>
      <c r="AS23" s="137">
        <v>0</v>
      </c>
      <c r="AT23" s="137">
        <v>0</v>
      </c>
      <c r="AU23" s="137">
        <v>0</v>
      </c>
      <c r="AV23" s="137">
        <v>0</v>
      </c>
      <c r="AW23" s="137">
        <v>0</v>
      </c>
      <c r="AX23" s="137">
        <v>0</v>
      </c>
      <c r="AY23" s="137">
        <v>0</v>
      </c>
      <c r="AZ23" s="137">
        <v>0</v>
      </c>
      <c r="BA23" s="137">
        <v>0</v>
      </c>
      <c r="BB23" s="137">
        <v>0</v>
      </c>
      <c r="BC23" s="137">
        <v>0</v>
      </c>
      <c r="BD23" s="137">
        <v>0</v>
      </c>
      <c r="BE23" s="137">
        <v>0</v>
      </c>
      <c r="BF23" s="137">
        <v>0</v>
      </c>
      <c r="BG23" s="137">
        <v>0</v>
      </c>
      <c r="BH23" s="137">
        <v>0</v>
      </c>
      <c r="BI23" s="137">
        <v>0</v>
      </c>
      <c r="BJ23" s="137">
        <v>0</v>
      </c>
      <c r="BK23" s="137">
        <v>0</v>
      </c>
      <c r="BL23" s="137">
        <v>0</v>
      </c>
      <c r="BM23" s="137">
        <v>0</v>
      </c>
      <c r="BN23" s="137">
        <v>0</v>
      </c>
      <c r="BO23" s="137">
        <v>0</v>
      </c>
      <c r="BP23" s="137">
        <v>0</v>
      </c>
      <c r="BQ23" s="137">
        <v>0</v>
      </c>
      <c r="BR23" s="137">
        <v>0</v>
      </c>
      <c r="BS23" s="137">
        <v>0</v>
      </c>
      <c r="BT23" s="137">
        <v>0</v>
      </c>
      <c r="BU23" s="137">
        <v>0</v>
      </c>
      <c r="BV23" s="137">
        <v>0</v>
      </c>
      <c r="BW23" s="137">
        <v>0</v>
      </c>
      <c r="BX23" s="137">
        <v>0</v>
      </c>
      <c r="BY23" s="137">
        <v>0</v>
      </c>
      <c r="BZ23" s="137">
        <v>0</v>
      </c>
      <c r="CA23" s="137" t="s">
        <v>947</v>
      </c>
      <c r="CB23" s="137" t="s">
        <v>947</v>
      </c>
      <c r="CC23" s="137" t="s">
        <v>947</v>
      </c>
      <c r="CD23" s="137">
        <v>1</v>
      </c>
      <c r="CE23" s="137" t="s">
        <v>946</v>
      </c>
      <c r="CF23" s="161" t="s">
        <v>1018</v>
      </c>
      <c r="CG23" s="137">
        <v>1</v>
      </c>
      <c r="CH23" s="137" t="s">
        <v>946</v>
      </c>
      <c r="CI23" s="137">
        <v>0</v>
      </c>
      <c r="CJ23" s="137" t="s">
        <v>947</v>
      </c>
      <c r="CK23" s="137" t="s">
        <v>947</v>
      </c>
      <c r="CL23" s="137">
        <v>0</v>
      </c>
      <c r="CM23" s="137" t="s">
        <v>947</v>
      </c>
      <c r="CN23" s="137" t="s">
        <v>947</v>
      </c>
      <c r="CO23" s="137">
        <v>0</v>
      </c>
      <c r="CP23" s="137" t="s">
        <v>947</v>
      </c>
      <c r="CQ23" s="137" t="s">
        <v>947</v>
      </c>
      <c r="CR23" s="137">
        <v>0</v>
      </c>
      <c r="CS23" s="137" t="s">
        <v>947</v>
      </c>
      <c r="CT23" s="137" t="s">
        <v>947</v>
      </c>
      <c r="CU23" s="137">
        <v>0</v>
      </c>
      <c r="CV23" s="137" t="s">
        <v>947</v>
      </c>
      <c r="CW23" s="137" t="s">
        <v>947</v>
      </c>
      <c r="CX23" s="137">
        <v>1</v>
      </c>
      <c r="CY23" s="137" t="s">
        <v>1019</v>
      </c>
      <c r="CZ23" s="137">
        <v>2</v>
      </c>
      <c r="DA23" s="137"/>
      <c r="DB23" s="152"/>
    </row>
    <row r="24" spans="1:106" ht="16">
      <c r="A24" s="8" t="s">
        <v>121</v>
      </c>
      <c r="B24" s="8">
        <v>22104689</v>
      </c>
      <c r="C24" s="172" t="s">
        <v>1020</v>
      </c>
      <c r="D24" s="10">
        <v>44232</v>
      </c>
      <c r="E24" s="137">
        <v>65.8</v>
      </c>
      <c r="F24" s="137">
        <v>7.1</v>
      </c>
      <c r="G24" s="137">
        <v>16.399999999999999</v>
      </c>
      <c r="H24" s="137">
        <v>43.7</v>
      </c>
      <c r="I24" s="137">
        <v>39</v>
      </c>
      <c r="J24" s="137">
        <v>0</v>
      </c>
      <c r="K24" s="137">
        <v>0</v>
      </c>
      <c r="L24" s="137">
        <v>1</v>
      </c>
      <c r="M24" s="137">
        <v>0</v>
      </c>
      <c r="N24" s="137">
        <v>9</v>
      </c>
      <c r="O24" s="137">
        <v>10</v>
      </c>
      <c r="P24" s="137">
        <v>2900</v>
      </c>
      <c r="Q24" s="137">
        <v>46</v>
      </c>
      <c r="R24" s="137">
        <v>34</v>
      </c>
      <c r="S24" s="137">
        <v>31</v>
      </c>
      <c r="T24" s="159">
        <v>28853</v>
      </c>
      <c r="U24" s="137">
        <v>41.57</v>
      </c>
      <c r="V24" s="137">
        <v>3</v>
      </c>
      <c r="W24" s="137">
        <v>0</v>
      </c>
      <c r="X24" s="137">
        <v>0</v>
      </c>
      <c r="Y24" s="137">
        <v>3</v>
      </c>
      <c r="Z24" s="137">
        <v>0</v>
      </c>
      <c r="AA24" s="137">
        <v>1</v>
      </c>
      <c r="AB24" s="137">
        <v>0</v>
      </c>
      <c r="AC24" s="137">
        <v>0</v>
      </c>
      <c r="AD24" s="137">
        <v>0</v>
      </c>
      <c r="AE24" s="137">
        <v>0</v>
      </c>
      <c r="AF24" s="137">
        <v>0</v>
      </c>
      <c r="AG24" s="137">
        <v>0</v>
      </c>
      <c r="AH24" s="137">
        <v>0</v>
      </c>
      <c r="AI24" s="137">
        <v>0</v>
      </c>
      <c r="AJ24" s="137">
        <v>0</v>
      </c>
      <c r="AK24" s="137">
        <v>0</v>
      </c>
      <c r="AL24" s="137">
        <v>0</v>
      </c>
      <c r="AM24" s="137">
        <v>0</v>
      </c>
      <c r="AN24" s="137">
        <v>0</v>
      </c>
      <c r="AO24" s="137">
        <v>0</v>
      </c>
      <c r="AP24" s="137">
        <v>0</v>
      </c>
      <c r="AQ24" s="137">
        <v>0</v>
      </c>
      <c r="AR24" s="137" t="s">
        <v>1021</v>
      </c>
      <c r="AS24" s="137">
        <v>0</v>
      </c>
      <c r="AT24" s="137">
        <v>0</v>
      </c>
      <c r="AU24" s="137">
        <v>0</v>
      </c>
      <c r="AV24" s="137">
        <v>0</v>
      </c>
      <c r="AW24" s="137">
        <v>0</v>
      </c>
      <c r="AX24" s="137">
        <v>0</v>
      </c>
      <c r="AY24" s="137">
        <v>0</v>
      </c>
      <c r="AZ24" s="137">
        <v>0</v>
      </c>
      <c r="BA24" s="137">
        <v>0</v>
      </c>
      <c r="BB24" s="137">
        <v>0</v>
      </c>
      <c r="BC24" s="137">
        <v>0</v>
      </c>
      <c r="BD24" s="137">
        <v>0</v>
      </c>
      <c r="BE24" s="137">
        <v>0</v>
      </c>
      <c r="BF24" s="137">
        <v>0</v>
      </c>
      <c r="BG24" s="137">
        <v>0</v>
      </c>
      <c r="BH24" s="137">
        <v>0</v>
      </c>
      <c r="BI24" s="137">
        <v>0</v>
      </c>
      <c r="BJ24" s="137">
        <v>0</v>
      </c>
      <c r="BK24" s="137">
        <v>0</v>
      </c>
      <c r="BL24" s="137">
        <v>0</v>
      </c>
      <c r="BM24" s="137">
        <v>0</v>
      </c>
      <c r="BN24" s="137">
        <v>0</v>
      </c>
      <c r="BO24" s="137">
        <v>0</v>
      </c>
      <c r="BP24" s="137">
        <v>0</v>
      </c>
      <c r="BQ24" s="137">
        <v>0</v>
      </c>
      <c r="BR24" s="137">
        <v>0</v>
      </c>
      <c r="BS24" s="137">
        <v>0</v>
      </c>
      <c r="BT24" s="137">
        <v>0</v>
      </c>
      <c r="BU24" s="137">
        <v>0</v>
      </c>
      <c r="BV24" s="137">
        <v>0</v>
      </c>
      <c r="BW24" s="137">
        <v>0</v>
      </c>
      <c r="BX24" s="137">
        <v>0</v>
      </c>
      <c r="BY24" s="137">
        <v>0</v>
      </c>
      <c r="BZ24" s="137">
        <v>1</v>
      </c>
      <c r="CA24" s="137" t="s">
        <v>946</v>
      </c>
      <c r="CB24" s="137">
        <v>0</v>
      </c>
      <c r="CC24" s="137" t="s">
        <v>947</v>
      </c>
      <c r="CD24" s="137">
        <v>1</v>
      </c>
      <c r="CE24" s="137" t="s">
        <v>1022</v>
      </c>
      <c r="CF24" s="137" t="s">
        <v>1023</v>
      </c>
      <c r="CG24" s="137">
        <v>0</v>
      </c>
      <c r="CH24" s="137" t="s">
        <v>947</v>
      </c>
      <c r="CI24" s="137">
        <v>1</v>
      </c>
      <c r="CJ24" s="137" t="s">
        <v>1024</v>
      </c>
      <c r="CK24" s="161" t="s">
        <v>1025</v>
      </c>
      <c r="CL24" s="137">
        <v>1</v>
      </c>
      <c r="CM24" s="137" t="s">
        <v>1024</v>
      </c>
      <c r="CN24" s="161" t="s">
        <v>1025</v>
      </c>
      <c r="CO24" s="137">
        <v>0</v>
      </c>
      <c r="CP24" s="137" t="s">
        <v>947</v>
      </c>
      <c r="CQ24" s="137" t="s">
        <v>947</v>
      </c>
      <c r="CR24" s="137">
        <v>0</v>
      </c>
      <c r="CS24" s="137" t="s">
        <v>947</v>
      </c>
      <c r="CT24" s="137" t="s">
        <v>947</v>
      </c>
      <c r="CU24" s="137">
        <v>0</v>
      </c>
      <c r="CV24" s="137" t="s">
        <v>947</v>
      </c>
      <c r="CW24" s="137" t="s">
        <v>947</v>
      </c>
      <c r="CX24" s="137">
        <v>1</v>
      </c>
      <c r="CY24" s="137" t="s">
        <v>1026</v>
      </c>
      <c r="CZ24" s="137">
        <v>2</v>
      </c>
      <c r="DA24" s="137"/>
      <c r="DB24" s="152"/>
    </row>
    <row r="25" spans="1:106" s="110" customFormat="1" ht="16">
      <c r="A25" s="116" t="s">
        <v>126</v>
      </c>
      <c r="B25" s="116">
        <v>22264557</v>
      </c>
      <c r="C25" s="174" t="s">
        <v>1027</v>
      </c>
      <c r="D25" s="117">
        <v>44264</v>
      </c>
      <c r="E25" s="153">
        <v>67</v>
      </c>
      <c r="F25" s="153">
        <v>8.1999999999999993</v>
      </c>
      <c r="G25" s="153">
        <v>18.27</v>
      </c>
      <c r="H25" s="153">
        <v>42.5</v>
      </c>
      <c r="I25" s="153">
        <v>38</v>
      </c>
      <c r="J25" s="153">
        <v>0</v>
      </c>
      <c r="K25" s="153">
        <v>0</v>
      </c>
      <c r="L25" s="153">
        <v>2</v>
      </c>
      <c r="M25" s="153">
        <v>0</v>
      </c>
      <c r="N25" s="153">
        <v>9</v>
      </c>
      <c r="O25" s="153">
        <v>10</v>
      </c>
      <c r="P25" s="153">
        <v>2760</v>
      </c>
      <c r="Q25" s="153">
        <v>47</v>
      </c>
      <c r="R25" s="153">
        <v>32</v>
      </c>
      <c r="S25" s="153">
        <v>31</v>
      </c>
      <c r="T25" s="155">
        <v>32085</v>
      </c>
      <c r="U25" s="153">
        <v>32.72</v>
      </c>
      <c r="V25" s="153">
        <v>3</v>
      </c>
      <c r="W25" s="153">
        <v>0</v>
      </c>
      <c r="X25" s="153">
        <v>0</v>
      </c>
      <c r="Y25" s="153">
        <v>3</v>
      </c>
      <c r="Z25" s="153">
        <v>0</v>
      </c>
      <c r="AA25" s="153">
        <v>0</v>
      </c>
      <c r="AB25" s="153">
        <v>0</v>
      </c>
      <c r="AC25" s="153">
        <v>0</v>
      </c>
      <c r="AD25" s="153">
        <v>0</v>
      </c>
      <c r="AE25" s="153">
        <v>0</v>
      </c>
      <c r="AF25" s="153">
        <v>0</v>
      </c>
      <c r="AG25" s="153">
        <v>0</v>
      </c>
      <c r="AH25" s="153">
        <v>0</v>
      </c>
      <c r="AI25" s="153">
        <v>1</v>
      </c>
      <c r="AJ25" s="153">
        <v>0</v>
      </c>
      <c r="AK25" s="153">
        <v>0</v>
      </c>
      <c r="AL25" s="153">
        <v>1</v>
      </c>
      <c r="AM25" s="153">
        <v>20</v>
      </c>
      <c r="AN25" s="153">
        <v>0</v>
      </c>
      <c r="AO25" s="153">
        <v>0</v>
      </c>
      <c r="AP25" s="153">
        <v>0</v>
      </c>
      <c r="AQ25" s="153">
        <v>0</v>
      </c>
      <c r="AR25" s="153" t="s">
        <v>954</v>
      </c>
      <c r="AS25" s="153">
        <v>1</v>
      </c>
      <c r="AT25" s="153">
        <v>0</v>
      </c>
      <c r="AU25" s="153">
        <v>0</v>
      </c>
      <c r="AV25" s="153">
        <v>0</v>
      </c>
      <c r="AW25" s="153">
        <v>0</v>
      </c>
      <c r="AX25" s="157" t="s">
        <v>1028</v>
      </c>
      <c r="AY25" s="153">
        <v>0</v>
      </c>
      <c r="AZ25" s="153">
        <v>0</v>
      </c>
      <c r="BA25" s="153">
        <v>0</v>
      </c>
      <c r="BB25" s="153">
        <v>0</v>
      </c>
      <c r="BC25" s="153">
        <v>0</v>
      </c>
      <c r="BD25" s="153">
        <v>0</v>
      </c>
      <c r="BE25" s="153">
        <v>0</v>
      </c>
      <c r="BF25" s="153">
        <v>0</v>
      </c>
      <c r="BG25" s="153">
        <v>0</v>
      </c>
      <c r="BH25" s="153">
        <v>0</v>
      </c>
      <c r="BI25" s="153">
        <v>0</v>
      </c>
      <c r="BJ25" s="153">
        <v>0</v>
      </c>
      <c r="BK25" s="153">
        <v>0</v>
      </c>
      <c r="BL25" s="153">
        <v>0</v>
      </c>
      <c r="BM25" s="153">
        <v>0</v>
      </c>
      <c r="BN25" s="153">
        <v>0</v>
      </c>
      <c r="BO25" s="153">
        <v>0</v>
      </c>
      <c r="BP25" s="153">
        <v>0</v>
      </c>
      <c r="BQ25" s="153">
        <v>0</v>
      </c>
      <c r="BR25" s="153">
        <v>0</v>
      </c>
      <c r="BS25" s="153">
        <v>0</v>
      </c>
      <c r="BT25" s="153">
        <v>0</v>
      </c>
      <c r="BU25" s="153">
        <v>0</v>
      </c>
      <c r="BV25" s="153">
        <v>0</v>
      </c>
      <c r="BW25" s="153">
        <v>0</v>
      </c>
      <c r="BX25" s="153">
        <v>0</v>
      </c>
      <c r="BY25" s="153">
        <v>0</v>
      </c>
      <c r="BZ25" s="153">
        <v>1</v>
      </c>
      <c r="CA25" s="153" t="s">
        <v>986</v>
      </c>
      <c r="CB25" s="153">
        <v>0</v>
      </c>
      <c r="CC25" s="153" t="s">
        <v>947</v>
      </c>
      <c r="CD25" s="153">
        <v>1</v>
      </c>
      <c r="CE25" s="153" t="s">
        <v>946</v>
      </c>
      <c r="CF25" s="157" t="s">
        <v>1029</v>
      </c>
      <c r="CG25" s="153">
        <v>0</v>
      </c>
      <c r="CH25" s="153" t="s">
        <v>947</v>
      </c>
      <c r="CI25" s="153">
        <v>0</v>
      </c>
      <c r="CJ25" s="153" t="s">
        <v>947</v>
      </c>
      <c r="CK25" s="153" t="s">
        <v>947</v>
      </c>
      <c r="CL25" s="153">
        <v>0</v>
      </c>
      <c r="CM25" s="153" t="s">
        <v>947</v>
      </c>
      <c r="CN25" s="153" t="s">
        <v>947</v>
      </c>
      <c r="CO25" s="153">
        <v>0</v>
      </c>
      <c r="CP25" s="153" t="s">
        <v>947</v>
      </c>
      <c r="CQ25" s="153" t="s">
        <v>947</v>
      </c>
      <c r="CR25" s="153">
        <v>0</v>
      </c>
      <c r="CS25" s="153" t="s">
        <v>947</v>
      </c>
      <c r="CT25" s="153" t="s">
        <v>947</v>
      </c>
      <c r="CU25" s="153">
        <v>1</v>
      </c>
      <c r="CV25" s="153" t="s">
        <v>1030</v>
      </c>
      <c r="CW25" s="153" t="s">
        <v>1031</v>
      </c>
      <c r="CX25" s="153">
        <v>1</v>
      </c>
      <c r="CY25" s="153" t="s">
        <v>965</v>
      </c>
      <c r="CZ25" s="153">
        <v>2</v>
      </c>
      <c r="DA25" s="153"/>
      <c r="DB25" s="158"/>
    </row>
    <row r="26" spans="1:106" ht="16">
      <c r="A26" s="8" t="s">
        <v>131</v>
      </c>
      <c r="B26" s="8">
        <v>22104829</v>
      </c>
      <c r="C26" s="118" t="s">
        <v>1032</v>
      </c>
      <c r="D26" s="10">
        <v>44292</v>
      </c>
      <c r="E26" s="137">
        <v>67.3</v>
      </c>
      <c r="F26" s="137">
        <v>8.3000000000000007</v>
      </c>
      <c r="G26" s="137">
        <v>18.329999999999998</v>
      </c>
      <c r="H26" s="137">
        <v>42.9</v>
      </c>
      <c r="I26" s="137">
        <v>30</v>
      </c>
      <c r="J26" s="137">
        <v>5</v>
      </c>
      <c r="K26" s="137">
        <v>1</v>
      </c>
      <c r="L26" s="137">
        <v>2</v>
      </c>
      <c r="M26" s="137">
        <v>0</v>
      </c>
      <c r="N26" s="137">
        <v>8</v>
      </c>
      <c r="O26" s="137">
        <v>9</v>
      </c>
      <c r="P26" s="137">
        <v>1410</v>
      </c>
      <c r="Q26" s="137">
        <v>38</v>
      </c>
      <c r="R26" s="137">
        <v>27</v>
      </c>
      <c r="S26" s="137">
        <v>25</v>
      </c>
      <c r="T26" s="159">
        <v>31638</v>
      </c>
      <c r="U26" s="137">
        <v>33.979999999999997</v>
      </c>
      <c r="V26" s="137">
        <v>0</v>
      </c>
      <c r="W26" s="137">
        <v>1</v>
      </c>
      <c r="X26" s="137">
        <v>7</v>
      </c>
      <c r="Y26" s="137">
        <v>1</v>
      </c>
      <c r="Z26" s="137">
        <v>0</v>
      </c>
      <c r="AA26" s="137">
        <v>0</v>
      </c>
      <c r="AB26" s="137">
        <v>0</v>
      </c>
      <c r="AC26" s="137">
        <v>1</v>
      </c>
      <c r="AD26" s="137">
        <v>0</v>
      </c>
      <c r="AE26" s="137">
        <v>0</v>
      </c>
      <c r="AF26" s="137">
        <v>0</v>
      </c>
      <c r="AG26" s="137">
        <v>0</v>
      </c>
      <c r="AH26" s="137">
        <v>0</v>
      </c>
      <c r="AI26" s="137">
        <v>1</v>
      </c>
      <c r="AJ26" s="137">
        <v>1</v>
      </c>
      <c r="AK26" s="137">
        <v>10</v>
      </c>
      <c r="AL26" s="137">
        <v>0</v>
      </c>
      <c r="AM26" s="137">
        <v>0</v>
      </c>
      <c r="AN26" s="137">
        <v>0</v>
      </c>
      <c r="AO26" s="137">
        <v>0</v>
      </c>
      <c r="AP26" s="137">
        <v>0</v>
      </c>
      <c r="AQ26" s="137">
        <v>0</v>
      </c>
      <c r="AR26" s="137">
        <v>3</v>
      </c>
      <c r="AS26" s="137">
        <v>1</v>
      </c>
      <c r="AT26" s="137">
        <v>0</v>
      </c>
      <c r="AU26" s="137">
        <v>0</v>
      </c>
      <c r="AV26" s="137">
        <v>0</v>
      </c>
      <c r="AW26" s="137">
        <v>0</v>
      </c>
      <c r="AX26" s="161" t="s">
        <v>1033</v>
      </c>
      <c r="AY26" s="137">
        <v>0</v>
      </c>
      <c r="AZ26" s="137">
        <v>0</v>
      </c>
      <c r="BA26" s="137">
        <v>0</v>
      </c>
      <c r="BB26" s="137">
        <v>0</v>
      </c>
      <c r="BC26" s="137">
        <v>0</v>
      </c>
      <c r="BD26" s="137">
        <v>0</v>
      </c>
      <c r="BE26" s="137">
        <v>0</v>
      </c>
      <c r="BF26" s="137">
        <v>0</v>
      </c>
      <c r="BG26" s="137">
        <v>0</v>
      </c>
      <c r="BH26" s="137">
        <v>0</v>
      </c>
      <c r="BI26" s="137">
        <v>0</v>
      </c>
      <c r="BJ26" s="137">
        <v>0</v>
      </c>
      <c r="BK26" s="137">
        <v>1</v>
      </c>
      <c r="BL26" s="137">
        <v>0</v>
      </c>
      <c r="BM26" s="137">
        <v>1</v>
      </c>
      <c r="BN26" s="137">
        <v>0</v>
      </c>
      <c r="BO26" s="137">
        <v>0</v>
      </c>
      <c r="BP26" s="137">
        <v>0</v>
      </c>
      <c r="BQ26" s="137">
        <v>0</v>
      </c>
      <c r="BR26" s="137">
        <v>0</v>
      </c>
      <c r="BS26" s="137">
        <v>0</v>
      </c>
      <c r="BT26" s="137">
        <v>0</v>
      </c>
      <c r="BU26" s="137">
        <v>0</v>
      </c>
      <c r="BV26" s="137">
        <v>0</v>
      </c>
      <c r="BW26" s="137">
        <v>0</v>
      </c>
      <c r="BX26" s="137">
        <v>0</v>
      </c>
      <c r="BY26" s="137">
        <v>0</v>
      </c>
      <c r="BZ26" s="137">
        <v>1</v>
      </c>
      <c r="CA26" s="137" t="s">
        <v>979</v>
      </c>
      <c r="CB26" s="137">
        <v>0</v>
      </c>
      <c r="CC26" s="137" t="s">
        <v>947</v>
      </c>
      <c r="CD26" s="137">
        <v>1</v>
      </c>
      <c r="CE26" s="137" t="s">
        <v>1034</v>
      </c>
      <c r="CF26" s="161" t="s">
        <v>1035</v>
      </c>
      <c r="CG26" s="137">
        <v>1</v>
      </c>
      <c r="CH26" s="137" t="s">
        <v>946</v>
      </c>
      <c r="CI26" s="137">
        <v>0</v>
      </c>
      <c r="CJ26" s="137" t="s">
        <v>947</v>
      </c>
      <c r="CK26" s="137" t="s">
        <v>947</v>
      </c>
      <c r="CL26" s="137">
        <v>1</v>
      </c>
      <c r="CM26" s="137" t="s">
        <v>1022</v>
      </c>
      <c r="CN26" s="161" t="s">
        <v>1036</v>
      </c>
      <c r="CO26" s="161" t="s">
        <v>992</v>
      </c>
      <c r="CP26" s="137" t="s">
        <v>946</v>
      </c>
      <c r="CQ26" s="161" t="s">
        <v>993</v>
      </c>
      <c r="CR26" s="137">
        <v>0</v>
      </c>
      <c r="CS26" s="137" t="s">
        <v>947</v>
      </c>
      <c r="CT26" s="137" t="s">
        <v>947</v>
      </c>
      <c r="CU26" s="137">
        <v>1</v>
      </c>
      <c r="CV26" s="161" t="s">
        <v>1037</v>
      </c>
      <c r="CW26" s="161" t="s">
        <v>1033</v>
      </c>
      <c r="CX26" s="137">
        <v>1</v>
      </c>
      <c r="CY26" s="137" t="s">
        <v>962</v>
      </c>
      <c r="CZ26" s="137">
        <v>2</v>
      </c>
      <c r="DA26" s="137"/>
      <c r="DB26" s="152"/>
    </row>
    <row r="27" spans="1:106" ht="16">
      <c r="A27" s="8" t="s">
        <v>136</v>
      </c>
      <c r="B27" s="8">
        <v>22105033</v>
      </c>
      <c r="C27" s="172" t="s">
        <v>1038</v>
      </c>
      <c r="D27" s="10">
        <v>44302</v>
      </c>
      <c r="E27" s="137">
        <v>70</v>
      </c>
      <c r="F27" s="137">
        <v>8.6</v>
      </c>
      <c r="G27" s="137">
        <v>17.55</v>
      </c>
      <c r="H27" s="137">
        <v>42.7</v>
      </c>
      <c r="I27" s="137">
        <v>30</v>
      </c>
      <c r="J27" s="137">
        <v>3</v>
      </c>
      <c r="K27" s="137">
        <v>1</v>
      </c>
      <c r="L27" s="137">
        <v>2</v>
      </c>
      <c r="M27" s="137">
        <v>0</v>
      </c>
      <c r="N27" s="137"/>
      <c r="O27" s="137"/>
      <c r="P27" s="137">
        <v>1850</v>
      </c>
      <c r="Q27" s="137">
        <v>44</v>
      </c>
      <c r="R27" s="137">
        <v>28</v>
      </c>
      <c r="S27" s="137">
        <v>26.5</v>
      </c>
      <c r="T27" s="159">
        <v>29623</v>
      </c>
      <c r="U27" s="137">
        <v>39.549999999999997</v>
      </c>
      <c r="V27" s="137">
        <v>0</v>
      </c>
      <c r="W27" s="137">
        <v>1</v>
      </c>
      <c r="X27" s="137">
        <v>0</v>
      </c>
      <c r="Y27" s="137">
        <v>1</v>
      </c>
      <c r="Z27" s="137">
        <v>0</v>
      </c>
      <c r="AA27" s="137">
        <v>0</v>
      </c>
      <c r="AB27" s="137">
        <v>0</v>
      </c>
      <c r="AC27" s="137">
        <v>0</v>
      </c>
      <c r="AD27" s="137">
        <v>0</v>
      </c>
      <c r="AE27" s="137">
        <v>0</v>
      </c>
      <c r="AF27" s="137">
        <v>0</v>
      </c>
      <c r="AG27" s="137">
        <v>0</v>
      </c>
      <c r="AH27" s="137">
        <v>0</v>
      </c>
      <c r="AI27" s="137">
        <v>0</v>
      </c>
      <c r="AJ27" s="137">
        <v>0</v>
      </c>
      <c r="AK27" s="137">
        <v>0</v>
      </c>
      <c r="AL27" s="137">
        <v>0</v>
      </c>
      <c r="AM27" s="137">
        <v>0</v>
      </c>
      <c r="AN27" s="137">
        <v>0</v>
      </c>
      <c r="AO27" s="137">
        <v>0</v>
      </c>
      <c r="AP27" s="137">
        <v>0</v>
      </c>
      <c r="AQ27" s="137">
        <v>0</v>
      </c>
      <c r="AR27" s="137">
        <v>1</v>
      </c>
      <c r="AS27" s="137">
        <v>0</v>
      </c>
      <c r="AT27" s="137">
        <v>0</v>
      </c>
      <c r="AU27" s="137">
        <v>0</v>
      </c>
      <c r="AV27" s="137">
        <v>0</v>
      </c>
      <c r="AW27" s="137">
        <v>0</v>
      </c>
      <c r="AX27" s="137">
        <v>0</v>
      </c>
      <c r="AY27" s="137">
        <v>1</v>
      </c>
      <c r="AZ27" s="137">
        <v>0</v>
      </c>
      <c r="BA27" s="137">
        <v>0</v>
      </c>
      <c r="BB27" s="137">
        <v>1</v>
      </c>
      <c r="BC27" s="137">
        <v>0</v>
      </c>
      <c r="BD27" s="137">
        <v>0</v>
      </c>
      <c r="BE27" s="137">
        <v>0</v>
      </c>
      <c r="BF27" s="137">
        <v>0</v>
      </c>
      <c r="BG27" s="137">
        <v>0</v>
      </c>
      <c r="BH27" s="137">
        <v>0</v>
      </c>
      <c r="BI27" s="137">
        <v>0</v>
      </c>
      <c r="BJ27" s="137">
        <v>0</v>
      </c>
      <c r="BK27" s="137">
        <v>1</v>
      </c>
      <c r="BL27" s="137">
        <v>0</v>
      </c>
      <c r="BM27" s="137">
        <v>1</v>
      </c>
      <c r="BN27" s="137">
        <v>0</v>
      </c>
      <c r="BO27" s="137">
        <v>0</v>
      </c>
      <c r="BP27" s="137">
        <v>0</v>
      </c>
      <c r="BQ27" s="137">
        <v>1</v>
      </c>
      <c r="BR27" s="137">
        <v>0</v>
      </c>
      <c r="BS27" s="137">
        <v>0</v>
      </c>
      <c r="BT27" s="137">
        <v>0</v>
      </c>
      <c r="BU27" s="137">
        <v>0</v>
      </c>
      <c r="BV27" s="137">
        <v>0</v>
      </c>
      <c r="BW27" s="137">
        <v>0</v>
      </c>
      <c r="BX27" s="137">
        <v>0</v>
      </c>
      <c r="BY27" s="137">
        <v>0</v>
      </c>
      <c r="BZ27" s="137">
        <v>0</v>
      </c>
      <c r="CA27" s="137" t="s">
        <v>947</v>
      </c>
      <c r="CB27" s="137" t="s">
        <v>947</v>
      </c>
      <c r="CC27" s="137" t="s">
        <v>947</v>
      </c>
      <c r="CD27" s="137">
        <v>1</v>
      </c>
      <c r="CE27" s="137" t="s">
        <v>946</v>
      </c>
      <c r="CF27" s="161" t="s">
        <v>1039</v>
      </c>
      <c r="CG27" s="137">
        <v>1</v>
      </c>
      <c r="CH27" s="137" t="s">
        <v>946</v>
      </c>
      <c r="CI27" s="137">
        <v>1</v>
      </c>
      <c r="CJ27" s="137" t="s">
        <v>946</v>
      </c>
      <c r="CK27" s="161" t="s">
        <v>993</v>
      </c>
      <c r="CL27" s="137">
        <v>1</v>
      </c>
      <c r="CM27" s="161" t="s">
        <v>1040</v>
      </c>
      <c r="CN27" s="161" t="s">
        <v>1041</v>
      </c>
      <c r="CO27" s="137">
        <v>0</v>
      </c>
      <c r="CP27" s="137" t="s">
        <v>947</v>
      </c>
      <c r="CQ27" s="137" t="s">
        <v>947</v>
      </c>
      <c r="CR27" s="137">
        <v>0</v>
      </c>
      <c r="CS27" s="137" t="s">
        <v>947</v>
      </c>
      <c r="CT27" s="137" t="s">
        <v>947</v>
      </c>
      <c r="CU27" s="137">
        <v>0</v>
      </c>
      <c r="CV27" s="137" t="s">
        <v>947</v>
      </c>
      <c r="CW27" s="137" t="s">
        <v>947</v>
      </c>
      <c r="CX27" s="137">
        <v>0</v>
      </c>
      <c r="CY27" s="137" t="s">
        <v>947</v>
      </c>
      <c r="CZ27" s="137">
        <v>2</v>
      </c>
      <c r="DA27" s="137"/>
      <c r="DB27" s="152"/>
    </row>
    <row r="28" spans="1:106" ht="16">
      <c r="A28" s="8" t="s">
        <v>141</v>
      </c>
      <c r="B28" s="8">
        <v>22104898</v>
      </c>
      <c r="C28" s="172" t="s">
        <v>1042</v>
      </c>
      <c r="D28" s="10">
        <v>44326</v>
      </c>
      <c r="E28" s="137">
        <v>64</v>
      </c>
      <c r="F28" s="137">
        <v>6.3</v>
      </c>
      <c r="G28" s="137">
        <v>15.38</v>
      </c>
      <c r="H28" s="137">
        <v>39.799999999999997</v>
      </c>
      <c r="I28" s="137">
        <v>27</v>
      </c>
      <c r="J28" s="137">
        <v>4</v>
      </c>
      <c r="K28" s="137">
        <v>1</v>
      </c>
      <c r="L28" s="137">
        <v>2</v>
      </c>
      <c r="M28" s="137">
        <v>0</v>
      </c>
      <c r="N28" s="137">
        <v>6</v>
      </c>
      <c r="O28" s="137">
        <v>5</v>
      </c>
      <c r="P28" s="137">
        <v>900</v>
      </c>
      <c r="Q28" s="137">
        <v>30</v>
      </c>
      <c r="R28" s="137">
        <v>23</v>
      </c>
      <c r="S28" s="137">
        <v>22.5</v>
      </c>
      <c r="T28" s="159">
        <v>31382</v>
      </c>
      <c r="U28" s="137">
        <v>34.700000000000003</v>
      </c>
      <c r="V28" s="137">
        <v>3</v>
      </c>
      <c r="W28" s="137">
        <v>1</v>
      </c>
      <c r="X28" s="137">
        <v>1</v>
      </c>
      <c r="Y28" s="137">
        <v>2</v>
      </c>
      <c r="Z28" s="137">
        <v>0</v>
      </c>
      <c r="AA28" s="137">
        <v>0</v>
      </c>
      <c r="AB28" s="137">
        <v>0</v>
      </c>
      <c r="AC28" s="137">
        <v>1</v>
      </c>
      <c r="AD28" s="137">
        <v>0</v>
      </c>
      <c r="AE28" s="137">
        <v>0</v>
      </c>
      <c r="AF28" s="137">
        <v>1</v>
      </c>
      <c r="AG28" s="137">
        <v>1</v>
      </c>
      <c r="AH28" s="137">
        <v>0</v>
      </c>
      <c r="AI28" s="137">
        <v>0</v>
      </c>
      <c r="AJ28" s="137">
        <v>0</v>
      </c>
      <c r="AK28" s="137">
        <v>0</v>
      </c>
      <c r="AL28" s="137">
        <v>0</v>
      </c>
      <c r="AM28" s="137">
        <v>0</v>
      </c>
      <c r="AN28" s="137">
        <v>0</v>
      </c>
      <c r="AO28" s="137">
        <v>0</v>
      </c>
      <c r="AP28" s="137">
        <v>0</v>
      </c>
      <c r="AQ28" s="137">
        <v>0</v>
      </c>
      <c r="AR28" s="137">
        <v>1</v>
      </c>
      <c r="AS28" s="137">
        <v>0</v>
      </c>
      <c r="AT28" s="137">
        <v>0</v>
      </c>
      <c r="AU28" s="137">
        <v>0</v>
      </c>
      <c r="AV28" s="137">
        <v>0</v>
      </c>
      <c r="AW28" s="137">
        <v>0</v>
      </c>
      <c r="AX28" s="137">
        <v>0</v>
      </c>
      <c r="AY28" s="137">
        <v>0</v>
      </c>
      <c r="AZ28" s="137">
        <v>0</v>
      </c>
      <c r="BA28" s="137">
        <v>0</v>
      </c>
      <c r="BB28" s="137">
        <v>0</v>
      </c>
      <c r="BC28" s="137">
        <v>0</v>
      </c>
      <c r="BD28" s="137">
        <v>0</v>
      </c>
      <c r="BE28" s="137">
        <v>0</v>
      </c>
      <c r="BF28" s="137">
        <v>0</v>
      </c>
      <c r="BG28" s="137">
        <v>0</v>
      </c>
      <c r="BH28" s="137">
        <v>0</v>
      </c>
      <c r="BI28" s="137">
        <v>0</v>
      </c>
      <c r="BJ28" s="137">
        <v>0</v>
      </c>
      <c r="BK28" s="137">
        <v>1</v>
      </c>
      <c r="BL28" s="137">
        <v>1</v>
      </c>
      <c r="BM28" s="137">
        <v>1</v>
      </c>
      <c r="BN28" s="137">
        <v>0</v>
      </c>
      <c r="BO28" s="137">
        <v>0</v>
      </c>
      <c r="BP28" s="137">
        <v>0</v>
      </c>
      <c r="BQ28" s="137">
        <v>0</v>
      </c>
      <c r="BR28" s="137">
        <v>0</v>
      </c>
      <c r="BS28" s="137">
        <v>0</v>
      </c>
      <c r="BT28" s="137">
        <v>0</v>
      </c>
      <c r="BU28" s="137">
        <v>0</v>
      </c>
      <c r="BV28" s="137">
        <v>0</v>
      </c>
      <c r="BW28" s="137">
        <v>0</v>
      </c>
      <c r="BX28" s="137">
        <v>0</v>
      </c>
      <c r="BY28" s="137">
        <v>0</v>
      </c>
      <c r="BZ28" s="137">
        <v>1</v>
      </c>
      <c r="CA28" s="137" t="s">
        <v>946</v>
      </c>
      <c r="CB28" s="137">
        <v>1</v>
      </c>
      <c r="CC28" s="161" t="s">
        <v>1043</v>
      </c>
      <c r="CD28" s="137">
        <v>0</v>
      </c>
      <c r="CE28" s="137" t="s">
        <v>947</v>
      </c>
      <c r="CF28" s="137" t="s">
        <v>947</v>
      </c>
      <c r="CG28" s="137">
        <v>1</v>
      </c>
      <c r="CH28" s="161" t="s">
        <v>1044</v>
      </c>
      <c r="CI28" s="137">
        <v>1</v>
      </c>
      <c r="CJ28" s="161" t="s">
        <v>1044</v>
      </c>
      <c r="CK28" s="161" t="s">
        <v>993</v>
      </c>
      <c r="CL28" s="137">
        <v>0</v>
      </c>
      <c r="CM28" s="137" t="s">
        <v>947</v>
      </c>
      <c r="CN28" s="137" t="s">
        <v>947</v>
      </c>
      <c r="CO28" s="137">
        <v>0</v>
      </c>
      <c r="CP28" s="137" t="s">
        <v>947</v>
      </c>
      <c r="CQ28" s="137" t="s">
        <v>947</v>
      </c>
      <c r="CR28" s="137">
        <v>0</v>
      </c>
      <c r="CS28" s="137" t="s">
        <v>947</v>
      </c>
      <c r="CT28" s="137" t="s">
        <v>947</v>
      </c>
      <c r="CU28" s="137">
        <v>0</v>
      </c>
      <c r="CV28" s="137" t="s">
        <v>947</v>
      </c>
      <c r="CW28" s="137" t="s">
        <v>947</v>
      </c>
      <c r="CX28" s="137">
        <v>1</v>
      </c>
      <c r="CY28" s="159">
        <v>44262</v>
      </c>
      <c r="CZ28" s="137">
        <v>2</v>
      </c>
      <c r="DA28" s="137"/>
      <c r="DB28" s="152"/>
    </row>
    <row r="29" spans="1:106" ht="16">
      <c r="A29" s="8" t="s">
        <v>146</v>
      </c>
      <c r="B29" s="8">
        <v>22104899</v>
      </c>
      <c r="C29" s="172" t="s">
        <v>1045</v>
      </c>
      <c r="D29" s="10">
        <v>44326</v>
      </c>
      <c r="E29" s="137">
        <v>64</v>
      </c>
      <c r="F29" s="137">
        <v>6.8</v>
      </c>
      <c r="G29" s="137">
        <v>16.600000000000001</v>
      </c>
      <c r="H29" s="137">
        <v>40.5</v>
      </c>
      <c r="I29" s="137">
        <v>27</v>
      </c>
      <c r="J29" s="137">
        <v>4</v>
      </c>
      <c r="K29" s="137">
        <v>1</v>
      </c>
      <c r="L29" s="137">
        <v>2</v>
      </c>
      <c r="M29" s="137">
        <v>0</v>
      </c>
      <c r="N29" s="137">
        <v>8</v>
      </c>
      <c r="O29" s="137">
        <v>9</v>
      </c>
      <c r="P29" s="137">
        <v>925</v>
      </c>
      <c r="Q29" s="137">
        <v>35</v>
      </c>
      <c r="R29" s="137">
        <v>23.5</v>
      </c>
      <c r="S29" s="137">
        <v>22.5</v>
      </c>
      <c r="T29" s="159">
        <v>31382</v>
      </c>
      <c r="U29" s="137">
        <v>34.700000000000003</v>
      </c>
      <c r="V29" s="137">
        <v>3</v>
      </c>
      <c r="W29" s="137">
        <v>1</v>
      </c>
      <c r="X29" s="137">
        <v>1</v>
      </c>
      <c r="Y29" s="137">
        <v>2</v>
      </c>
      <c r="Z29" s="137">
        <v>0</v>
      </c>
      <c r="AA29" s="137">
        <v>0</v>
      </c>
      <c r="AB29" s="137">
        <v>0</v>
      </c>
      <c r="AC29" s="137">
        <v>1</v>
      </c>
      <c r="AD29" s="137">
        <v>0</v>
      </c>
      <c r="AE29" s="137">
        <v>0</v>
      </c>
      <c r="AF29" s="137">
        <v>1</v>
      </c>
      <c r="AG29" s="137">
        <v>1</v>
      </c>
      <c r="AH29" s="137">
        <v>0</v>
      </c>
      <c r="AI29" s="137">
        <v>0</v>
      </c>
      <c r="AJ29" s="137">
        <v>0</v>
      </c>
      <c r="AK29" s="137">
        <v>0</v>
      </c>
      <c r="AL29" s="137">
        <v>0</v>
      </c>
      <c r="AM29" s="137">
        <v>0</v>
      </c>
      <c r="AN29" s="137">
        <v>0</v>
      </c>
      <c r="AO29" s="137">
        <v>0</v>
      </c>
      <c r="AP29" s="137">
        <v>0</v>
      </c>
      <c r="AQ29" s="137">
        <v>0</v>
      </c>
      <c r="AR29" s="137">
        <v>1</v>
      </c>
      <c r="AS29" s="137">
        <v>0</v>
      </c>
      <c r="AT29" s="137">
        <v>0</v>
      </c>
      <c r="AU29" s="137">
        <v>0</v>
      </c>
      <c r="AV29" s="137">
        <v>0</v>
      </c>
      <c r="AW29" s="137">
        <v>0</v>
      </c>
      <c r="AX29" s="137">
        <v>0</v>
      </c>
      <c r="AY29" s="137">
        <v>0</v>
      </c>
      <c r="AZ29" s="137">
        <v>0</v>
      </c>
      <c r="BA29" s="137">
        <v>0</v>
      </c>
      <c r="BB29" s="137">
        <v>0</v>
      </c>
      <c r="BC29" s="137">
        <v>0</v>
      </c>
      <c r="BD29" s="137">
        <v>0</v>
      </c>
      <c r="BE29" s="137">
        <v>0</v>
      </c>
      <c r="BF29" s="137">
        <v>0</v>
      </c>
      <c r="BG29" s="137">
        <v>0</v>
      </c>
      <c r="BH29" s="137">
        <v>0</v>
      </c>
      <c r="BI29" s="137">
        <v>0</v>
      </c>
      <c r="BJ29" s="137">
        <v>0</v>
      </c>
      <c r="BK29" s="137">
        <v>1</v>
      </c>
      <c r="BL29" s="137">
        <v>0</v>
      </c>
      <c r="BM29" s="137">
        <v>0</v>
      </c>
      <c r="BN29" s="137">
        <v>0</v>
      </c>
      <c r="BO29" s="137">
        <v>0</v>
      </c>
      <c r="BP29" s="137">
        <v>0</v>
      </c>
      <c r="BQ29" s="137">
        <v>0</v>
      </c>
      <c r="BR29" s="137">
        <v>1</v>
      </c>
      <c r="BS29" s="137">
        <v>0</v>
      </c>
      <c r="BT29" s="137">
        <v>0</v>
      </c>
      <c r="BU29" s="137">
        <v>0</v>
      </c>
      <c r="BV29" s="137">
        <v>0</v>
      </c>
      <c r="BW29" s="137">
        <v>0</v>
      </c>
      <c r="BX29" s="137">
        <v>0</v>
      </c>
      <c r="BY29" s="137">
        <v>0</v>
      </c>
      <c r="BZ29" s="137">
        <v>1</v>
      </c>
      <c r="CA29" s="137" t="s">
        <v>946</v>
      </c>
      <c r="CB29" s="137">
        <v>1</v>
      </c>
      <c r="CC29" s="161" t="s">
        <v>1043</v>
      </c>
      <c r="CD29" s="137">
        <v>0</v>
      </c>
      <c r="CE29" s="137" t="s">
        <v>947</v>
      </c>
      <c r="CF29" s="137" t="s">
        <v>947</v>
      </c>
      <c r="CG29" s="137">
        <v>1</v>
      </c>
      <c r="CH29" s="161" t="s">
        <v>1044</v>
      </c>
      <c r="CI29" s="137">
        <v>1</v>
      </c>
      <c r="CJ29" s="161" t="s">
        <v>1044</v>
      </c>
      <c r="CK29" s="161" t="s">
        <v>993</v>
      </c>
      <c r="CL29" s="137">
        <v>0</v>
      </c>
      <c r="CM29" s="137" t="s">
        <v>947</v>
      </c>
      <c r="CN29" s="137" t="s">
        <v>947</v>
      </c>
      <c r="CO29" s="137">
        <v>0</v>
      </c>
      <c r="CP29" s="137" t="s">
        <v>947</v>
      </c>
      <c r="CQ29" s="137" t="s">
        <v>947</v>
      </c>
      <c r="CR29" s="137">
        <v>0</v>
      </c>
      <c r="CS29" s="137" t="s">
        <v>947</v>
      </c>
      <c r="CT29" s="137" t="s">
        <v>947</v>
      </c>
      <c r="CU29" s="137">
        <v>0</v>
      </c>
      <c r="CV29" s="137" t="s">
        <v>947</v>
      </c>
      <c r="CW29" s="137" t="s">
        <v>947</v>
      </c>
      <c r="CX29" s="137">
        <v>1</v>
      </c>
      <c r="CY29" s="159">
        <v>44262</v>
      </c>
      <c r="CZ29" s="137">
        <v>2</v>
      </c>
      <c r="DA29" s="137"/>
      <c r="DB29" s="152"/>
    </row>
    <row r="30" spans="1:106" ht="16">
      <c r="A30" s="8" t="s">
        <v>148</v>
      </c>
      <c r="B30" s="8">
        <v>22103889</v>
      </c>
      <c r="C30" s="172" t="s">
        <v>1046</v>
      </c>
      <c r="D30" s="10">
        <v>44250</v>
      </c>
      <c r="E30" s="137">
        <v>70.599999999999994</v>
      </c>
      <c r="F30" s="137">
        <v>7.8</v>
      </c>
      <c r="G30" s="137">
        <v>15.65</v>
      </c>
      <c r="H30" s="137">
        <v>43.8</v>
      </c>
      <c r="I30" s="137">
        <v>30</v>
      </c>
      <c r="J30" s="137">
        <v>0</v>
      </c>
      <c r="K30" s="137">
        <v>1</v>
      </c>
      <c r="L30" s="137">
        <v>2</v>
      </c>
      <c r="M30" s="137">
        <v>0</v>
      </c>
      <c r="N30" s="137">
        <v>7</v>
      </c>
      <c r="O30" s="137">
        <v>9</v>
      </c>
      <c r="P30" s="137">
        <v>1530</v>
      </c>
      <c r="Q30" s="137">
        <v>40</v>
      </c>
      <c r="R30" s="137">
        <v>29</v>
      </c>
      <c r="S30" s="137">
        <v>25</v>
      </c>
      <c r="T30" s="159">
        <v>34146</v>
      </c>
      <c r="U30" s="137">
        <v>26.85</v>
      </c>
      <c r="V30" s="137">
        <v>0</v>
      </c>
      <c r="W30" s="137">
        <v>1</v>
      </c>
      <c r="X30" s="137">
        <v>1</v>
      </c>
      <c r="Y30" s="137">
        <v>1</v>
      </c>
      <c r="Z30" s="137">
        <v>0</v>
      </c>
      <c r="AA30" s="137">
        <v>0</v>
      </c>
      <c r="AB30" s="137">
        <v>0</v>
      </c>
      <c r="AC30" s="137">
        <v>1</v>
      </c>
      <c r="AD30" s="137">
        <v>1</v>
      </c>
      <c r="AE30" s="137">
        <v>0</v>
      </c>
      <c r="AF30" s="137">
        <v>0</v>
      </c>
      <c r="AG30" s="137">
        <v>0</v>
      </c>
      <c r="AH30" s="137">
        <v>0</v>
      </c>
      <c r="AI30" s="137">
        <v>0</v>
      </c>
      <c r="AJ30" s="137">
        <v>0</v>
      </c>
      <c r="AK30" s="137">
        <v>0</v>
      </c>
      <c r="AL30" s="137">
        <v>0</v>
      </c>
      <c r="AM30" s="137">
        <v>0</v>
      </c>
      <c r="AN30" s="137">
        <v>0</v>
      </c>
      <c r="AO30" s="137">
        <v>0</v>
      </c>
      <c r="AP30" s="137">
        <v>0</v>
      </c>
      <c r="AQ30" s="137">
        <v>0</v>
      </c>
      <c r="AR30" s="137">
        <v>1</v>
      </c>
      <c r="AS30" s="137">
        <v>1</v>
      </c>
      <c r="AT30" s="137">
        <v>1</v>
      </c>
      <c r="AU30" s="137">
        <v>0</v>
      </c>
      <c r="AV30" s="137">
        <v>0</v>
      </c>
      <c r="AW30" s="137">
        <v>0</v>
      </c>
      <c r="AX30" s="137">
        <v>0</v>
      </c>
      <c r="AY30" s="137">
        <v>0</v>
      </c>
      <c r="AZ30" s="137">
        <v>0</v>
      </c>
      <c r="BA30" s="137">
        <v>0</v>
      </c>
      <c r="BB30" s="137">
        <v>0</v>
      </c>
      <c r="BC30" s="137">
        <v>0</v>
      </c>
      <c r="BD30" s="137">
        <v>0</v>
      </c>
      <c r="BE30" s="137">
        <v>0</v>
      </c>
      <c r="BF30" s="137">
        <v>0</v>
      </c>
      <c r="BG30" s="137">
        <v>0</v>
      </c>
      <c r="BH30" s="137">
        <v>0</v>
      </c>
      <c r="BI30" s="137">
        <v>0</v>
      </c>
      <c r="BJ30" s="137">
        <v>0</v>
      </c>
      <c r="BK30" s="137">
        <v>1</v>
      </c>
      <c r="BL30" s="137">
        <v>0</v>
      </c>
      <c r="BM30" s="137">
        <v>0</v>
      </c>
      <c r="BN30" s="137">
        <v>0</v>
      </c>
      <c r="BO30" s="137">
        <v>0</v>
      </c>
      <c r="BP30" s="137">
        <v>0</v>
      </c>
      <c r="BQ30" s="137">
        <v>0</v>
      </c>
      <c r="BR30" s="137">
        <v>0</v>
      </c>
      <c r="BS30" s="137">
        <v>1</v>
      </c>
      <c r="BT30" s="137">
        <v>0</v>
      </c>
      <c r="BU30" s="137">
        <v>0</v>
      </c>
      <c r="BV30" s="137">
        <v>0</v>
      </c>
      <c r="BW30" s="137">
        <v>0</v>
      </c>
      <c r="BX30" s="137">
        <v>0</v>
      </c>
      <c r="BY30" s="137">
        <v>0</v>
      </c>
      <c r="BZ30" s="137">
        <v>1</v>
      </c>
      <c r="CA30" s="137" t="s">
        <v>946</v>
      </c>
      <c r="CB30" s="137">
        <v>0</v>
      </c>
      <c r="CC30" s="137" t="s">
        <v>947</v>
      </c>
      <c r="CD30" s="137">
        <v>1</v>
      </c>
      <c r="CE30" s="137" t="s">
        <v>1022</v>
      </c>
      <c r="CF30" s="161" t="s">
        <v>1047</v>
      </c>
      <c r="CG30" s="137">
        <v>0</v>
      </c>
      <c r="CH30" s="137" t="s">
        <v>947</v>
      </c>
      <c r="CI30" s="137">
        <v>0</v>
      </c>
      <c r="CJ30" s="137" t="s">
        <v>947</v>
      </c>
      <c r="CK30" s="137" t="s">
        <v>947</v>
      </c>
      <c r="CL30" s="137">
        <v>1</v>
      </c>
      <c r="CM30" s="137" t="s">
        <v>946</v>
      </c>
      <c r="CN30" s="161" t="s">
        <v>982</v>
      </c>
      <c r="CO30" s="161" t="s">
        <v>992</v>
      </c>
      <c r="CP30" s="137" t="s">
        <v>946</v>
      </c>
      <c r="CQ30" s="161" t="s">
        <v>993</v>
      </c>
      <c r="CR30" s="137">
        <v>0</v>
      </c>
      <c r="CS30" s="137" t="s">
        <v>947</v>
      </c>
      <c r="CT30" s="137" t="s">
        <v>947</v>
      </c>
      <c r="CU30" s="137">
        <v>1</v>
      </c>
      <c r="CV30" s="159" t="s">
        <v>1048</v>
      </c>
      <c r="CW30" s="161" t="s">
        <v>1049</v>
      </c>
      <c r="CX30" s="137">
        <v>1</v>
      </c>
      <c r="CY30" s="137" t="s">
        <v>965</v>
      </c>
      <c r="CZ30" s="137">
        <v>2</v>
      </c>
      <c r="DA30" s="137"/>
      <c r="DB30" s="152"/>
    </row>
    <row r="31" spans="1:106" s="110" customFormat="1" ht="16">
      <c r="A31" s="116" t="s">
        <v>152</v>
      </c>
      <c r="B31" s="116">
        <v>22105253</v>
      </c>
      <c r="C31" s="174" t="s">
        <v>1050</v>
      </c>
      <c r="D31" s="117">
        <v>44280</v>
      </c>
      <c r="E31" s="153">
        <v>68.8</v>
      </c>
      <c r="F31" s="153">
        <v>7.7</v>
      </c>
      <c r="G31" s="153">
        <v>16.27</v>
      </c>
      <c r="H31" s="153">
        <v>44</v>
      </c>
      <c r="I31" s="153">
        <v>38</v>
      </c>
      <c r="J31" s="153">
        <v>5</v>
      </c>
      <c r="K31" s="153">
        <v>0</v>
      </c>
      <c r="L31" s="153">
        <v>1</v>
      </c>
      <c r="M31" s="153">
        <v>0</v>
      </c>
      <c r="N31" s="153">
        <v>9</v>
      </c>
      <c r="O31" s="153">
        <v>10</v>
      </c>
      <c r="P31" s="153">
        <v>2980</v>
      </c>
      <c r="Q31" s="153">
        <v>48</v>
      </c>
      <c r="R31" s="153">
        <v>35</v>
      </c>
      <c r="S31" s="153">
        <v>32</v>
      </c>
      <c r="T31" s="155">
        <v>32740</v>
      </c>
      <c r="U31" s="153">
        <v>31.07</v>
      </c>
      <c r="V31" s="153">
        <v>2</v>
      </c>
      <c r="W31" s="153">
        <v>0</v>
      </c>
      <c r="X31" s="153">
        <v>0</v>
      </c>
      <c r="Y31" s="153">
        <v>2</v>
      </c>
      <c r="Z31" s="153">
        <v>0</v>
      </c>
      <c r="AA31" s="153">
        <v>0</v>
      </c>
      <c r="AB31" s="153">
        <v>0</v>
      </c>
      <c r="AC31" s="153">
        <v>0</v>
      </c>
      <c r="AD31" s="153">
        <v>0</v>
      </c>
      <c r="AE31" s="153">
        <v>0</v>
      </c>
      <c r="AF31" s="153">
        <v>0</v>
      </c>
      <c r="AG31" s="153">
        <v>1</v>
      </c>
      <c r="AH31" s="153">
        <v>0</v>
      </c>
      <c r="AI31" s="153">
        <v>0</v>
      </c>
      <c r="AJ31" s="153">
        <v>0</v>
      </c>
      <c r="AK31" s="153">
        <v>0</v>
      </c>
      <c r="AL31" s="153">
        <v>0</v>
      </c>
      <c r="AM31" s="153">
        <v>0</v>
      </c>
      <c r="AN31" s="153">
        <v>0</v>
      </c>
      <c r="AO31" s="153">
        <v>0</v>
      </c>
      <c r="AP31" s="153">
        <v>0</v>
      </c>
      <c r="AQ31" s="153">
        <v>0</v>
      </c>
      <c r="AR31" s="153" t="s">
        <v>954</v>
      </c>
      <c r="AS31" s="153">
        <v>0</v>
      </c>
      <c r="AT31" s="153">
        <v>0</v>
      </c>
      <c r="AU31" s="153">
        <v>0</v>
      </c>
      <c r="AV31" s="153">
        <v>0</v>
      </c>
      <c r="AW31" s="153">
        <v>0</v>
      </c>
      <c r="AX31" s="153">
        <v>0</v>
      </c>
      <c r="AY31" s="153">
        <v>0</v>
      </c>
      <c r="AZ31" s="153">
        <v>0</v>
      </c>
      <c r="BA31" s="153">
        <v>0</v>
      </c>
      <c r="BB31" s="153">
        <v>0</v>
      </c>
      <c r="BC31" s="153">
        <v>0</v>
      </c>
      <c r="BD31" s="153">
        <v>0</v>
      </c>
      <c r="BE31" s="153">
        <v>0</v>
      </c>
      <c r="BF31" s="153">
        <v>0</v>
      </c>
      <c r="BG31" s="153">
        <v>0</v>
      </c>
      <c r="BH31" s="153">
        <v>0</v>
      </c>
      <c r="BI31" s="153">
        <v>0</v>
      </c>
      <c r="BJ31" s="153">
        <v>0</v>
      </c>
      <c r="BK31" s="153">
        <v>0</v>
      </c>
      <c r="BL31" s="153">
        <v>0</v>
      </c>
      <c r="BM31" s="153">
        <v>0</v>
      </c>
      <c r="BN31" s="153">
        <v>0</v>
      </c>
      <c r="BO31" s="153">
        <v>0</v>
      </c>
      <c r="BP31" s="153">
        <v>0</v>
      </c>
      <c r="BQ31" s="153">
        <v>0</v>
      </c>
      <c r="BR31" s="153">
        <v>0</v>
      </c>
      <c r="BS31" s="153">
        <v>0</v>
      </c>
      <c r="BT31" s="153">
        <v>0</v>
      </c>
      <c r="BU31" s="153">
        <v>0</v>
      </c>
      <c r="BV31" s="153">
        <v>0</v>
      </c>
      <c r="BW31" s="153">
        <v>0</v>
      </c>
      <c r="BX31" s="153">
        <v>0</v>
      </c>
      <c r="BY31" s="153">
        <v>0</v>
      </c>
      <c r="BZ31" s="153">
        <v>1</v>
      </c>
      <c r="CA31" s="153" t="s">
        <v>946</v>
      </c>
      <c r="CB31" s="153">
        <v>0</v>
      </c>
      <c r="CC31" s="153" t="s">
        <v>947</v>
      </c>
      <c r="CD31" s="153">
        <v>1</v>
      </c>
      <c r="CE31" s="153" t="s">
        <v>946</v>
      </c>
      <c r="CF31" s="157" t="s">
        <v>1051</v>
      </c>
      <c r="CG31" s="153">
        <v>0</v>
      </c>
      <c r="CH31" s="153" t="s">
        <v>947</v>
      </c>
      <c r="CI31" s="153">
        <v>0</v>
      </c>
      <c r="CJ31" s="153" t="s">
        <v>947</v>
      </c>
      <c r="CK31" s="153" t="s">
        <v>947</v>
      </c>
      <c r="CL31" s="153">
        <v>0</v>
      </c>
      <c r="CM31" s="153" t="s">
        <v>947</v>
      </c>
      <c r="CN31" s="153" t="s">
        <v>947</v>
      </c>
      <c r="CO31" s="153">
        <v>0</v>
      </c>
      <c r="CP31" s="153" t="s">
        <v>947</v>
      </c>
      <c r="CQ31" s="153" t="s">
        <v>947</v>
      </c>
      <c r="CR31" s="153">
        <v>0</v>
      </c>
      <c r="CS31" s="153" t="s">
        <v>947</v>
      </c>
      <c r="CT31" s="153" t="s">
        <v>947</v>
      </c>
      <c r="CU31" s="153">
        <v>0</v>
      </c>
      <c r="CV31" s="153" t="s">
        <v>947</v>
      </c>
      <c r="CW31" s="153" t="s">
        <v>947</v>
      </c>
      <c r="CX31" s="153">
        <v>0</v>
      </c>
      <c r="CY31" s="153" t="s">
        <v>947</v>
      </c>
      <c r="CZ31" s="153">
        <v>2</v>
      </c>
      <c r="DA31" s="153"/>
      <c r="DB31" s="158"/>
    </row>
    <row r="32" spans="1:106" s="110" customFormat="1" ht="16">
      <c r="A32" s="116" t="s">
        <v>157</v>
      </c>
      <c r="B32" s="116">
        <v>22239382</v>
      </c>
      <c r="C32" s="174" t="s">
        <v>1052</v>
      </c>
      <c r="D32" s="117">
        <v>44425</v>
      </c>
      <c r="E32" s="153">
        <v>69.7</v>
      </c>
      <c r="F32" s="153">
        <v>9</v>
      </c>
      <c r="G32" s="153">
        <v>18.53</v>
      </c>
      <c r="H32" s="153">
        <v>42.1</v>
      </c>
      <c r="I32" s="153">
        <v>37</v>
      </c>
      <c r="J32" s="153">
        <v>4</v>
      </c>
      <c r="K32" s="153">
        <v>0</v>
      </c>
      <c r="L32" s="153">
        <v>2</v>
      </c>
      <c r="M32" s="153">
        <v>0</v>
      </c>
      <c r="N32" s="153">
        <v>8</v>
      </c>
      <c r="O32" s="153">
        <v>9</v>
      </c>
      <c r="P32" s="153">
        <v>2695</v>
      </c>
      <c r="Q32" s="153">
        <v>51</v>
      </c>
      <c r="R32" s="153">
        <v>32.5</v>
      </c>
      <c r="S32" s="153">
        <v>31</v>
      </c>
      <c r="T32" s="155">
        <v>32389</v>
      </c>
      <c r="U32" s="153">
        <v>32.35</v>
      </c>
      <c r="V32" s="153">
        <v>1</v>
      </c>
      <c r="W32" s="153">
        <v>0</v>
      </c>
      <c r="X32" s="153">
        <v>0</v>
      </c>
      <c r="Y32" s="153">
        <v>1</v>
      </c>
      <c r="Z32" s="153">
        <v>0</v>
      </c>
      <c r="AA32" s="153">
        <v>0</v>
      </c>
      <c r="AB32" s="153">
        <v>0</v>
      </c>
      <c r="AC32" s="153">
        <v>0</v>
      </c>
      <c r="AD32" s="153">
        <v>0</v>
      </c>
      <c r="AE32" s="153">
        <v>0</v>
      </c>
      <c r="AF32" s="153">
        <v>0</v>
      </c>
      <c r="AG32" s="153">
        <v>0</v>
      </c>
      <c r="AH32" s="153">
        <v>0</v>
      </c>
      <c r="AI32" s="153">
        <v>0</v>
      </c>
      <c r="AJ32" s="153">
        <v>0</v>
      </c>
      <c r="AK32" s="153">
        <v>0</v>
      </c>
      <c r="AL32" s="153">
        <v>0</v>
      </c>
      <c r="AM32" s="153">
        <v>0</v>
      </c>
      <c r="AN32" s="153">
        <v>0</v>
      </c>
      <c r="AO32" s="153">
        <v>0</v>
      </c>
      <c r="AP32" s="153">
        <v>0</v>
      </c>
      <c r="AQ32" s="153">
        <v>0</v>
      </c>
      <c r="AR32" s="153" t="s">
        <v>954</v>
      </c>
      <c r="AS32" s="153">
        <v>1</v>
      </c>
      <c r="AT32" s="153">
        <v>0</v>
      </c>
      <c r="AU32" s="153">
        <v>1</v>
      </c>
      <c r="AV32" s="153">
        <v>0</v>
      </c>
      <c r="AW32" s="153">
        <v>0</v>
      </c>
      <c r="AX32" s="153">
        <v>0</v>
      </c>
      <c r="AY32" s="153">
        <v>0</v>
      </c>
      <c r="AZ32" s="153">
        <v>0</v>
      </c>
      <c r="BA32" s="153">
        <v>0</v>
      </c>
      <c r="BB32" s="153">
        <v>0</v>
      </c>
      <c r="BC32" s="153">
        <v>0</v>
      </c>
      <c r="BD32" s="153">
        <v>0</v>
      </c>
      <c r="BE32" s="153">
        <v>0</v>
      </c>
      <c r="BF32" s="153">
        <v>0</v>
      </c>
      <c r="BG32" s="153">
        <v>0</v>
      </c>
      <c r="BH32" s="153">
        <v>0</v>
      </c>
      <c r="BI32" s="153">
        <v>0</v>
      </c>
      <c r="BJ32" s="153">
        <v>0</v>
      </c>
      <c r="BK32" s="153">
        <v>1</v>
      </c>
      <c r="BL32" s="153">
        <v>0</v>
      </c>
      <c r="BM32" s="153">
        <v>0</v>
      </c>
      <c r="BN32" s="153">
        <v>0</v>
      </c>
      <c r="BO32" s="153">
        <v>0</v>
      </c>
      <c r="BP32" s="153">
        <v>0</v>
      </c>
      <c r="BQ32" s="153">
        <v>1</v>
      </c>
      <c r="BR32" s="153">
        <v>0</v>
      </c>
      <c r="BS32" s="153">
        <v>0</v>
      </c>
      <c r="BT32" s="153">
        <v>0</v>
      </c>
      <c r="BU32" s="153">
        <v>0</v>
      </c>
      <c r="BV32" s="153">
        <v>0</v>
      </c>
      <c r="BW32" s="153">
        <v>0</v>
      </c>
      <c r="BX32" s="153">
        <v>0</v>
      </c>
      <c r="BY32" s="153">
        <v>0</v>
      </c>
      <c r="BZ32" s="153">
        <v>1</v>
      </c>
      <c r="CA32" s="153" t="s">
        <v>946</v>
      </c>
      <c r="CB32" s="153">
        <v>0</v>
      </c>
      <c r="CC32" s="153" t="s">
        <v>947</v>
      </c>
      <c r="CD32" s="153">
        <v>1</v>
      </c>
      <c r="CE32" s="153" t="s">
        <v>1053</v>
      </c>
      <c r="CF32" s="157" t="s">
        <v>1054</v>
      </c>
      <c r="CG32" s="153">
        <v>0</v>
      </c>
      <c r="CH32" s="153" t="s">
        <v>947</v>
      </c>
      <c r="CI32" s="153">
        <v>1</v>
      </c>
      <c r="CJ32" s="153" t="s">
        <v>1055</v>
      </c>
      <c r="CK32" s="157" t="s">
        <v>982</v>
      </c>
      <c r="CL32" s="153">
        <v>1</v>
      </c>
      <c r="CM32" s="153" t="s">
        <v>1055</v>
      </c>
      <c r="CN32" s="157" t="s">
        <v>982</v>
      </c>
      <c r="CO32" s="153">
        <v>0</v>
      </c>
      <c r="CP32" s="153" t="s">
        <v>947</v>
      </c>
      <c r="CQ32" s="153" t="s">
        <v>947</v>
      </c>
      <c r="CR32" s="153">
        <v>0</v>
      </c>
      <c r="CS32" s="153" t="s">
        <v>947</v>
      </c>
      <c r="CT32" s="153" t="s">
        <v>947</v>
      </c>
      <c r="CU32" s="153">
        <v>0</v>
      </c>
      <c r="CV32" s="153" t="s">
        <v>947</v>
      </c>
      <c r="CW32" s="153" t="s">
        <v>947</v>
      </c>
      <c r="CX32" s="153">
        <v>1</v>
      </c>
      <c r="CY32" s="153" t="s">
        <v>965</v>
      </c>
      <c r="CZ32" s="153">
        <v>2</v>
      </c>
      <c r="DA32" s="153"/>
      <c r="DB32" s="158"/>
    </row>
    <row r="33" spans="1:106" ht="16">
      <c r="A33" s="8" t="s">
        <v>162</v>
      </c>
      <c r="B33" s="8">
        <v>22104618</v>
      </c>
      <c r="C33" s="172" t="s">
        <v>1056</v>
      </c>
      <c r="D33" s="10">
        <v>44292</v>
      </c>
      <c r="E33" s="137">
        <v>65.099999999999994</v>
      </c>
      <c r="F33" s="137">
        <v>7.1</v>
      </c>
      <c r="G33" s="137">
        <v>16.75</v>
      </c>
      <c r="H33" s="137">
        <v>40.5</v>
      </c>
      <c r="I33" s="137">
        <v>26</v>
      </c>
      <c r="J33" s="137">
        <v>6</v>
      </c>
      <c r="K33" s="137">
        <v>1</v>
      </c>
      <c r="L33" s="137">
        <v>2</v>
      </c>
      <c r="M33" s="137">
        <v>0</v>
      </c>
      <c r="N33" s="137">
        <v>7</v>
      </c>
      <c r="O33" s="137">
        <v>8</v>
      </c>
      <c r="P33" s="137">
        <v>860</v>
      </c>
      <c r="Q33" s="137">
        <v>33</v>
      </c>
      <c r="R33" s="137">
        <v>24.5</v>
      </c>
      <c r="S33" s="137">
        <v>22</v>
      </c>
      <c r="T33" s="159">
        <v>32604</v>
      </c>
      <c r="U33" s="137">
        <v>31.28</v>
      </c>
      <c r="V33" s="137">
        <v>0</v>
      </c>
      <c r="W33" s="137">
        <v>1</v>
      </c>
      <c r="X33" s="137">
        <v>0</v>
      </c>
      <c r="Y33" s="137">
        <v>2</v>
      </c>
      <c r="Z33" s="137">
        <v>0</v>
      </c>
      <c r="AA33" s="137">
        <v>0</v>
      </c>
      <c r="AB33" s="137">
        <v>0</v>
      </c>
      <c r="AC33" s="137">
        <v>1</v>
      </c>
      <c r="AD33" s="137">
        <v>0</v>
      </c>
      <c r="AE33" s="137">
        <v>0</v>
      </c>
      <c r="AF33" s="137">
        <v>0</v>
      </c>
      <c r="AG33" s="137">
        <v>0</v>
      </c>
      <c r="AH33" s="137">
        <v>0</v>
      </c>
      <c r="AI33" s="137">
        <v>0</v>
      </c>
      <c r="AJ33" s="137">
        <v>0</v>
      </c>
      <c r="AK33" s="137">
        <v>0</v>
      </c>
      <c r="AL33" s="137">
        <v>0</v>
      </c>
      <c r="AM33" s="137">
        <v>0</v>
      </c>
      <c r="AN33" s="137">
        <v>0</v>
      </c>
      <c r="AO33" s="137">
        <v>0</v>
      </c>
      <c r="AP33" s="137">
        <v>0</v>
      </c>
      <c r="AQ33" s="137">
        <v>0</v>
      </c>
      <c r="AR33" s="137" t="s">
        <v>954</v>
      </c>
      <c r="AS33" s="137">
        <v>0</v>
      </c>
      <c r="AT33" s="137">
        <v>0</v>
      </c>
      <c r="AU33" s="137">
        <v>0</v>
      </c>
      <c r="AV33" s="137">
        <v>0</v>
      </c>
      <c r="AW33" s="137">
        <v>0</v>
      </c>
      <c r="AX33" s="137">
        <v>0</v>
      </c>
      <c r="AY33" s="137">
        <v>0</v>
      </c>
      <c r="AZ33" s="137">
        <v>0</v>
      </c>
      <c r="BA33" s="137">
        <v>0</v>
      </c>
      <c r="BB33" s="137">
        <v>0</v>
      </c>
      <c r="BC33" s="137">
        <v>0</v>
      </c>
      <c r="BD33" s="137">
        <v>0</v>
      </c>
      <c r="BE33" s="137">
        <v>0</v>
      </c>
      <c r="BF33" s="137">
        <v>0</v>
      </c>
      <c r="BG33" s="137">
        <v>0</v>
      </c>
      <c r="BH33" s="137">
        <v>0</v>
      </c>
      <c r="BI33" s="137">
        <v>0</v>
      </c>
      <c r="BJ33" s="137">
        <v>0</v>
      </c>
      <c r="BK33" s="137">
        <v>1</v>
      </c>
      <c r="BL33" s="137">
        <v>1</v>
      </c>
      <c r="BM33" s="137">
        <v>0</v>
      </c>
      <c r="BN33" s="137">
        <v>0</v>
      </c>
      <c r="BO33" s="137">
        <v>0</v>
      </c>
      <c r="BP33" s="137">
        <v>0</v>
      </c>
      <c r="BQ33" s="137">
        <v>0</v>
      </c>
      <c r="BR33" s="137">
        <v>0</v>
      </c>
      <c r="BS33" s="137">
        <v>0</v>
      </c>
      <c r="BT33" s="137">
        <v>1</v>
      </c>
      <c r="BU33" s="137">
        <v>0</v>
      </c>
      <c r="BV33" s="137">
        <v>0</v>
      </c>
      <c r="BW33" s="137">
        <v>0</v>
      </c>
      <c r="BX33" s="137">
        <v>0</v>
      </c>
      <c r="BY33" s="137">
        <v>0</v>
      </c>
      <c r="BZ33" s="137">
        <v>1</v>
      </c>
      <c r="CA33" s="137" t="s">
        <v>1003</v>
      </c>
      <c r="CB33" s="137">
        <v>1</v>
      </c>
      <c r="CC33" s="161" t="s">
        <v>1057</v>
      </c>
      <c r="CD33" s="137">
        <v>1</v>
      </c>
      <c r="CE33" s="137" t="s">
        <v>950</v>
      </c>
      <c r="CF33" s="161" t="s">
        <v>1057</v>
      </c>
      <c r="CG33" s="137">
        <v>1</v>
      </c>
      <c r="CH33" s="137" t="s">
        <v>946</v>
      </c>
      <c r="CI33" s="137">
        <v>0</v>
      </c>
      <c r="CJ33" s="137" t="s">
        <v>947</v>
      </c>
      <c r="CK33" s="137" t="s">
        <v>947</v>
      </c>
      <c r="CL33" s="137">
        <v>1</v>
      </c>
      <c r="CM33" s="137" t="s">
        <v>1058</v>
      </c>
      <c r="CN33" s="161" t="s">
        <v>1059</v>
      </c>
      <c r="CO33" s="161" t="s">
        <v>1060</v>
      </c>
      <c r="CP33" s="137" t="s">
        <v>946</v>
      </c>
      <c r="CQ33" s="161" t="s">
        <v>993</v>
      </c>
      <c r="CR33" s="137">
        <v>0</v>
      </c>
      <c r="CS33" s="137" t="s">
        <v>947</v>
      </c>
      <c r="CT33" s="137" t="s">
        <v>947</v>
      </c>
      <c r="CU33" s="137">
        <v>0</v>
      </c>
      <c r="CV33" s="137" t="s">
        <v>947</v>
      </c>
      <c r="CW33" s="137" t="s">
        <v>947</v>
      </c>
      <c r="CX33" s="137">
        <v>1</v>
      </c>
      <c r="CY33" s="137" t="s">
        <v>965</v>
      </c>
      <c r="CZ33" s="137">
        <v>2</v>
      </c>
      <c r="DA33" s="137"/>
      <c r="DB33" s="152"/>
    </row>
    <row r="34" spans="1:106" s="114" customFormat="1" ht="16">
      <c r="A34" s="112" t="s">
        <v>167</v>
      </c>
      <c r="B34" s="162">
        <v>4997153</v>
      </c>
      <c r="C34" s="163" t="s">
        <v>1061</v>
      </c>
    </row>
    <row r="35" spans="1:106" s="114" customFormat="1" ht="16">
      <c r="A35" s="112" t="s">
        <v>172</v>
      </c>
      <c r="B35" s="162">
        <v>21926144</v>
      </c>
      <c r="C35" s="163" t="s">
        <v>842</v>
      </c>
    </row>
    <row r="36" spans="1:106" s="114" customFormat="1" ht="16">
      <c r="A36" s="112" t="s">
        <v>177</v>
      </c>
      <c r="B36" s="162">
        <v>21923161</v>
      </c>
      <c r="C36" s="163" t="s">
        <v>1065</v>
      </c>
    </row>
    <row r="37" spans="1:106" s="127" customFormat="1" ht="16">
      <c r="A37" s="125" t="s">
        <v>182</v>
      </c>
      <c r="B37" s="167">
        <v>22104076</v>
      </c>
      <c r="C37" s="175" t="s">
        <v>1066</v>
      </c>
    </row>
    <row r="38" spans="1:106" s="114" customFormat="1" ht="16">
      <c r="A38" s="112" t="s">
        <v>187</v>
      </c>
      <c r="B38" s="162">
        <v>21929566</v>
      </c>
      <c r="C38" s="163" t="s">
        <v>1068</v>
      </c>
    </row>
    <row r="39" spans="1:106" ht="16">
      <c r="A39" s="1" t="s">
        <v>192</v>
      </c>
      <c r="B39" s="137">
        <v>22103802</v>
      </c>
      <c r="C39" s="161" t="s">
        <v>1070</v>
      </c>
      <c r="D39" s="159">
        <v>44428</v>
      </c>
      <c r="E39" s="137">
        <v>71.5</v>
      </c>
      <c r="F39" s="137">
        <v>9.1999999999999993</v>
      </c>
      <c r="G39" s="137">
        <v>18</v>
      </c>
      <c r="H39" s="137">
        <v>44.7</v>
      </c>
      <c r="I39" s="137">
        <v>23</v>
      </c>
      <c r="J39" s="137">
        <v>6</v>
      </c>
      <c r="K39" s="137">
        <v>1</v>
      </c>
      <c r="L39" s="137">
        <v>1</v>
      </c>
      <c r="M39" s="137">
        <v>0</v>
      </c>
      <c r="N39" s="137">
        <v>1</v>
      </c>
      <c r="O39" s="137">
        <v>5</v>
      </c>
      <c r="P39" s="137">
        <v>685</v>
      </c>
      <c r="Q39" s="137">
        <v>30</v>
      </c>
      <c r="R39" s="137">
        <v>22.5</v>
      </c>
      <c r="S39" s="137">
        <v>19.5</v>
      </c>
      <c r="T39" s="159">
        <v>30244</v>
      </c>
      <c r="U39" s="137">
        <v>37.51</v>
      </c>
      <c r="V39" s="137">
        <v>1</v>
      </c>
      <c r="W39" s="137">
        <v>1</v>
      </c>
      <c r="X39" s="137">
        <v>0</v>
      </c>
      <c r="Y39" s="137">
        <v>3</v>
      </c>
      <c r="Z39" s="137">
        <v>0</v>
      </c>
      <c r="AA39" s="137">
        <v>0</v>
      </c>
      <c r="AB39" s="137">
        <v>0</v>
      </c>
      <c r="AC39" s="137">
        <v>1</v>
      </c>
      <c r="AD39" s="137">
        <v>0</v>
      </c>
      <c r="AE39" s="137">
        <v>0</v>
      </c>
      <c r="AF39" s="137">
        <v>0</v>
      </c>
      <c r="AG39" s="137">
        <v>1</v>
      </c>
      <c r="AH39" s="137">
        <v>0</v>
      </c>
      <c r="AI39" s="137">
        <v>0</v>
      </c>
      <c r="AJ39" s="137">
        <v>0</v>
      </c>
      <c r="AK39" s="137">
        <v>0</v>
      </c>
      <c r="AL39" s="137">
        <v>0</v>
      </c>
      <c r="AM39" s="137">
        <v>0</v>
      </c>
      <c r="AN39" s="137">
        <v>0</v>
      </c>
      <c r="AO39" s="137">
        <v>0</v>
      </c>
      <c r="AP39" s="137">
        <v>0</v>
      </c>
      <c r="AQ39" s="137">
        <v>0</v>
      </c>
      <c r="AR39" s="137" t="s">
        <v>954</v>
      </c>
      <c r="AS39" s="137">
        <v>0</v>
      </c>
      <c r="AT39" s="137">
        <v>0</v>
      </c>
      <c r="AU39" s="137">
        <v>0</v>
      </c>
      <c r="AV39" s="137">
        <v>0</v>
      </c>
      <c r="AW39" s="137">
        <v>0</v>
      </c>
      <c r="AX39" s="137">
        <v>0</v>
      </c>
      <c r="AY39" s="137">
        <v>0</v>
      </c>
      <c r="AZ39" s="137">
        <v>0</v>
      </c>
      <c r="BA39" s="137">
        <v>0</v>
      </c>
      <c r="BB39" s="137">
        <v>0</v>
      </c>
      <c r="BC39" s="137">
        <v>0</v>
      </c>
      <c r="BD39" s="137">
        <v>0</v>
      </c>
      <c r="BE39" s="137">
        <v>0</v>
      </c>
      <c r="BF39" s="137">
        <v>0</v>
      </c>
      <c r="BG39" s="137">
        <v>0</v>
      </c>
      <c r="BH39" s="137">
        <v>0</v>
      </c>
      <c r="BI39" s="137">
        <v>0</v>
      </c>
      <c r="BJ39" s="137">
        <v>0</v>
      </c>
      <c r="BK39" s="137">
        <v>1</v>
      </c>
      <c r="BL39" s="137">
        <v>0</v>
      </c>
      <c r="BM39" s="137">
        <v>1</v>
      </c>
      <c r="BN39" s="137">
        <v>0</v>
      </c>
      <c r="BO39" s="137">
        <v>0</v>
      </c>
      <c r="BP39" s="137">
        <v>1</v>
      </c>
      <c r="BQ39" s="137">
        <v>0</v>
      </c>
      <c r="BR39" s="137">
        <v>1</v>
      </c>
      <c r="BS39" s="137">
        <v>0</v>
      </c>
      <c r="BT39" s="137">
        <v>0</v>
      </c>
      <c r="BU39" s="137">
        <v>0</v>
      </c>
      <c r="BV39" s="137">
        <v>0</v>
      </c>
      <c r="BW39" s="137">
        <v>0</v>
      </c>
      <c r="BX39" s="137">
        <v>0</v>
      </c>
      <c r="BY39" s="137">
        <v>0</v>
      </c>
      <c r="BZ39" s="137">
        <v>1</v>
      </c>
      <c r="CA39" s="137" t="s">
        <v>946</v>
      </c>
      <c r="CB39" s="137">
        <v>0</v>
      </c>
      <c r="CC39" s="137" t="s">
        <v>947</v>
      </c>
      <c r="CD39" s="137">
        <v>1</v>
      </c>
      <c r="CE39" s="137" t="s">
        <v>1071</v>
      </c>
      <c r="CF39" s="161" t="s">
        <v>1072</v>
      </c>
      <c r="CG39" s="137">
        <v>0</v>
      </c>
      <c r="CH39" s="137" t="s">
        <v>947</v>
      </c>
      <c r="CI39" s="137">
        <v>0</v>
      </c>
      <c r="CJ39" s="137" t="s">
        <v>947</v>
      </c>
      <c r="CK39" s="137" t="s">
        <v>947</v>
      </c>
      <c r="CL39" s="137">
        <v>1</v>
      </c>
      <c r="CM39" s="137" t="s">
        <v>946</v>
      </c>
      <c r="CN39" s="161" t="s">
        <v>982</v>
      </c>
      <c r="CO39" s="161" t="s">
        <v>1060</v>
      </c>
      <c r="CP39" s="137" t="s">
        <v>946</v>
      </c>
      <c r="CQ39" s="161" t="s">
        <v>993</v>
      </c>
      <c r="CR39" s="137">
        <v>0</v>
      </c>
      <c r="CS39" s="137" t="s">
        <v>947</v>
      </c>
      <c r="CT39" s="137" t="s">
        <v>947</v>
      </c>
      <c r="CU39" s="137">
        <v>0</v>
      </c>
      <c r="CV39" s="137" t="s">
        <v>947</v>
      </c>
      <c r="CW39" s="137" t="s">
        <v>947</v>
      </c>
      <c r="CX39" s="137">
        <v>1</v>
      </c>
      <c r="CY39" s="137" t="s">
        <v>965</v>
      </c>
      <c r="CZ39" s="137">
        <v>2</v>
      </c>
      <c r="DA39" s="137"/>
      <c r="DB39" s="152"/>
    </row>
    <row r="40" spans="1:106" ht="16">
      <c r="A40" s="1" t="s">
        <v>196</v>
      </c>
      <c r="B40" s="137">
        <v>22106464</v>
      </c>
      <c r="C40" s="161" t="s">
        <v>1073</v>
      </c>
      <c r="D40" s="159">
        <v>44575</v>
      </c>
      <c r="E40" s="137">
        <v>76.5</v>
      </c>
      <c r="F40" s="137">
        <v>10.199999999999999</v>
      </c>
      <c r="G40" s="137">
        <v>17.43</v>
      </c>
      <c r="H40" s="137">
        <v>46.2</v>
      </c>
      <c r="I40" s="137">
        <v>31</v>
      </c>
      <c r="J40" s="137">
        <v>3</v>
      </c>
      <c r="K40" s="137">
        <v>1</v>
      </c>
      <c r="L40" s="137">
        <v>2</v>
      </c>
      <c r="M40" s="137">
        <v>0</v>
      </c>
      <c r="N40" s="137">
        <v>7</v>
      </c>
      <c r="O40" s="137">
        <v>9</v>
      </c>
      <c r="P40" s="137">
        <v>1800</v>
      </c>
      <c r="Q40" s="137">
        <v>41</v>
      </c>
      <c r="R40" s="137">
        <v>31</v>
      </c>
      <c r="S40" s="137">
        <v>26.5</v>
      </c>
      <c r="T40" s="159">
        <v>30191</v>
      </c>
      <c r="U40" s="137">
        <v>38.36</v>
      </c>
      <c r="V40" s="137">
        <v>0</v>
      </c>
      <c r="W40" s="137">
        <v>1</v>
      </c>
      <c r="X40" s="137">
        <v>0</v>
      </c>
      <c r="Y40" s="137">
        <v>1</v>
      </c>
      <c r="Z40" s="137">
        <v>0</v>
      </c>
      <c r="AA40" s="137">
        <v>0</v>
      </c>
      <c r="AB40" s="137">
        <v>0</v>
      </c>
      <c r="AC40" s="137">
        <v>0</v>
      </c>
      <c r="AD40" s="137">
        <v>0</v>
      </c>
      <c r="AE40" s="137">
        <v>0</v>
      </c>
      <c r="AF40" s="137">
        <v>0</v>
      </c>
      <c r="AG40" s="137">
        <v>0</v>
      </c>
      <c r="AH40" s="137">
        <v>0</v>
      </c>
      <c r="AI40" s="137">
        <v>0</v>
      </c>
      <c r="AJ40" s="137">
        <v>0</v>
      </c>
      <c r="AK40" s="137">
        <v>0</v>
      </c>
      <c r="AL40" s="137">
        <v>0</v>
      </c>
      <c r="AM40" s="137">
        <v>0</v>
      </c>
      <c r="AN40" s="137">
        <v>0</v>
      </c>
      <c r="AO40" s="137">
        <v>0</v>
      </c>
      <c r="AP40" s="137">
        <v>0</v>
      </c>
      <c r="AQ40" s="137">
        <v>0</v>
      </c>
      <c r="AR40" s="137">
        <v>1</v>
      </c>
      <c r="AS40" s="137">
        <v>0</v>
      </c>
      <c r="AT40" s="137">
        <v>0</v>
      </c>
      <c r="AU40" s="137">
        <v>0</v>
      </c>
      <c r="AV40" s="137">
        <v>0</v>
      </c>
      <c r="AW40" s="137">
        <v>0</v>
      </c>
      <c r="AX40" s="137">
        <v>0</v>
      </c>
      <c r="AY40" s="137">
        <v>0</v>
      </c>
      <c r="AZ40" s="137">
        <v>0</v>
      </c>
      <c r="BA40" s="137">
        <v>0</v>
      </c>
      <c r="BB40" s="137">
        <v>0</v>
      </c>
      <c r="BC40" s="137">
        <v>0</v>
      </c>
      <c r="BD40" s="137">
        <v>0</v>
      </c>
      <c r="BE40" s="137">
        <v>0</v>
      </c>
      <c r="BF40" s="137">
        <v>0</v>
      </c>
      <c r="BG40" s="137">
        <v>0</v>
      </c>
      <c r="BH40" s="137">
        <v>0</v>
      </c>
      <c r="BI40" s="137">
        <v>0</v>
      </c>
      <c r="BJ40" s="137">
        <v>0</v>
      </c>
      <c r="BK40" s="137">
        <v>0</v>
      </c>
      <c r="BL40" s="137">
        <v>0</v>
      </c>
      <c r="BM40" s="137">
        <v>0</v>
      </c>
      <c r="BN40" s="137">
        <v>0</v>
      </c>
      <c r="BO40" s="137">
        <v>0</v>
      </c>
      <c r="BP40" s="137">
        <v>0</v>
      </c>
      <c r="BQ40" s="137">
        <v>0</v>
      </c>
      <c r="BR40" s="137">
        <v>0</v>
      </c>
      <c r="BS40" s="137">
        <v>0</v>
      </c>
      <c r="BT40" s="137">
        <v>0</v>
      </c>
      <c r="BU40" s="137">
        <v>0</v>
      </c>
      <c r="BV40" s="137">
        <v>0</v>
      </c>
      <c r="BW40" s="137">
        <v>0</v>
      </c>
      <c r="BX40" s="137">
        <v>0</v>
      </c>
      <c r="BY40" s="137">
        <v>0</v>
      </c>
      <c r="BZ40" s="137">
        <v>1</v>
      </c>
      <c r="CA40" s="137" t="s">
        <v>1074</v>
      </c>
      <c r="CB40" s="137">
        <v>0</v>
      </c>
      <c r="CC40" s="137" t="s">
        <v>947</v>
      </c>
      <c r="CD40" s="137">
        <v>1</v>
      </c>
      <c r="CE40" s="137" t="s">
        <v>946</v>
      </c>
      <c r="CF40" s="161" t="s">
        <v>1075</v>
      </c>
      <c r="CG40" s="137">
        <v>1</v>
      </c>
      <c r="CH40" s="161" t="s">
        <v>1076</v>
      </c>
      <c r="CI40" s="137">
        <v>1</v>
      </c>
      <c r="CJ40" s="161" t="s">
        <v>1076</v>
      </c>
      <c r="CK40" s="161" t="s">
        <v>1077</v>
      </c>
      <c r="CL40" s="137">
        <v>0</v>
      </c>
      <c r="CM40" s="137" t="s">
        <v>947</v>
      </c>
      <c r="CN40" s="137" t="s">
        <v>947</v>
      </c>
      <c r="CO40" s="137">
        <v>0</v>
      </c>
      <c r="CP40" s="137" t="s">
        <v>947</v>
      </c>
      <c r="CQ40" s="137" t="s">
        <v>947</v>
      </c>
      <c r="CR40" s="137">
        <v>0</v>
      </c>
      <c r="CS40" s="137" t="s">
        <v>947</v>
      </c>
      <c r="CT40" s="137" t="s">
        <v>947</v>
      </c>
      <c r="CU40" s="137">
        <v>0</v>
      </c>
      <c r="CV40" s="137" t="s">
        <v>947</v>
      </c>
      <c r="CW40" s="137" t="s">
        <v>947</v>
      </c>
      <c r="CX40" s="137">
        <v>1</v>
      </c>
      <c r="CY40" s="161" t="s">
        <v>1078</v>
      </c>
      <c r="CZ40" s="137">
        <v>2</v>
      </c>
      <c r="DA40" s="137"/>
      <c r="DB40" s="152"/>
    </row>
    <row r="41" spans="1:106" s="114" customFormat="1" ht="16">
      <c r="A41" s="112" t="s">
        <v>200</v>
      </c>
      <c r="B41" s="162">
        <v>22102954</v>
      </c>
      <c r="C41" s="163" t="s">
        <v>1079</v>
      </c>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c r="CY41" s="176"/>
      <c r="CZ41" s="176"/>
      <c r="DA41" s="176"/>
      <c r="DB41" s="176"/>
    </row>
    <row r="42" spans="1:106" ht="16">
      <c r="A42" s="1" t="s">
        <v>204</v>
      </c>
      <c r="B42" s="1">
        <v>22104292</v>
      </c>
      <c r="C42" s="1" t="s">
        <v>205</v>
      </c>
      <c r="D42" s="5">
        <v>44449</v>
      </c>
      <c r="E42" s="1">
        <v>70.8</v>
      </c>
      <c r="F42" s="1">
        <v>8.1</v>
      </c>
      <c r="G42" s="1">
        <f t="shared" ref="G42:G48" si="0">F42/(E42/100)^2</f>
        <v>16.159149669635163</v>
      </c>
      <c r="H42" s="1" t="s">
        <v>18</v>
      </c>
      <c r="I42" s="1">
        <v>24</v>
      </c>
      <c r="J42" s="1">
        <v>4</v>
      </c>
      <c r="K42" s="1">
        <v>1</v>
      </c>
      <c r="L42" s="1">
        <v>2</v>
      </c>
      <c r="M42" s="1">
        <v>0</v>
      </c>
      <c r="N42" s="1">
        <v>9</v>
      </c>
      <c r="O42" s="1">
        <v>9</v>
      </c>
      <c r="P42" s="1">
        <v>544</v>
      </c>
      <c r="Q42" s="1">
        <v>29</v>
      </c>
      <c r="R42" s="1">
        <v>20</v>
      </c>
      <c r="S42" s="1">
        <v>18</v>
      </c>
      <c r="T42" s="5">
        <v>31248</v>
      </c>
      <c r="U42" s="1">
        <v>34.909999999999997</v>
      </c>
      <c r="V42" s="1">
        <v>1</v>
      </c>
      <c r="W42" s="1">
        <v>1</v>
      </c>
      <c r="X42" s="1">
        <v>3</v>
      </c>
      <c r="Y42" s="1">
        <v>2</v>
      </c>
      <c r="Z42" s="1">
        <v>0</v>
      </c>
      <c r="AA42" s="1">
        <v>0</v>
      </c>
      <c r="AB42" s="1">
        <v>0</v>
      </c>
      <c r="AC42" s="1">
        <v>0</v>
      </c>
      <c r="AD42" s="1">
        <v>0</v>
      </c>
      <c r="AE42" s="1">
        <v>1</v>
      </c>
      <c r="AF42" s="1">
        <v>0</v>
      </c>
      <c r="AG42" s="1">
        <v>0</v>
      </c>
      <c r="AH42" s="1">
        <v>1</v>
      </c>
      <c r="AI42" s="1">
        <v>1</v>
      </c>
      <c r="AJ42" s="1">
        <v>0</v>
      </c>
      <c r="AK42" s="1">
        <v>0</v>
      </c>
      <c r="AL42" s="1">
        <v>1</v>
      </c>
      <c r="AM42" s="1" t="s">
        <v>1996</v>
      </c>
      <c r="AN42" s="1">
        <v>0</v>
      </c>
      <c r="AO42" s="1">
        <v>0</v>
      </c>
      <c r="AP42" s="1">
        <v>0</v>
      </c>
      <c r="AQ42" s="1">
        <v>0</v>
      </c>
      <c r="AR42" s="1" t="s">
        <v>1997</v>
      </c>
      <c r="AS42" s="1">
        <v>1</v>
      </c>
      <c r="AT42" s="1">
        <v>0</v>
      </c>
      <c r="AU42" s="1">
        <v>0</v>
      </c>
      <c r="AV42" s="1">
        <v>0</v>
      </c>
      <c r="AW42" s="1">
        <v>0</v>
      </c>
      <c r="AX42" s="1" t="s">
        <v>1998</v>
      </c>
      <c r="AY42" s="1">
        <v>0</v>
      </c>
      <c r="AZ42" s="1">
        <v>0</v>
      </c>
      <c r="BA42" s="1">
        <v>0</v>
      </c>
      <c r="BB42" s="1">
        <v>0</v>
      </c>
      <c r="BC42" s="1">
        <v>0</v>
      </c>
      <c r="BD42" s="1">
        <v>0</v>
      </c>
      <c r="BE42" s="1">
        <v>0</v>
      </c>
      <c r="BF42" s="1">
        <v>0</v>
      </c>
      <c r="BG42" s="1">
        <v>0</v>
      </c>
      <c r="BH42" s="1">
        <v>0</v>
      </c>
      <c r="BI42" s="1">
        <v>0</v>
      </c>
      <c r="BJ42" s="1" t="s">
        <v>1999</v>
      </c>
      <c r="BK42" s="1">
        <v>1</v>
      </c>
      <c r="BL42" s="1">
        <v>0</v>
      </c>
      <c r="BM42" s="1">
        <v>1</v>
      </c>
      <c r="BN42" s="1">
        <v>0</v>
      </c>
      <c r="BO42" s="1">
        <v>0</v>
      </c>
      <c r="BP42" s="1">
        <v>0</v>
      </c>
      <c r="BQ42" s="1">
        <v>0</v>
      </c>
      <c r="BR42" s="1">
        <v>0</v>
      </c>
      <c r="BS42" s="1">
        <v>0</v>
      </c>
      <c r="BT42" s="1">
        <v>1</v>
      </c>
      <c r="BU42" s="1">
        <v>0</v>
      </c>
      <c r="BV42" s="1" t="s">
        <v>1999</v>
      </c>
      <c r="BW42" s="1">
        <v>1</v>
      </c>
      <c r="BX42" s="1">
        <v>2</v>
      </c>
      <c r="BY42" s="1">
        <v>4</v>
      </c>
      <c r="BZ42" s="1">
        <v>1</v>
      </c>
      <c r="CA42" s="5" t="s">
        <v>2000</v>
      </c>
      <c r="CB42" s="1">
        <v>1</v>
      </c>
      <c r="CC42" s="1" t="s">
        <v>2001</v>
      </c>
      <c r="CD42" s="1">
        <v>1</v>
      </c>
      <c r="CE42" s="1" t="s">
        <v>1887</v>
      </c>
      <c r="CF42" s="1" t="s">
        <v>2002</v>
      </c>
      <c r="CG42" s="1">
        <v>1</v>
      </c>
      <c r="CH42" s="1" t="s">
        <v>2003</v>
      </c>
      <c r="CI42" s="1">
        <v>0</v>
      </c>
      <c r="CJ42" s="1" t="s">
        <v>18</v>
      </c>
      <c r="CK42" s="1" t="s">
        <v>18</v>
      </c>
      <c r="CL42" s="1">
        <v>1</v>
      </c>
      <c r="CM42" s="1" t="s">
        <v>2004</v>
      </c>
      <c r="CN42" s="1" t="s">
        <v>2005</v>
      </c>
      <c r="CO42" s="1" t="s">
        <v>1902</v>
      </c>
      <c r="CP42" s="1" t="s">
        <v>2006</v>
      </c>
      <c r="CQ42" s="1" t="s">
        <v>2007</v>
      </c>
      <c r="CR42" s="1">
        <v>0</v>
      </c>
      <c r="CS42" s="1" t="s">
        <v>18</v>
      </c>
      <c r="CT42" s="1" t="s">
        <v>18</v>
      </c>
      <c r="CU42" s="1">
        <v>1</v>
      </c>
      <c r="CV42" s="1" t="s">
        <v>1887</v>
      </c>
      <c r="CW42" s="1" t="s">
        <v>2008</v>
      </c>
      <c r="CX42" s="1">
        <v>1</v>
      </c>
      <c r="CY42" s="1" t="s">
        <v>2009</v>
      </c>
      <c r="CZ42" s="1">
        <v>2</v>
      </c>
      <c r="DA42" s="1"/>
    </row>
    <row r="43" spans="1:106" ht="16">
      <c r="A43" s="1" t="s">
        <v>209</v>
      </c>
      <c r="B43" s="1">
        <v>22104265</v>
      </c>
      <c r="C43" s="1" t="s">
        <v>210</v>
      </c>
      <c r="D43" s="5">
        <v>44327</v>
      </c>
      <c r="E43" s="1">
        <v>63.3</v>
      </c>
      <c r="F43" s="1">
        <v>5.6</v>
      </c>
      <c r="G43" s="1">
        <f t="shared" si="0"/>
        <v>13.975926466661175</v>
      </c>
      <c r="H43" s="1">
        <v>41.2</v>
      </c>
      <c r="I43" s="1">
        <v>25</v>
      </c>
      <c r="J43" s="1">
        <v>0</v>
      </c>
      <c r="K43" s="1">
        <v>1</v>
      </c>
      <c r="L43" s="1">
        <v>2</v>
      </c>
      <c r="M43" s="1">
        <v>0</v>
      </c>
      <c r="N43" s="1">
        <v>6</v>
      </c>
      <c r="O43" s="1">
        <v>8</v>
      </c>
      <c r="P43" s="1">
        <v>550</v>
      </c>
      <c r="Q43" s="1">
        <v>27</v>
      </c>
      <c r="R43" s="1">
        <v>21</v>
      </c>
      <c r="S43" s="1">
        <v>18</v>
      </c>
      <c r="T43" s="5">
        <v>28714</v>
      </c>
      <c r="U43" s="1">
        <v>41.83</v>
      </c>
      <c r="V43" s="1">
        <v>0</v>
      </c>
      <c r="W43" s="1">
        <v>3</v>
      </c>
      <c r="X43" s="1">
        <v>0</v>
      </c>
      <c r="Y43" s="1">
        <v>3</v>
      </c>
      <c r="Z43" s="1">
        <v>1</v>
      </c>
      <c r="AA43" s="1">
        <v>10</v>
      </c>
      <c r="AB43" s="1">
        <v>0</v>
      </c>
      <c r="AC43" s="1">
        <v>0</v>
      </c>
      <c r="AD43" s="1">
        <v>0</v>
      </c>
      <c r="AE43" s="1">
        <v>0</v>
      </c>
      <c r="AF43" s="1">
        <v>0</v>
      </c>
      <c r="AG43" s="1">
        <v>0</v>
      </c>
      <c r="AH43" s="1">
        <v>1</v>
      </c>
      <c r="AI43" s="1">
        <v>0</v>
      </c>
      <c r="AJ43" s="1">
        <v>0</v>
      </c>
      <c r="AK43" s="1">
        <v>0</v>
      </c>
      <c r="AL43" s="1">
        <v>0</v>
      </c>
      <c r="AM43" s="1">
        <v>0</v>
      </c>
      <c r="AN43" s="1">
        <v>0</v>
      </c>
      <c r="AO43" s="1">
        <v>0</v>
      </c>
      <c r="AP43" s="1">
        <v>0</v>
      </c>
      <c r="AQ43" s="1">
        <v>0</v>
      </c>
      <c r="AR43" s="1" t="s">
        <v>1997</v>
      </c>
      <c r="AS43" s="1">
        <v>1</v>
      </c>
      <c r="AT43" s="1">
        <v>0</v>
      </c>
      <c r="AU43" s="1">
        <v>1</v>
      </c>
      <c r="AV43" s="1">
        <v>0</v>
      </c>
      <c r="AW43" s="1">
        <v>0</v>
      </c>
      <c r="AX43" s="1">
        <v>0</v>
      </c>
      <c r="AY43" s="1">
        <v>1</v>
      </c>
      <c r="AZ43" s="1">
        <v>0</v>
      </c>
      <c r="BA43" s="1">
        <v>0</v>
      </c>
      <c r="BB43" s="1">
        <v>0</v>
      </c>
      <c r="BC43" s="1">
        <v>0</v>
      </c>
      <c r="BD43" s="1">
        <v>0</v>
      </c>
      <c r="BE43" s="1">
        <v>0</v>
      </c>
      <c r="BF43" s="1">
        <v>0</v>
      </c>
      <c r="BG43" s="1">
        <v>0</v>
      </c>
      <c r="BH43" s="1">
        <v>0</v>
      </c>
      <c r="BI43" s="1">
        <v>0</v>
      </c>
      <c r="BJ43" s="1" t="s">
        <v>2010</v>
      </c>
      <c r="BK43" s="1">
        <v>1</v>
      </c>
      <c r="BL43" s="1">
        <v>0</v>
      </c>
      <c r="BM43" s="1">
        <v>1</v>
      </c>
      <c r="BN43" s="1">
        <v>0</v>
      </c>
      <c r="BO43" s="1">
        <v>0</v>
      </c>
      <c r="BP43" s="1">
        <v>0</v>
      </c>
      <c r="BQ43" s="1">
        <v>0</v>
      </c>
      <c r="BR43" s="1">
        <v>0</v>
      </c>
      <c r="BS43" s="1">
        <v>0</v>
      </c>
      <c r="BT43" s="1">
        <v>0</v>
      </c>
      <c r="BU43" s="1">
        <v>0</v>
      </c>
      <c r="BV43" s="1" t="s">
        <v>2011</v>
      </c>
      <c r="BW43" s="1">
        <v>0</v>
      </c>
      <c r="BX43" s="1">
        <v>0</v>
      </c>
      <c r="BY43" s="1">
        <v>0</v>
      </c>
      <c r="BZ43" s="1">
        <v>1</v>
      </c>
      <c r="CA43" s="1" t="s">
        <v>2012</v>
      </c>
      <c r="CB43" s="1">
        <v>0</v>
      </c>
      <c r="CC43" s="1" t="s">
        <v>18</v>
      </c>
      <c r="CD43" s="1">
        <v>1</v>
      </c>
      <c r="CE43" s="1" t="s">
        <v>2013</v>
      </c>
      <c r="CF43" s="1" t="s">
        <v>2014</v>
      </c>
      <c r="CG43" s="1">
        <v>1</v>
      </c>
      <c r="CH43" s="1" t="s">
        <v>1917</v>
      </c>
      <c r="CI43" s="1">
        <v>1</v>
      </c>
      <c r="CJ43" s="1" t="s">
        <v>1917</v>
      </c>
      <c r="CK43" s="1" t="s">
        <v>2007</v>
      </c>
      <c r="CL43" s="1">
        <v>0</v>
      </c>
      <c r="CM43" s="1" t="s">
        <v>18</v>
      </c>
      <c r="CN43" s="1" t="s">
        <v>18</v>
      </c>
      <c r="CO43" s="1">
        <v>0</v>
      </c>
      <c r="CP43" s="1" t="s">
        <v>18</v>
      </c>
      <c r="CQ43" s="1" t="s">
        <v>18</v>
      </c>
      <c r="CR43" s="1">
        <v>0</v>
      </c>
      <c r="CS43" s="1" t="s">
        <v>18</v>
      </c>
      <c r="CT43" s="1" t="s">
        <v>18</v>
      </c>
      <c r="CU43" s="1">
        <v>1</v>
      </c>
      <c r="CV43" s="1" t="s">
        <v>1887</v>
      </c>
      <c r="CW43" s="1" t="s">
        <v>2015</v>
      </c>
      <c r="CX43" s="1">
        <v>1</v>
      </c>
      <c r="CY43" s="1" t="s">
        <v>1919</v>
      </c>
      <c r="CZ43" s="1">
        <v>2</v>
      </c>
      <c r="DA43" s="1"/>
    </row>
    <row r="44" spans="1:106" ht="16">
      <c r="A44" s="1" t="s">
        <v>212</v>
      </c>
      <c r="B44" s="1">
        <v>22103803</v>
      </c>
      <c r="C44" s="1" t="s">
        <v>213</v>
      </c>
      <c r="D44" s="5">
        <v>44428</v>
      </c>
      <c r="E44" s="1">
        <v>71.2</v>
      </c>
      <c r="F44" s="1">
        <v>8.3000000000000007</v>
      </c>
      <c r="G44" s="1">
        <f t="shared" si="0"/>
        <v>16.372617093801288</v>
      </c>
      <c r="H44" s="1">
        <v>43.5</v>
      </c>
      <c r="I44" s="1">
        <v>23</v>
      </c>
      <c r="J44" s="1">
        <v>6</v>
      </c>
      <c r="K44" s="1">
        <v>1</v>
      </c>
      <c r="L44" s="1">
        <v>1</v>
      </c>
      <c r="M44" s="1">
        <v>0</v>
      </c>
      <c r="N44" s="1">
        <v>1</v>
      </c>
      <c r="O44" s="1">
        <v>5</v>
      </c>
      <c r="P44" s="1">
        <v>590</v>
      </c>
      <c r="Q44" s="1">
        <v>29.5</v>
      </c>
      <c r="R44" s="1">
        <v>21</v>
      </c>
      <c r="S44" s="1">
        <v>19.5</v>
      </c>
      <c r="T44" s="5">
        <v>30244</v>
      </c>
      <c r="U44" s="1">
        <v>37.51</v>
      </c>
      <c r="V44" s="1">
        <v>1</v>
      </c>
      <c r="W44" s="1">
        <v>1</v>
      </c>
      <c r="X44" s="1">
        <v>0</v>
      </c>
      <c r="Y44" s="1">
        <v>3</v>
      </c>
      <c r="Z44" s="1">
        <v>0</v>
      </c>
      <c r="AA44" s="1">
        <v>0</v>
      </c>
      <c r="AB44" s="1">
        <v>0</v>
      </c>
      <c r="AC44" s="1">
        <v>1</v>
      </c>
      <c r="AD44" s="1">
        <v>0</v>
      </c>
      <c r="AE44" s="1">
        <v>0</v>
      </c>
      <c r="AF44" s="1">
        <v>0</v>
      </c>
      <c r="AG44" s="1">
        <v>1</v>
      </c>
      <c r="AH44" s="1">
        <v>0</v>
      </c>
      <c r="AI44" s="1">
        <v>0</v>
      </c>
      <c r="AJ44" s="1">
        <v>0</v>
      </c>
      <c r="AK44" s="1">
        <v>0</v>
      </c>
      <c r="AL44" s="1">
        <v>0</v>
      </c>
      <c r="AM44" s="1">
        <v>0</v>
      </c>
      <c r="AN44" s="1">
        <v>0</v>
      </c>
      <c r="AO44" s="1">
        <v>0</v>
      </c>
      <c r="AP44" s="1">
        <v>0</v>
      </c>
      <c r="AQ44" s="1">
        <v>0</v>
      </c>
      <c r="AR44" s="1" t="s">
        <v>1910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1</v>
      </c>
      <c r="BL44" s="1">
        <v>0</v>
      </c>
      <c r="BM44" s="1">
        <v>1</v>
      </c>
      <c r="BN44" s="1">
        <v>0</v>
      </c>
      <c r="BO44" s="1">
        <v>0</v>
      </c>
      <c r="BP44" s="1">
        <v>0</v>
      </c>
      <c r="BQ44" s="1">
        <v>0</v>
      </c>
      <c r="BR44" s="1">
        <v>0</v>
      </c>
      <c r="BS44" s="1">
        <v>0</v>
      </c>
      <c r="BT44" s="1">
        <v>1</v>
      </c>
      <c r="BU44" s="1">
        <v>0</v>
      </c>
      <c r="BV44" s="1">
        <v>0</v>
      </c>
      <c r="BW44" s="1">
        <v>0</v>
      </c>
      <c r="BX44" s="1">
        <v>0</v>
      </c>
      <c r="BY44" s="1">
        <v>0</v>
      </c>
      <c r="BZ44" s="1">
        <v>1</v>
      </c>
      <c r="CA44" s="1" t="s">
        <v>1887</v>
      </c>
      <c r="CB44" s="1">
        <v>0</v>
      </c>
      <c r="CC44" s="1" t="s">
        <v>18</v>
      </c>
      <c r="CD44" s="1">
        <v>1</v>
      </c>
      <c r="CE44" s="1" t="s">
        <v>1887</v>
      </c>
      <c r="CF44" s="1" t="s">
        <v>2016</v>
      </c>
      <c r="CG44" s="1">
        <v>0</v>
      </c>
      <c r="CH44" s="1" t="s">
        <v>18</v>
      </c>
      <c r="CI44" s="1">
        <v>0</v>
      </c>
      <c r="CJ44" s="1" t="s">
        <v>18</v>
      </c>
      <c r="CK44" s="1" t="s">
        <v>18</v>
      </c>
      <c r="CL44" s="1">
        <v>1</v>
      </c>
      <c r="CM44" s="1" t="s">
        <v>1887</v>
      </c>
      <c r="CN44" s="1" t="s">
        <v>1981</v>
      </c>
      <c r="CO44" s="1" t="s">
        <v>1902</v>
      </c>
      <c r="CP44" s="1" t="s">
        <v>1887</v>
      </c>
      <c r="CQ44" s="1" t="s">
        <v>2007</v>
      </c>
      <c r="CR44" s="1">
        <v>0</v>
      </c>
      <c r="CS44" s="1" t="s">
        <v>18</v>
      </c>
      <c r="CT44" s="1" t="s">
        <v>18</v>
      </c>
      <c r="CU44" s="1">
        <v>0</v>
      </c>
      <c r="CV44" s="1" t="s">
        <v>18</v>
      </c>
      <c r="CW44" s="1" t="s">
        <v>18</v>
      </c>
      <c r="CX44" s="1">
        <v>1</v>
      </c>
      <c r="CY44" s="1" t="s">
        <v>74</v>
      </c>
      <c r="CZ44" s="1">
        <v>2</v>
      </c>
      <c r="DA44" s="1"/>
    </row>
    <row r="45" spans="1:106" ht="16">
      <c r="A45" s="1" t="s">
        <v>214</v>
      </c>
      <c r="B45" s="1">
        <v>22105667</v>
      </c>
      <c r="C45" s="1" t="s">
        <v>215</v>
      </c>
      <c r="D45" s="5">
        <v>44435</v>
      </c>
      <c r="E45" s="1">
        <v>57.5</v>
      </c>
      <c r="F45" s="1">
        <v>4.5999999999999996</v>
      </c>
      <c r="G45" s="1">
        <f t="shared" si="0"/>
        <v>13.913043478260871</v>
      </c>
      <c r="H45" s="1">
        <v>39.799999999999997</v>
      </c>
      <c r="I45" s="1">
        <v>25</v>
      </c>
      <c r="J45" s="1">
        <v>4</v>
      </c>
      <c r="K45" s="1">
        <v>1</v>
      </c>
      <c r="L45" s="1">
        <v>1</v>
      </c>
      <c r="M45" s="1">
        <v>0</v>
      </c>
      <c r="N45" s="1">
        <v>2</v>
      </c>
      <c r="O45" s="1">
        <v>2</v>
      </c>
      <c r="P45" s="1">
        <v>653</v>
      </c>
      <c r="Q45" s="1">
        <v>31.5</v>
      </c>
      <c r="R45" s="1">
        <v>22.5</v>
      </c>
      <c r="S45" s="1">
        <v>20</v>
      </c>
      <c r="T45" s="5">
        <v>31002</v>
      </c>
      <c r="U45" s="1">
        <v>35.94</v>
      </c>
      <c r="V45" s="1">
        <v>1</v>
      </c>
      <c r="W45" s="1">
        <v>1</v>
      </c>
      <c r="X45" s="1">
        <v>0</v>
      </c>
      <c r="Y45" s="1">
        <v>2</v>
      </c>
      <c r="Z45" s="1">
        <v>0</v>
      </c>
      <c r="AA45" s="1">
        <v>0</v>
      </c>
      <c r="AB45" s="1">
        <v>0</v>
      </c>
      <c r="AC45" s="1">
        <v>1</v>
      </c>
      <c r="AD45" s="1">
        <v>0</v>
      </c>
      <c r="AE45" s="1">
        <v>0</v>
      </c>
      <c r="AF45" s="1">
        <v>0</v>
      </c>
      <c r="AG45" s="1">
        <v>0</v>
      </c>
      <c r="AH45" s="1">
        <v>0</v>
      </c>
      <c r="AI45" s="1">
        <v>0</v>
      </c>
      <c r="AJ45" s="1">
        <v>0</v>
      </c>
      <c r="AK45" s="1">
        <v>0</v>
      </c>
      <c r="AL45" s="1">
        <v>0</v>
      </c>
      <c r="AM45" s="1">
        <v>0</v>
      </c>
      <c r="AN45" s="1">
        <v>0</v>
      </c>
      <c r="AO45" s="1">
        <v>0</v>
      </c>
      <c r="AP45" s="1">
        <v>0</v>
      </c>
      <c r="AQ45" s="1">
        <v>0</v>
      </c>
      <c r="AR45" s="1">
        <v>1</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1</v>
      </c>
      <c r="BL45" s="1">
        <v>0</v>
      </c>
      <c r="BM45" s="1">
        <v>0</v>
      </c>
      <c r="BN45" s="1">
        <v>0</v>
      </c>
      <c r="BO45" s="1">
        <v>0</v>
      </c>
      <c r="BP45" s="1">
        <v>0</v>
      </c>
      <c r="BQ45" s="1">
        <v>0</v>
      </c>
      <c r="BR45" s="1">
        <v>0</v>
      </c>
      <c r="BS45" s="1">
        <v>0</v>
      </c>
      <c r="BT45" s="1">
        <v>0</v>
      </c>
      <c r="BU45" s="1">
        <v>0</v>
      </c>
      <c r="BV45" s="1" t="s">
        <v>2017</v>
      </c>
      <c r="BW45" s="1">
        <v>0</v>
      </c>
      <c r="BX45" s="1">
        <v>0</v>
      </c>
      <c r="BY45" s="1">
        <v>0</v>
      </c>
      <c r="BZ45" s="1">
        <v>1</v>
      </c>
      <c r="CA45" s="1" t="s">
        <v>2018</v>
      </c>
      <c r="CB45" s="1">
        <v>0</v>
      </c>
      <c r="CC45" s="1" t="s">
        <v>18</v>
      </c>
      <c r="CD45" s="1">
        <v>1</v>
      </c>
      <c r="CE45" s="1" t="s">
        <v>2019</v>
      </c>
      <c r="CF45" s="1" t="s">
        <v>2020</v>
      </c>
      <c r="CG45" s="1">
        <v>1</v>
      </c>
      <c r="CH45" s="1" t="s">
        <v>1887</v>
      </c>
      <c r="CI45" s="1">
        <v>0</v>
      </c>
      <c r="CJ45" s="1" t="s">
        <v>18</v>
      </c>
      <c r="CK45" s="1" t="s">
        <v>18</v>
      </c>
      <c r="CL45" s="1">
        <v>1</v>
      </c>
      <c r="CM45" s="1" t="s">
        <v>2021</v>
      </c>
      <c r="CN45" s="1" t="s">
        <v>2022</v>
      </c>
      <c r="CO45" s="1" t="s">
        <v>1902</v>
      </c>
      <c r="CP45" s="1" t="s">
        <v>2021</v>
      </c>
      <c r="CQ45" s="1" t="s">
        <v>2023</v>
      </c>
      <c r="CR45" s="1" t="s">
        <v>2024</v>
      </c>
      <c r="CS45" s="1" t="s">
        <v>2021</v>
      </c>
      <c r="CT45" s="1" t="s">
        <v>2022</v>
      </c>
      <c r="CU45" s="1">
        <v>0</v>
      </c>
      <c r="CV45" s="1" t="s">
        <v>18</v>
      </c>
      <c r="CW45" s="1" t="s">
        <v>18</v>
      </c>
      <c r="CX45" s="1">
        <v>0</v>
      </c>
      <c r="CY45" s="1" t="s">
        <v>18</v>
      </c>
      <c r="CZ45" s="1">
        <v>2</v>
      </c>
      <c r="DA45" s="1"/>
    </row>
    <row r="46" spans="1:106" ht="16">
      <c r="A46" s="1" t="s">
        <v>219</v>
      </c>
      <c r="B46" s="1">
        <v>22107706</v>
      </c>
      <c r="C46" s="1" t="s">
        <v>220</v>
      </c>
      <c r="D46" s="5">
        <v>44607</v>
      </c>
      <c r="E46" s="1">
        <v>59.9</v>
      </c>
      <c r="F46" s="1">
        <v>6</v>
      </c>
      <c r="G46" s="1">
        <f t="shared" si="0"/>
        <v>16.72236142039738</v>
      </c>
      <c r="H46" s="1">
        <v>39.9</v>
      </c>
      <c r="I46" s="1">
        <v>28</v>
      </c>
      <c r="J46" s="1">
        <v>0</v>
      </c>
      <c r="K46" s="1">
        <v>1</v>
      </c>
      <c r="L46" s="1">
        <v>2</v>
      </c>
      <c r="M46" s="1">
        <v>0</v>
      </c>
      <c r="N46" s="1">
        <v>7</v>
      </c>
      <c r="O46" s="1">
        <v>8</v>
      </c>
      <c r="P46" s="1">
        <v>760</v>
      </c>
      <c r="Q46" s="1">
        <v>29.5</v>
      </c>
      <c r="R46" s="1">
        <v>25</v>
      </c>
      <c r="S46" s="1">
        <v>20</v>
      </c>
      <c r="T46" s="5">
        <v>31516</v>
      </c>
      <c r="U46" s="1">
        <v>35.08</v>
      </c>
      <c r="V46" s="1">
        <v>0</v>
      </c>
      <c r="W46" s="1">
        <v>1</v>
      </c>
      <c r="X46" s="1">
        <v>0</v>
      </c>
      <c r="Y46" s="1">
        <v>1</v>
      </c>
      <c r="Z46" s="1">
        <v>1</v>
      </c>
      <c r="AA46" s="1">
        <v>1</v>
      </c>
      <c r="AB46" s="1">
        <v>1</v>
      </c>
      <c r="AC46" s="1">
        <v>0</v>
      </c>
      <c r="AD46" s="1">
        <v>0</v>
      </c>
      <c r="AE46" s="1">
        <v>0</v>
      </c>
      <c r="AF46" s="1">
        <v>0</v>
      </c>
      <c r="AG46" s="1">
        <v>0</v>
      </c>
      <c r="AH46" s="1">
        <v>0</v>
      </c>
      <c r="AI46" s="1">
        <v>0</v>
      </c>
      <c r="AJ46" s="1">
        <v>0</v>
      </c>
      <c r="AK46" s="1">
        <v>0</v>
      </c>
      <c r="AL46" s="1">
        <v>0</v>
      </c>
      <c r="AM46" s="1">
        <v>0</v>
      </c>
      <c r="AN46" s="1">
        <v>0</v>
      </c>
      <c r="AO46" s="1">
        <v>0</v>
      </c>
      <c r="AP46" s="1">
        <v>0</v>
      </c>
      <c r="AQ46" s="1">
        <v>0</v>
      </c>
      <c r="AR46" s="1">
        <v>1</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1</v>
      </c>
      <c r="BL46" s="1">
        <v>0</v>
      </c>
      <c r="BM46" s="1">
        <v>1</v>
      </c>
      <c r="BN46" s="1">
        <v>0</v>
      </c>
      <c r="BO46" s="1">
        <v>0</v>
      </c>
      <c r="BP46" s="1">
        <v>0</v>
      </c>
      <c r="BQ46" s="1">
        <v>0</v>
      </c>
      <c r="BR46" s="1">
        <v>0</v>
      </c>
      <c r="BS46" s="1">
        <v>0</v>
      </c>
      <c r="BT46" s="1">
        <v>0</v>
      </c>
      <c r="BU46" s="1">
        <v>0</v>
      </c>
      <c r="BV46" s="1">
        <v>0</v>
      </c>
      <c r="BW46" s="1">
        <v>0</v>
      </c>
      <c r="BX46" s="1">
        <v>0</v>
      </c>
      <c r="BY46" s="1">
        <v>0</v>
      </c>
      <c r="BZ46" s="1">
        <v>1</v>
      </c>
      <c r="CA46" s="1" t="s">
        <v>2025</v>
      </c>
      <c r="CB46" s="1">
        <v>1</v>
      </c>
      <c r="CC46" s="1" t="s">
        <v>1899</v>
      </c>
      <c r="CD46" s="1">
        <v>1</v>
      </c>
      <c r="CE46" s="1" t="s">
        <v>2021</v>
      </c>
      <c r="CF46" s="1" t="s">
        <v>2026</v>
      </c>
      <c r="CG46" s="1">
        <v>1</v>
      </c>
      <c r="CH46" s="1" t="s">
        <v>2021</v>
      </c>
      <c r="CI46" s="1">
        <v>0</v>
      </c>
      <c r="CJ46" s="1" t="s">
        <v>18</v>
      </c>
      <c r="CK46" s="1" t="s">
        <v>18</v>
      </c>
      <c r="CL46" s="1">
        <v>1</v>
      </c>
      <c r="CM46" s="1" t="s">
        <v>2027</v>
      </c>
      <c r="CN46" s="1" t="s">
        <v>2022</v>
      </c>
      <c r="CO46" s="1" t="s">
        <v>1902</v>
      </c>
      <c r="CP46" s="1" t="s">
        <v>2021</v>
      </c>
      <c r="CQ46" s="1" t="s">
        <v>2007</v>
      </c>
      <c r="CR46" s="1">
        <v>0</v>
      </c>
      <c r="CS46" s="1" t="s">
        <v>18</v>
      </c>
      <c r="CT46" s="1" t="s">
        <v>18</v>
      </c>
      <c r="CU46" s="1">
        <v>1</v>
      </c>
      <c r="CV46" s="1" t="s">
        <v>2028</v>
      </c>
      <c r="CW46" s="1" t="s">
        <v>2029</v>
      </c>
      <c r="CX46" s="1">
        <v>1</v>
      </c>
      <c r="CY46" s="1" t="s">
        <v>1919</v>
      </c>
      <c r="CZ46" s="1">
        <v>2</v>
      </c>
      <c r="DA46" s="1"/>
    </row>
    <row r="47" spans="1:106" ht="16">
      <c r="A47" s="1" t="s">
        <v>223</v>
      </c>
      <c r="B47" s="1">
        <v>22107436</v>
      </c>
      <c r="C47" s="1" t="s">
        <v>224</v>
      </c>
      <c r="D47" s="5">
        <v>44496</v>
      </c>
      <c r="E47" s="1">
        <v>68.900000000000006</v>
      </c>
      <c r="F47" s="1">
        <v>7.8</v>
      </c>
      <c r="G47" s="1">
        <f t="shared" si="0"/>
        <v>16.430703507955197</v>
      </c>
      <c r="H47" s="1">
        <v>45.5</v>
      </c>
      <c r="I47" s="1">
        <v>40</v>
      </c>
      <c r="J47" s="1">
        <v>4</v>
      </c>
      <c r="K47" s="1">
        <v>0</v>
      </c>
      <c r="L47" s="1">
        <v>1</v>
      </c>
      <c r="M47" s="1">
        <v>1</v>
      </c>
      <c r="N47" s="1">
        <v>9</v>
      </c>
      <c r="O47" s="1">
        <v>10</v>
      </c>
      <c r="P47" s="1">
        <v>3250</v>
      </c>
      <c r="Q47" s="1">
        <v>50</v>
      </c>
      <c r="R47" s="1">
        <v>36</v>
      </c>
      <c r="S47" s="1">
        <v>33</v>
      </c>
      <c r="T47" s="5">
        <v>32797</v>
      </c>
      <c r="U47" s="1">
        <v>31.49</v>
      </c>
      <c r="V47" s="1">
        <v>1</v>
      </c>
      <c r="W47" s="1">
        <v>0</v>
      </c>
      <c r="X47" s="1">
        <v>0</v>
      </c>
      <c r="Y47" s="1">
        <v>1</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t="s">
        <v>1910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1</v>
      </c>
      <c r="CA47" s="1" t="s">
        <v>2030</v>
      </c>
      <c r="CB47" s="1">
        <v>0</v>
      </c>
      <c r="CC47" s="1" t="s">
        <v>18</v>
      </c>
      <c r="CD47" s="1">
        <v>1</v>
      </c>
      <c r="CE47" s="1" t="s">
        <v>1887</v>
      </c>
      <c r="CF47" s="1" t="s">
        <v>2031</v>
      </c>
      <c r="CG47" s="1">
        <v>0</v>
      </c>
      <c r="CH47" s="1" t="s">
        <v>18</v>
      </c>
      <c r="CI47" s="1">
        <v>0</v>
      </c>
      <c r="CJ47" s="1" t="s">
        <v>18</v>
      </c>
      <c r="CK47" s="1" t="s">
        <v>18</v>
      </c>
      <c r="CL47" s="1">
        <v>1</v>
      </c>
      <c r="CM47" s="1" t="s">
        <v>2032</v>
      </c>
      <c r="CN47" s="1" t="s">
        <v>2033</v>
      </c>
      <c r="CO47" s="1" t="s">
        <v>2034</v>
      </c>
      <c r="CP47" s="1" t="s">
        <v>2032</v>
      </c>
      <c r="CQ47" s="1" t="s">
        <v>2035</v>
      </c>
      <c r="CR47" s="1">
        <v>0</v>
      </c>
      <c r="CS47" s="1" t="s">
        <v>18</v>
      </c>
      <c r="CT47" s="1" t="s">
        <v>18</v>
      </c>
      <c r="CU47" s="1">
        <v>0</v>
      </c>
      <c r="CV47" s="1" t="s">
        <v>18</v>
      </c>
      <c r="CW47" s="1" t="s">
        <v>18</v>
      </c>
      <c r="CX47" s="1">
        <v>1</v>
      </c>
      <c r="CY47" s="1" t="s">
        <v>74</v>
      </c>
      <c r="CZ47" s="1">
        <v>2</v>
      </c>
      <c r="DA47" s="1"/>
    </row>
    <row r="48" spans="1:106" ht="16">
      <c r="A48" s="1" t="s">
        <v>228</v>
      </c>
      <c r="B48" s="1">
        <v>22107749</v>
      </c>
      <c r="C48" s="1" t="s">
        <v>229</v>
      </c>
      <c r="D48" s="5">
        <v>44610</v>
      </c>
      <c r="E48" s="1">
        <v>68.8</v>
      </c>
      <c r="F48" s="1">
        <v>8.6</v>
      </c>
      <c r="G48" s="1">
        <f t="shared" si="0"/>
        <v>18.168604651162791</v>
      </c>
      <c r="H48" s="1">
        <v>43.8</v>
      </c>
      <c r="I48" s="1">
        <v>30</v>
      </c>
      <c r="J48" s="1">
        <v>0</v>
      </c>
      <c r="K48" s="1">
        <v>1</v>
      </c>
      <c r="L48" s="1">
        <v>2</v>
      </c>
      <c r="M48" s="1">
        <v>0</v>
      </c>
      <c r="N48" s="1">
        <v>5</v>
      </c>
      <c r="O48" s="1">
        <v>9</v>
      </c>
      <c r="P48" s="1">
        <v>1570</v>
      </c>
      <c r="Q48" s="1">
        <v>43.5</v>
      </c>
      <c r="R48" s="1">
        <v>28</v>
      </c>
      <c r="S48" s="1">
        <v>27</v>
      </c>
      <c r="T48" s="5">
        <v>29787</v>
      </c>
      <c r="U48" s="1">
        <v>39.83</v>
      </c>
      <c r="V48" s="1">
        <v>2</v>
      </c>
      <c r="W48" s="1">
        <v>1</v>
      </c>
      <c r="X48" s="1">
        <v>0</v>
      </c>
      <c r="Y48" s="1">
        <v>3</v>
      </c>
      <c r="Z48" s="1">
        <v>0</v>
      </c>
      <c r="AA48" s="1">
        <v>0</v>
      </c>
      <c r="AB48" s="1">
        <v>1</v>
      </c>
      <c r="AC48" s="1">
        <v>0</v>
      </c>
      <c r="AD48" s="1">
        <v>0</v>
      </c>
      <c r="AE48" s="1">
        <v>0</v>
      </c>
      <c r="AF48" s="1">
        <v>0</v>
      </c>
      <c r="AG48" s="1">
        <v>0</v>
      </c>
      <c r="AH48" s="1">
        <v>0</v>
      </c>
      <c r="AI48" s="1">
        <v>0</v>
      </c>
      <c r="AJ48" s="1">
        <v>0</v>
      </c>
      <c r="AK48" s="1">
        <v>0</v>
      </c>
      <c r="AL48" s="1">
        <v>0</v>
      </c>
      <c r="AM48" s="1">
        <v>0</v>
      </c>
      <c r="AN48" s="1">
        <v>0</v>
      </c>
      <c r="AO48" s="1">
        <v>0</v>
      </c>
      <c r="AP48" s="1">
        <v>0</v>
      </c>
      <c r="AQ48" s="1">
        <v>0</v>
      </c>
      <c r="AR48" s="1">
        <v>1</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1</v>
      </c>
      <c r="CA48" s="1" t="s">
        <v>1887</v>
      </c>
      <c r="CB48" s="1">
        <v>0</v>
      </c>
      <c r="CC48" s="1" t="s">
        <v>18</v>
      </c>
      <c r="CD48" s="1">
        <v>0</v>
      </c>
      <c r="CE48" s="1" t="s">
        <v>18</v>
      </c>
      <c r="CF48" s="1" t="s">
        <v>18</v>
      </c>
      <c r="CG48" s="1">
        <v>1</v>
      </c>
      <c r="CH48" s="1" t="s">
        <v>2021</v>
      </c>
      <c r="CI48" s="1">
        <v>0</v>
      </c>
      <c r="CJ48" s="1" t="s">
        <v>18</v>
      </c>
      <c r="CK48" s="1" t="s">
        <v>18</v>
      </c>
      <c r="CL48" s="1">
        <v>0</v>
      </c>
      <c r="CM48" s="1" t="s">
        <v>18</v>
      </c>
      <c r="CN48" s="1" t="s">
        <v>18</v>
      </c>
      <c r="CO48" s="1" t="s">
        <v>1902</v>
      </c>
      <c r="CP48" s="1" t="s">
        <v>2021</v>
      </c>
      <c r="CQ48" s="1" t="s">
        <v>2007</v>
      </c>
      <c r="CR48" s="1">
        <v>0</v>
      </c>
      <c r="CS48" s="1" t="s">
        <v>18</v>
      </c>
      <c r="CT48" s="1" t="s">
        <v>18</v>
      </c>
      <c r="CU48" s="1">
        <v>0</v>
      </c>
      <c r="CV48" s="1" t="s">
        <v>18</v>
      </c>
      <c r="CW48" s="1" t="s">
        <v>18</v>
      </c>
      <c r="CX48" s="1">
        <v>1</v>
      </c>
      <c r="CY48" s="1" t="s">
        <v>2036</v>
      </c>
      <c r="CZ48" s="1">
        <v>2</v>
      </c>
      <c r="DA48" s="1"/>
    </row>
    <row r="49" spans="1:106" s="114" customFormat="1" ht="16">
      <c r="A49" s="112" t="s">
        <v>232</v>
      </c>
      <c r="B49" s="162">
        <v>21929694</v>
      </c>
      <c r="C49" s="163" t="s">
        <v>1100</v>
      </c>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c r="CY49" s="176"/>
      <c r="CZ49" s="176"/>
      <c r="DA49" s="176"/>
      <c r="DB49" s="176"/>
    </row>
    <row r="50" spans="1:106" s="114" customFormat="1" ht="16">
      <c r="A50" s="112" t="s">
        <v>236</v>
      </c>
      <c r="B50" s="162">
        <v>21929692</v>
      </c>
      <c r="C50" s="163" t="s">
        <v>1106</v>
      </c>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c r="CY50" s="176"/>
      <c r="CZ50" s="176"/>
      <c r="DA50" s="176"/>
      <c r="DB50" s="176"/>
    </row>
    <row r="51" spans="1:106" ht="16">
      <c r="A51" s="1" t="s">
        <v>239</v>
      </c>
      <c r="B51" s="1">
        <v>22107552</v>
      </c>
      <c r="C51" s="1" t="s">
        <v>240</v>
      </c>
      <c r="D51" s="5">
        <v>44580</v>
      </c>
      <c r="E51" s="1">
        <v>64</v>
      </c>
      <c r="F51" s="1">
        <v>6.2</v>
      </c>
      <c r="G51" s="1">
        <f>F51/(E51/100)^2</f>
        <v>15.13671875</v>
      </c>
      <c r="H51" s="1">
        <v>40.799999999999997</v>
      </c>
      <c r="I51" s="1">
        <v>30</v>
      </c>
      <c r="J51" s="1">
        <v>6</v>
      </c>
      <c r="K51" s="1">
        <v>1</v>
      </c>
      <c r="L51" s="1">
        <v>2</v>
      </c>
      <c r="M51" s="1">
        <v>0</v>
      </c>
      <c r="N51" s="1">
        <v>5</v>
      </c>
      <c r="O51" s="1">
        <v>8</v>
      </c>
      <c r="P51" s="1">
        <v>1185</v>
      </c>
      <c r="Q51" s="1">
        <v>37.5</v>
      </c>
      <c r="R51" s="1">
        <v>27</v>
      </c>
      <c r="S51" s="1">
        <v>23</v>
      </c>
      <c r="T51" s="5">
        <v>30694</v>
      </c>
      <c r="U51" s="1">
        <v>37.28</v>
      </c>
      <c r="V51" s="1">
        <v>0</v>
      </c>
      <c r="W51" s="1">
        <v>1</v>
      </c>
      <c r="X51" s="1">
        <v>0</v>
      </c>
      <c r="Y51" s="1">
        <v>1</v>
      </c>
      <c r="Z51" s="1">
        <v>1</v>
      </c>
      <c r="AA51" s="1">
        <v>0</v>
      </c>
      <c r="AB51" s="1">
        <v>0</v>
      </c>
      <c r="AC51" s="1">
        <v>0</v>
      </c>
      <c r="AD51" s="1">
        <v>0</v>
      </c>
      <c r="AE51" s="1">
        <v>0</v>
      </c>
      <c r="AF51" s="1">
        <v>0</v>
      </c>
      <c r="AG51" s="1">
        <v>0</v>
      </c>
      <c r="AH51" s="1">
        <v>1</v>
      </c>
      <c r="AI51" s="1">
        <v>1</v>
      </c>
      <c r="AJ51" s="1">
        <v>0</v>
      </c>
      <c r="AK51" s="1">
        <v>0</v>
      </c>
      <c r="AL51" s="1">
        <v>1</v>
      </c>
      <c r="AM51" s="1">
        <v>20</v>
      </c>
      <c r="AN51" s="1">
        <v>0</v>
      </c>
      <c r="AO51" s="1">
        <v>0</v>
      </c>
      <c r="AP51" s="1">
        <v>0</v>
      </c>
      <c r="AQ51" s="1">
        <v>0</v>
      </c>
      <c r="AR51" s="1">
        <v>1</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1</v>
      </c>
      <c r="CA51" s="1" t="s">
        <v>2037</v>
      </c>
      <c r="CB51" s="1">
        <v>0</v>
      </c>
      <c r="CC51" s="1" t="s">
        <v>18</v>
      </c>
      <c r="CD51" s="1">
        <v>1</v>
      </c>
      <c r="CE51" s="1" t="s">
        <v>1887</v>
      </c>
      <c r="CF51" s="1" t="s">
        <v>2038</v>
      </c>
      <c r="CG51" s="1">
        <v>1</v>
      </c>
      <c r="CH51" s="1" t="s">
        <v>1887</v>
      </c>
      <c r="CI51" s="1">
        <v>0</v>
      </c>
      <c r="CJ51" s="1" t="s">
        <v>18</v>
      </c>
      <c r="CK51" s="1" t="s">
        <v>18</v>
      </c>
      <c r="CL51" s="1">
        <v>1</v>
      </c>
      <c r="CM51" s="1" t="s">
        <v>1887</v>
      </c>
      <c r="CN51" s="1" t="s">
        <v>2039</v>
      </c>
      <c r="CO51" s="1" t="s">
        <v>2040</v>
      </c>
      <c r="CP51" s="1" t="s">
        <v>2041</v>
      </c>
      <c r="CQ51" s="1" t="s">
        <v>2007</v>
      </c>
      <c r="CR51" s="1">
        <v>0</v>
      </c>
      <c r="CS51" s="1" t="s">
        <v>18</v>
      </c>
      <c r="CT51" s="1" t="s">
        <v>18</v>
      </c>
      <c r="CU51" s="1">
        <v>1</v>
      </c>
      <c r="CV51" s="1" t="s">
        <v>2042</v>
      </c>
      <c r="CW51" s="1" t="s">
        <v>2043</v>
      </c>
      <c r="CX51" s="1">
        <v>1</v>
      </c>
      <c r="CY51" s="1" t="s">
        <v>1919</v>
      </c>
      <c r="CZ51" s="1">
        <v>2</v>
      </c>
      <c r="DA51" s="1"/>
    </row>
    <row r="52" spans="1:106" ht="16">
      <c r="A52" s="1" t="s">
        <v>244</v>
      </c>
      <c r="B52" s="1">
        <v>22105413</v>
      </c>
      <c r="C52" s="1" t="s">
        <v>245</v>
      </c>
      <c r="D52" s="5">
        <v>44419</v>
      </c>
      <c r="E52" s="1">
        <v>62</v>
      </c>
      <c r="F52" s="1">
        <v>5.2</v>
      </c>
      <c r="G52" s="1">
        <f>F52/(E52/100)^2</f>
        <v>13.527575442247658</v>
      </c>
      <c r="H52" s="1">
        <v>36</v>
      </c>
      <c r="I52" s="1">
        <v>25</v>
      </c>
      <c r="J52" s="1">
        <v>3</v>
      </c>
      <c r="K52" s="1">
        <v>1</v>
      </c>
      <c r="L52" s="1">
        <v>2</v>
      </c>
      <c r="M52" s="1">
        <v>0</v>
      </c>
      <c r="N52" s="1">
        <v>8</v>
      </c>
      <c r="O52" s="1">
        <v>9</v>
      </c>
      <c r="P52" s="1">
        <v>650</v>
      </c>
      <c r="Q52" s="1">
        <v>31</v>
      </c>
      <c r="R52" s="1">
        <v>21</v>
      </c>
      <c r="S52" s="1">
        <v>19</v>
      </c>
      <c r="T52" s="5">
        <v>29396</v>
      </c>
      <c r="U52" s="1">
        <v>40.270000000000003</v>
      </c>
      <c r="V52" s="1">
        <v>1</v>
      </c>
      <c r="W52" s="1">
        <v>1</v>
      </c>
      <c r="X52" s="1">
        <v>2</v>
      </c>
      <c r="Y52" s="1">
        <v>2</v>
      </c>
      <c r="Z52" s="1">
        <v>0</v>
      </c>
      <c r="AA52" s="1">
        <v>0</v>
      </c>
      <c r="AB52" s="1">
        <v>0</v>
      </c>
      <c r="AC52" s="1">
        <v>1</v>
      </c>
      <c r="AD52" s="1">
        <v>0</v>
      </c>
      <c r="AE52" s="1">
        <v>0</v>
      </c>
      <c r="AF52" s="1">
        <v>0</v>
      </c>
      <c r="AG52" s="1">
        <v>1</v>
      </c>
      <c r="AH52" s="1">
        <v>0</v>
      </c>
      <c r="AI52" s="1">
        <v>1</v>
      </c>
      <c r="AJ52" s="1">
        <v>0</v>
      </c>
      <c r="AK52" s="1">
        <v>0</v>
      </c>
      <c r="AL52" s="1">
        <v>1</v>
      </c>
      <c r="AM52" s="1">
        <v>5</v>
      </c>
      <c r="AN52" s="1">
        <v>0</v>
      </c>
      <c r="AO52" s="1">
        <v>0</v>
      </c>
      <c r="AP52" s="1">
        <v>1</v>
      </c>
      <c r="AQ52" s="1">
        <v>2</v>
      </c>
      <c r="AR52" s="1">
        <v>1</v>
      </c>
      <c r="AS52" s="1">
        <v>0</v>
      </c>
      <c r="AT52" s="1">
        <v>0</v>
      </c>
      <c r="AU52" s="1">
        <v>0</v>
      </c>
      <c r="AV52" s="1">
        <v>0</v>
      </c>
      <c r="AW52" s="1">
        <v>0</v>
      </c>
      <c r="AX52" s="1">
        <v>0</v>
      </c>
      <c r="AY52" s="1">
        <v>1</v>
      </c>
      <c r="AZ52" s="1">
        <v>0</v>
      </c>
      <c r="BA52" s="1">
        <v>0</v>
      </c>
      <c r="BB52" s="1">
        <v>0</v>
      </c>
      <c r="BC52" s="1">
        <v>0</v>
      </c>
      <c r="BD52" s="1">
        <v>0</v>
      </c>
      <c r="BE52" s="1">
        <v>0</v>
      </c>
      <c r="BF52" s="1">
        <v>0</v>
      </c>
      <c r="BG52" s="1">
        <v>0</v>
      </c>
      <c r="BH52" s="1">
        <v>1</v>
      </c>
      <c r="BI52" s="1">
        <v>0</v>
      </c>
      <c r="BJ52" s="1">
        <v>0</v>
      </c>
      <c r="BK52" s="1">
        <v>1</v>
      </c>
      <c r="BL52" s="1">
        <v>0</v>
      </c>
      <c r="BM52" s="1">
        <v>1</v>
      </c>
      <c r="BN52" s="1">
        <v>0</v>
      </c>
      <c r="BO52" s="1">
        <v>0</v>
      </c>
      <c r="BP52" s="1">
        <v>0</v>
      </c>
      <c r="BQ52" s="1">
        <v>0</v>
      </c>
      <c r="BR52" s="1">
        <v>0</v>
      </c>
      <c r="BS52" s="1">
        <v>1</v>
      </c>
      <c r="BT52" s="1">
        <v>1</v>
      </c>
      <c r="BU52" s="1">
        <v>0</v>
      </c>
      <c r="BV52" s="1">
        <v>0</v>
      </c>
      <c r="BW52" s="1">
        <v>0</v>
      </c>
      <c r="BX52" s="1">
        <v>0</v>
      </c>
      <c r="BY52" s="1">
        <v>0</v>
      </c>
      <c r="BZ52" s="1">
        <v>0</v>
      </c>
      <c r="CA52" s="1" t="s">
        <v>18</v>
      </c>
      <c r="CB52" s="1" t="s">
        <v>18</v>
      </c>
      <c r="CC52" s="1" t="s">
        <v>18</v>
      </c>
      <c r="CD52" s="1">
        <v>1</v>
      </c>
      <c r="CE52" s="1" t="s">
        <v>1887</v>
      </c>
      <c r="CF52" s="1" t="s">
        <v>2044</v>
      </c>
      <c r="CG52" s="1">
        <v>1</v>
      </c>
      <c r="CH52" s="1" t="s">
        <v>1887</v>
      </c>
      <c r="CI52" s="1">
        <v>0</v>
      </c>
      <c r="CJ52" s="1" t="s">
        <v>18</v>
      </c>
      <c r="CK52" s="1" t="s">
        <v>18</v>
      </c>
      <c r="CL52" s="1">
        <v>0</v>
      </c>
      <c r="CM52" s="1" t="s">
        <v>18</v>
      </c>
      <c r="CN52" s="1" t="s">
        <v>18</v>
      </c>
      <c r="CO52" s="1" t="s">
        <v>1902</v>
      </c>
      <c r="CP52" s="1" t="s">
        <v>1887</v>
      </c>
      <c r="CQ52" s="1" t="s">
        <v>2007</v>
      </c>
      <c r="CR52" s="1">
        <v>0</v>
      </c>
      <c r="CS52" s="1" t="s">
        <v>18</v>
      </c>
      <c r="CT52" s="1" t="s">
        <v>18</v>
      </c>
      <c r="CU52" s="1">
        <v>1</v>
      </c>
      <c r="CV52" s="1" t="s">
        <v>2045</v>
      </c>
      <c r="CW52" s="1" t="s">
        <v>2046</v>
      </c>
      <c r="CX52" s="1">
        <v>1</v>
      </c>
      <c r="CY52" s="5">
        <v>44417</v>
      </c>
      <c r="CZ52" s="1">
        <v>2</v>
      </c>
      <c r="DA52" s="1"/>
    </row>
    <row r="53" spans="1:106" s="110" customFormat="1" ht="16">
      <c r="A53" s="107" t="s">
        <v>249</v>
      </c>
      <c r="B53" s="107">
        <v>22105943</v>
      </c>
      <c r="C53" s="107" t="s">
        <v>250</v>
      </c>
      <c r="D53" s="108">
        <v>44476</v>
      </c>
      <c r="E53" s="107">
        <v>67</v>
      </c>
      <c r="F53" s="107">
        <v>7.58</v>
      </c>
      <c r="G53" s="107">
        <f>F53/(E53/100)^2</f>
        <v>16.885720650478945</v>
      </c>
      <c r="H53" s="107"/>
      <c r="I53" s="107">
        <v>31</v>
      </c>
      <c r="J53" s="107">
        <v>5</v>
      </c>
      <c r="K53" s="107">
        <v>1</v>
      </c>
      <c r="L53" s="107">
        <v>2</v>
      </c>
      <c r="M53" s="107">
        <v>0</v>
      </c>
      <c r="N53" s="107">
        <v>5</v>
      </c>
      <c r="O53" s="107">
        <v>6</v>
      </c>
      <c r="P53" s="107">
        <v>1410</v>
      </c>
      <c r="Q53" s="107">
        <v>40</v>
      </c>
      <c r="R53" s="107">
        <v>26.5</v>
      </c>
      <c r="S53" s="107">
        <v>25</v>
      </c>
      <c r="T53" s="108">
        <v>31199</v>
      </c>
      <c r="U53" s="107">
        <v>35.47</v>
      </c>
      <c r="V53" s="107">
        <v>0</v>
      </c>
      <c r="W53" s="107">
        <v>1</v>
      </c>
      <c r="X53" s="107">
        <v>0</v>
      </c>
      <c r="Y53" s="107">
        <v>1</v>
      </c>
      <c r="Z53" s="107">
        <v>0</v>
      </c>
      <c r="AA53" s="107">
        <v>0</v>
      </c>
      <c r="AB53" s="107">
        <v>0</v>
      </c>
      <c r="AC53" s="107">
        <v>1</v>
      </c>
      <c r="AD53" s="107">
        <v>0</v>
      </c>
      <c r="AE53" s="107">
        <v>0</v>
      </c>
      <c r="AF53" s="107">
        <v>0</v>
      </c>
      <c r="AG53" s="107">
        <v>0</v>
      </c>
      <c r="AH53" s="107">
        <v>0</v>
      </c>
      <c r="AI53" s="107">
        <v>1</v>
      </c>
      <c r="AJ53" s="107">
        <v>0</v>
      </c>
      <c r="AK53" s="107">
        <v>0</v>
      </c>
      <c r="AL53" s="107">
        <v>0</v>
      </c>
      <c r="AM53" s="107">
        <v>0</v>
      </c>
      <c r="AN53" s="107">
        <v>1</v>
      </c>
      <c r="AO53" s="107">
        <v>20</v>
      </c>
      <c r="AP53" s="107">
        <v>1</v>
      </c>
      <c r="AQ53" s="107">
        <v>2</v>
      </c>
      <c r="AR53" s="107" t="s">
        <v>1910</v>
      </c>
      <c r="AS53" s="107">
        <v>1</v>
      </c>
      <c r="AT53" s="107">
        <v>1</v>
      </c>
      <c r="AU53" s="107">
        <v>0</v>
      </c>
      <c r="AV53" s="107">
        <v>0</v>
      </c>
      <c r="AW53" s="107">
        <v>0</v>
      </c>
      <c r="AX53" s="107" t="s">
        <v>2047</v>
      </c>
      <c r="AY53" s="107">
        <v>1</v>
      </c>
      <c r="AZ53" s="107">
        <v>0</v>
      </c>
      <c r="BA53" s="107">
        <v>0</v>
      </c>
      <c r="BB53" s="107">
        <v>0</v>
      </c>
      <c r="BC53" s="107">
        <v>0</v>
      </c>
      <c r="BD53" s="107">
        <v>0</v>
      </c>
      <c r="BE53" s="107">
        <v>0</v>
      </c>
      <c r="BF53" s="107">
        <v>0</v>
      </c>
      <c r="BG53" s="107">
        <v>0</v>
      </c>
      <c r="BH53" s="107">
        <v>0</v>
      </c>
      <c r="BI53" s="107">
        <v>0</v>
      </c>
      <c r="BJ53" s="107" t="s">
        <v>2048</v>
      </c>
      <c r="BK53" s="107">
        <v>1</v>
      </c>
      <c r="BL53" s="107">
        <v>0</v>
      </c>
      <c r="BM53" s="107">
        <v>0</v>
      </c>
      <c r="BN53" s="107">
        <v>0</v>
      </c>
      <c r="BO53" s="107">
        <v>0</v>
      </c>
      <c r="BP53" s="107">
        <v>0</v>
      </c>
      <c r="BQ53" s="107">
        <v>0</v>
      </c>
      <c r="BR53" s="107">
        <v>0</v>
      </c>
      <c r="BS53" s="107">
        <v>0</v>
      </c>
      <c r="BT53" s="107">
        <v>0</v>
      </c>
      <c r="BU53" s="107">
        <v>0</v>
      </c>
      <c r="BV53" s="107" t="s">
        <v>2048</v>
      </c>
      <c r="BW53" s="107">
        <v>1</v>
      </c>
      <c r="BX53" s="107" t="s">
        <v>2048</v>
      </c>
      <c r="BY53" s="107" t="s">
        <v>2048</v>
      </c>
      <c r="BZ53" s="107">
        <v>1</v>
      </c>
      <c r="CA53" s="107" t="s">
        <v>2049</v>
      </c>
      <c r="CB53" s="107">
        <v>1</v>
      </c>
      <c r="CC53" s="107" t="s">
        <v>2050</v>
      </c>
      <c r="CD53" s="107">
        <v>1</v>
      </c>
      <c r="CE53" s="107" t="s">
        <v>2051</v>
      </c>
      <c r="CF53" s="107" t="s">
        <v>2052</v>
      </c>
      <c r="CG53" s="107">
        <v>1</v>
      </c>
      <c r="CH53" s="107" t="s">
        <v>1887</v>
      </c>
      <c r="CI53" s="107">
        <v>0</v>
      </c>
      <c r="CJ53" s="107" t="s">
        <v>18</v>
      </c>
      <c r="CK53" s="107" t="s">
        <v>18</v>
      </c>
      <c r="CL53" s="107">
        <v>1</v>
      </c>
      <c r="CM53" s="107" t="s">
        <v>2053</v>
      </c>
      <c r="CN53" s="107" t="s">
        <v>2054</v>
      </c>
      <c r="CO53" s="107" t="s">
        <v>1902</v>
      </c>
      <c r="CP53" s="107" t="s">
        <v>1887</v>
      </c>
      <c r="CQ53" s="107" t="s">
        <v>2007</v>
      </c>
      <c r="CR53" s="107">
        <v>0</v>
      </c>
      <c r="CS53" s="107" t="s">
        <v>18</v>
      </c>
      <c r="CT53" s="107" t="s">
        <v>18</v>
      </c>
      <c r="CU53" s="107">
        <v>1</v>
      </c>
      <c r="CV53" s="107" t="s">
        <v>2053</v>
      </c>
      <c r="CW53" s="107" t="s">
        <v>2055</v>
      </c>
      <c r="CX53" s="107">
        <v>1</v>
      </c>
      <c r="CY53" s="107" t="s">
        <v>2056</v>
      </c>
      <c r="CZ53" s="107" t="s">
        <v>1910</v>
      </c>
      <c r="DA53" s="107"/>
    </row>
    <row r="54" spans="1:106" ht="16">
      <c r="A54" s="1" t="s">
        <v>253</v>
      </c>
      <c r="B54" s="1">
        <v>22104786</v>
      </c>
      <c r="C54" s="1" t="s">
        <v>254</v>
      </c>
      <c r="D54" s="5">
        <v>44482</v>
      </c>
      <c r="E54" s="1">
        <v>70</v>
      </c>
      <c r="F54" s="1">
        <v>8.3000000000000007</v>
      </c>
      <c r="G54" s="1">
        <f>F54/(E54/100)^2</f>
        <v>16.938775510204085</v>
      </c>
      <c r="H54" s="1">
        <v>46</v>
      </c>
      <c r="I54" s="1">
        <v>30</v>
      </c>
      <c r="J54" s="1">
        <v>3</v>
      </c>
      <c r="K54" s="1">
        <v>1</v>
      </c>
      <c r="L54" s="1">
        <v>1</v>
      </c>
      <c r="M54" s="1">
        <v>0</v>
      </c>
      <c r="N54" s="1">
        <v>8</v>
      </c>
      <c r="O54" s="1">
        <v>9</v>
      </c>
      <c r="P54" s="1">
        <v>1440</v>
      </c>
      <c r="Q54" s="1">
        <v>39</v>
      </c>
      <c r="R54" s="1">
        <v>28</v>
      </c>
      <c r="S54" s="1">
        <v>26</v>
      </c>
      <c r="T54" s="5">
        <v>32539</v>
      </c>
      <c r="U54" s="1">
        <v>31.51</v>
      </c>
      <c r="V54" s="1">
        <v>0</v>
      </c>
      <c r="W54" s="1">
        <v>1</v>
      </c>
      <c r="X54" s="1">
        <v>0</v>
      </c>
      <c r="Y54" s="1">
        <v>1</v>
      </c>
      <c r="Z54" s="1">
        <v>0</v>
      </c>
      <c r="AA54" s="1">
        <v>0</v>
      </c>
      <c r="AB54" s="1">
        <v>0</v>
      </c>
      <c r="AC54" s="1">
        <v>0</v>
      </c>
      <c r="AD54" s="1">
        <v>0</v>
      </c>
      <c r="AE54" s="1">
        <v>0</v>
      </c>
      <c r="AF54" s="1">
        <v>0</v>
      </c>
      <c r="AG54" s="1">
        <v>0</v>
      </c>
      <c r="AH54" s="1">
        <v>1</v>
      </c>
      <c r="AI54" s="1">
        <v>0</v>
      </c>
      <c r="AJ54" s="1">
        <v>0</v>
      </c>
      <c r="AK54" s="1">
        <v>0</v>
      </c>
      <c r="AL54" s="1">
        <v>0</v>
      </c>
      <c r="AM54" s="1">
        <v>0</v>
      </c>
      <c r="AN54" s="1">
        <v>0</v>
      </c>
      <c r="AO54" s="1">
        <v>0</v>
      </c>
      <c r="AP54" s="1">
        <v>0</v>
      </c>
      <c r="AQ54" s="1">
        <v>0</v>
      </c>
      <c r="AR54" s="1" t="s">
        <v>1910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1</v>
      </c>
      <c r="BL54" s="1">
        <v>0</v>
      </c>
      <c r="BM54" s="1">
        <v>0</v>
      </c>
      <c r="BN54" s="1">
        <v>0</v>
      </c>
      <c r="BO54" s="1">
        <v>0</v>
      </c>
      <c r="BP54" s="1">
        <v>1</v>
      </c>
      <c r="BQ54" s="1">
        <v>1</v>
      </c>
      <c r="BR54" s="1">
        <v>0</v>
      </c>
      <c r="BS54" s="1">
        <v>0</v>
      </c>
      <c r="BT54" s="1">
        <v>0</v>
      </c>
      <c r="BU54" s="1">
        <v>0</v>
      </c>
      <c r="BV54" s="1">
        <v>0</v>
      </c>
      <c r="BW54" s="1">
        <v>0</v>
      </c>
      <c r="BX54" s="1">
        <v>0</v>
      </c>
      <c r="BY54" s="1">
        <v>0</v>
      </c>
      <c r="BZ54" s="1">
        <v>1</v>
      </c>
      <c r="CA54" s="1" t="s">
        <v>1917</v>
      </c>
      <c r="CB54" s="1">
        <v>1</v>
      </c>
      <c r="CC54" s="1" t="s">
        <v>2057</v>
      </c>
      <c r="CD54" s="1">
        <v>1</v>
      </c>
      <c r="CE54" s="1" t="s">
        <v>1908</v>
      </c>
      <c r="CF54" s="1" t="s">
        <v>2058</v>
      </c>
      <c r="CG54" s="1">
        <v>1</v>
      </c>
      <c r="CH54" s="1" t="s">
        <v>1887</v>
      </c>
      <c r="CI54" s="1">
        <v>0</v>
      </c>
      <c r="CJ54" s="1" t="s">
        <v>18</v>
      </c>
      <c r="CK54" s="1" t="s">
        <v>18</v>
      </c>
      <c r="CL54" s="1">
        <v>1</v>
      </c>
      <c r="CM54" s="1" t="s">
        <v>1892</v>
      </c>
      <c r="CN54" s="1" t="s">
        <v>1981</v>
      </c>
      <c r="CO54" s="1" t="s">
        <v>1902</v>
      </c>
      <c r="CP54" s="1" t="s">
        <v>1887</v>
      </c>
      <c r="CQ54" s="1" t="s">
        <v>2007</v>
      </c>
      <c r="CR54" s="1">
        <v>0</v>
      </c>
      <c r="CS54" s="1" t="s">
        <v>18</v>
      </c>
      <c r="CT54" s="1" t="s">
        <v>18</v>
      </c>
      <c r="CU54" s="1">
        <v>0</v>
      </c>
      <c r="CV54" s="1" t="s">
        <v>18</v>
      </c>
      <c r="CW54" s="1" t="s">
        <v>18</v>
      </c>
      <c r="CX54" s="1">
        <v>1</v>
      </c>
      <c r="CY54" s="1" t="s">
        <v>841</v>
      </c>
      <c r="CZ54" s="1">
        <v>2</v>
      </c>
      <c r="DA54" s="1"/>
    </row>
    <row r="55" spans="1:106" ht="16">
      <c r="A55" s="1" t="s">
        <v>257</v>
      </c>
      <c r="B55" s="137">
        <v>22106937</v>
      </c>
      <c r="C55" s="161" t="s">
        <v>1112</v>
      </c>
      <c r="D55" s="159">
        <v>44498</v>
      </c>
      <c r="E55" s="137">
        <v>65.3</v>
      </c>
      <c r="F55" s="137">
        <v>6</v>
      </c>
      <c r="G55" s="137">
        <v>14.07</v>
      </c>
      <c r="H55" s="137">
        <v>40.799999999999997</v>
      </c>
      <c r="I55" s="137">
        <v>29</v>
      </c>
      <c r="J55" s="137">
        <v>1</v>
      </c>
      <c r="K55" s="137">
        <v>1</v>
      </c>
      <c r="L55" s="137">
        <v>2</v>
      </c>
      <c r="M55" s="137">
        <v>0</v>
      </c>
      <c r="N55" s="137">
        <v>2</v>
      </c>
      <c r="O55" s="137">
        <v>6</v>
      </c>
      <c r="P55" s="137">
        <v>1000</v>
      </c>
      <c r="Q55" s="137">
        <v>34</v>
      </c>
      <c r="R55" s="137">
        <v>25</v>
      </c>
      <c r="S55" s="137">
        <v>24.5</v>
      </c>
      <c r="T55" s="159">
        <v>29672</v>
      </c>
      <c r="U55" s="137">
        <v>39.909999999999997</v>
      </c>
      <c r="V55" s="137">
        <v>0</v>
      </c>
      <c r="W55" s="137">
        <v>1</v>
      </c>
      <c r="X55" s="137">
        <v>2</v>
      </c>
      <c r="Y55" s="137">
        <v>1</v>
      </c>
      <c r="Z55" s="137">
        <v>1</v>
      </c>
      <c r="AA55" s="137">
        <v>0</v>
      </c>
      <c r="AB55" s="137">
        <v>0</v>
      </c>
      <c r="AC55" s="137">
        <v>0</v>
      </c>
      <c r="AD55" s="137">
        <v>0</v>
      </c>
      <c r="AE55" s="137">
        <v>0</v>
      </c>
      <c r="AF55" s="137">
        <v>0</v>
      </c>
      <c r="AG55" s="137">
        <v>0</v>
      </c>
      <c r="AH55" s="137">
        <v>1</v>
      </c>
      <c r="AI55" s="137">
        <v>0</v>
      </c>
      <c r="AJ55" s="137">
        <v>0</v>
      </c>
      <c r="AK55" s="137">
        <v>0</v>
      </c>
      <c r="AL55" s="137">
        <v>0</v>
      </c>
      <c r="AM55" s="137">
        <v>0</v>
      </c>
      <c r="AN55" s="137">
        <v>0</v>
      </c>
      <c r="AO55" s="137">
        <v>0</v>
      </c>
      <c r="AP55" s="137">
        <v>0</v>
      </c>
      <c r="AQ55" s="137">
        <v>0</v>
      </c>
      <c r="AR55" s="137">
        <v>2</v>
      </c>
      <c r="AS55" s="137">
        <v>0</v>
      </c>
      <c r="AT55" s="137">
        <v>0</v>
      </c>
      <c r="AU55" s="137">
        <v>0</v>
      </c>
      <c r="AV55" s="137">
        <v>0</v>
      </c>
      <c r="AW55" s="137">
        <v>0</v>
      </c>
      <c r="AX55" s="137">
        <v>0</v>
      </c>
      <c r="AY55" s="137">
        <v>1</v>
      </c>
      <c r="AZ55" s="137">
        <v>0</v>
      </c>
      <c r="BA55" s="137">
        <v>0</v>
      </c>
      <c r="BB55" s="137">
        <v>0</v>
      </c>
      <c r="BC55" s="137">
        <v>0</v>
      </c>
      <c r="BD55" s="137">
        <v>0</v>
      </c>
      <c r="BE55" s="137">
        <v>0</v>
      </c>
      <c r="BF55" s="137">
        <v>0</v>
      </c>
      <c r="BG55" s="137">
        <v>0</v>
      </c>
      <c r="BH55" s="137">
        <v>0</v>
      </c>
      <c r="BI55" s="137">
        <v>0</v>
      </c>
      <c r="BJ55" s="161" t="s">
        <v>1113</v>
      </c>
      <c r="BK55" s="137">
        <v>1</v>
      </c>
      <c r="BL55" s="137">
        <v>0</v>
      </c>
      <c r="BM55" s="137">
        <v>0</v>
      </c>
      <c r="BN55" s="137">
        <v>0</v>
      </c>
      <c r="BO55" s="137">
        <v>0</v>
      </c>
      <c r="BP55" s="137">
        <v>1</v>
      </c>
      <c r="BQ55" s="137">
        <v>0</v>
      </c>
      <c r="BR55" s="137">
        <v>0</v>
      </c>
      <c r="BS55" s="137">
        <v>0</v>
      </c>
      <c r="BT55" s="137">
        <v>0</v>
      </c>
      <c r="BU55" s="137">
        <v>0</v>
      </c>
      <c r="BV55" s="137">
        <v>0</v>
      </c>
      <c r="BW55" s="137">
        <v>0</v>
      </c>
      <c r="BX55" s="137">
        <v>0</v>
      </c>
      <c r="BY55" s="137">
        <v>0</v>
      </c>
      <c r="BZ55" s="137">
        <v>0</v>
      </c>
      <c r="CA55" s="137" t="s">
        <v>947</v>
      </c>
      <c r="CB55" s="137">
        <v>0</v>
      </c>
      <c r="CC55" s="137" t="s">
        <v>947</v>
      </c>
      <c r="CD55" s="137">
        <v>1</v>
      </c>
      <c r="CE55" s="137" t="s">
        <v>946</v>
      </c>
      <c r="CF55" s="161" t="s">
        <v>1114</v>
      </c>
      <c r="CG55" s="137">
        <v>1</v>
      </c>
      <c r="CH55" s="161" t="s">
        <v>1044</v>
      </c>
      <c r="CI55" s="137">
        <v>0</v>
      </c>
      <c r="CJ55" s="137" t="s">
        <v>947</v>
      </c>
      <c r="CK55" s="137" t="s">
        <v>947</v>
      </c>
      <c r="CL55" s="137">
        <v>0</v>
      </c>
      <c r="CM55" s="137" t="s">
        <v>947</v>
      </c>
      <c r="CN55" s="137" t="s">
        <v>947</v>
      </c>
      <c r="CO55" s="161" t="s">
        <v>1060</v>
      </c>
      <c r="CP55" s="161" t="s">
        <v>1044</v>
      </c>
      <c r="CQ55" s="161" t="s">
        <v>993</v>
      </c>
      <c r="CR55" s="137">
        <v>0</v>
      </c>
      <c r="CS55" s="137" t="s">
        <v>947</v>
      </c>
      <c r="CT55" s="137" t="s">
        <v>947</v>
      </c>
      <c r="CU55" s="137">
        <v>0</v>
      </c>
      <c r="CV55" s="137" t="s">
        <v>947</v>
      </c>
      <c r="CW55" s="137" t="s">
        <v>947</v>
      </c>
      <c r="CX55" s="137">
        <v>0</v>
      </c>
      <c r="CY55" s="137" t="s">
        <v>947</v>
      </c>
      <c r="CZ55" s="137" t="s">
        <v>1115</v>
      </c>
      <c r="DA55" s="137"/>
      <c r="DB55" s="137"/>
    </row>
    <row r="56" spans="1:106" s="127" customFormat="1" ht="16">
      <c r="A56" s="125" t="s">
        <v>262</v>
      </c>
      <c r="B56" s="167">
        <v>22102827</v>
      </c>
      <c r="C56" s="175" t="s">
        <v>1116</v>
      </c>
      <c r="D56" s="167"/>
      <c r="E56" s="167"/>
      <c r="F56" s="167"/>
      <c r="G56" s="167" t="s">
        <v>1067</v>
      </c>
      <c r="H56" s="167"/>
      <c r="I56" s="167"/>
      <c r="J56" s="167"/>
      <c r="K56" s="167"/>
      <c r="L56" s="167"/>
      <c r="M56" s="167"/>
      <c r="N56" s="167"/>
      <c r="O56" s="167"/>
      <c r="P56" s="167">
        <v>965</v>
      </c>
      <c r="Q56" s="167"/>
      <c r="R56" s="167"/>
      <c r="S56" s="167"/>
      <c r="T56" s="168">
        <v>31064</v>
      </c>
      <c r="U56" s="167">
        <v>35</v>
      </c>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7"/>
      <c r="BP56" s="167"/>
      <c r="BQ56" s="167"/>
      <c r="BR56" s="167"/>
      <c r="BS56" s="167"/>
      <c r="BT56" s="167"/>
      <c r="BU56" s="167"/>
      <c r="BV56" s="167"/>
      <c r="BW56" s="167"/>
      <c r="BX56" s="167"/>
      <c r="BY56" s="167"/>
      <c r="BZ56" s="167"/>
      <c r="CA56" s="167"/>
      <c r="CB56" s="167"/>
      <c r="CC56" s="167"/>
      <c r="CD56" s="167"/>
      <c r="CE56" s="167"/>
      <c r="CF56" s="167"/>
      <c r="CG56" s="167"/>
      <c r="CH56" s="167"/>
      <c r="CI56" s="167"/>
      <c r="CJ56" s="167"/>
      <c r="CK56" s="167"/>
      <c r="CL56" s="167"/>
      <c r="CM56" s="167"/>
      <c r="CN56" s="167"/>
      <c r="CO56" s="167"/>
      <c r="CP56" s="167"/>
      <c r="CQ56" s="167"/>
      <c r="CR56" s="167"/>
      <c r="CS56" s="167"/>
      <c r="CT56" s="167"/>
      <c r="CU56" s="167"/>
      <c r="CV56" s="167"/>
      <c r="CW56" s="167"/>
      <c r="CX56" s="167"/>
      <c r="CY56" s="167"/>
      <c r="CZ56" s="167"/>
      <c r="DA56" s="167"/>
      <c r="DB56" s="169"/>
    </row>
    <row r="57" spans="1:106" s="114" customFormat="1" ht="16">
      <c r="A57" s="112" t="s">
        <v>266</v>
      </c>
      <c r="B57" s="162">
        <v>22192272</v>
      </c>
      <c r="C57" s="163" t="s">
        <v>1117</v>
      </c>
      <c r="D57" s="176"/>
      <c r="E57" s="176"/>
      <c r="F57" s="176"/>
      <c r="G57" s="176"/>
      <c r="H57" s="176"/>
      <c r="I57" s="176"/>
      <c r="J57" s="176"/>
      <c r="K57" s="176"/>
      <c r="L57" s="176"/>
      <c r="M57" s="176"/>
      <c r="N57" s="176"/>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c r="CY57" s="176"/>
      <c r="CZ57" s="176"/>
      <c r="DA57" s="176"/>
      <c r="DB57" s="176"/>
    </row>
    <row r="58" spans="1:106" ht="16">
      <c r="A58" s="1" t="s">
        <v>270</v>
      </c>
      <c r="B58" s="1">
        <v>22105580</v>
      </c>
      <c r="C58" s="1" t="s">
        <v>271</v>
      </c>
      <c r="D58" s="5">
        <v>44425</v>
      </c>
      <c r="E58" s="1">
        <v>66</v>
      </c>
      <c r="F58" s="1">
        <v>8.1999999999999993</v>
      </c>
      <c r="G58" s="1">
        <f>F58/(E58/100)^2</f>
        <v>18.82460973370064</v>
      </c>
      <c r="H58" s="1">
        <v>43.5</v>
      </c>
      <c r="I58" s="1">
        <v>32</v>
      </c>
      <c r="J58" s="1">
        <v>0</v>
      </c>
      <c r="K58" s="1">
        <v>1</v>
      </c>
      <c r="L58" s="1">
        <v>2</v>
      </c>
      <c r="M58" s="1">
        <v>0</v>
      </c>
      <c r="N58" s="1">
        <v>7</v>
      </c>
      <c r="O58" s="1">
        <v>9</v>
      </c>
      <c r="P58" s="1">
        <v>1330</v>
      </c>
      <c r="Q58" s="1">
        <v>37</v>
      </c>
      <c r="R58" s="1">
        <v>28</v>
      </c>
      <c r="S58" s="1">
        <v>24</v>
      </c>
      <c r="T58" s="5">
        <v>30633</v>
      </c>
      <c r="U58" s="1">
        <v>36.93</v>
      </c>
      <c r="V58" s="1">
        <v>0</v>
      </c>
      <c r="W58" s="1">
        <v>1</v>
      </c>
      <c r="X58" s="1">
        <v>0</v>
      </c>
      <c r="Y58" s="1">
        <v>1</v>
      </c>
      <c r="Z58" s="1">
        <v>1</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1</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1</v>
      </c>
      <c r="BL58" s="1">
        <v>0</v>
      </c>
      <c r="BM58" s="1">
        <v>0</v>
      </c>
      <c r="BN58" s="1">
        <v>0</v>
      </c>
      <c r="BO58" s="1">
        <v>0</v>
      </c>
      <c r="BP58" s="1">
        <v>0</v>
      </c>
      <c r="BQ58" s="1">
        <v>0</v>
      </c>
      <c r="BR58" s="1">
        <v>0</v>
      </c>
      <c r="BS58" s="1">
        <v>0</v>
      </c>
      <c r="BT58" s="1">
        <v>1</v>
      </c>
      <c r="BU58" s="1">
        <v>0</v>
      </c>
      <c r="BV58" s="1">
        <v>0</v>
      </c>
      <c r="BW58" s="1">
        <v>0</v>
      </c>
      <c r="BX58" s="1">
        <v>0</v>
      </c>
      <c r="BY58" s="1">
        <v>0</v>
      </c>
      <c r="BZ58" s="1">
        <v>1</v>
      </c>
      <c r="CA58" s="1" t="s">
        <v>2059</v>
      </c>
      <c r="CB58" s="1">
        <v>1</v>
      </c>
      <c r="CC58" s="1" t="s">
        <v>1899</v>
      </c>
      <c r="CD58" s="1">
        <v>1</v>
      </c>
      <c r="CE58" s="1" t="s">
        <v>2060</v>
      </c>
      <c r="CF58" s="1" t="s">
        <v>2061</v>
      </c>
      <c r="CG58" s="1">
        <v>1</v>
      </c>
      <c r="CH58" s="1" t="s">
        <v>1887</v>
      </c>
      <c r="CI58" s="1">
        <v>0</v>
      </c>
      <c r="CJ58" s="1" t="s">
        <v>18</v>
      </c>
      <c r="CK58" s="1" t="s">
        <v>18</v>
      </c>
      <c r="CL58" s="1">
        <v>0</v>
      </c>
      <c r="CM58" s="1" t="s">
        <v>18</v>
      </c>
      <c r="CN58" s="1" t="s">
        <v>18</v>
      </c>
      <c r="CO58" s="1" t="s">
        <v>1902</v>
      </c>
      <c r="CP58" s="1" t="s">
        <v>1887</v>
      </c>
      <c r="CQ58" s="1" t="s">
        <v>2007</v>
      </c>
      <c r="CR58" s="1">
        <v>0</v>
      </c>
      <c r="CS58" s="1" t="s">
        <v>18</v>
      </c>
      <c r="CT58" s="1" t="s">
        <v>18</v>
      </c>
      <c r="CU58" s="1">
        <v>0</v>
      </c>
      <c r="CV58" s="1" t="s">
        <v>18</v>
      </c>
      <c r="CW58" s="1" t="s">
        <v>18</v>
      </c>
      <c r="CX58" s="1">
        <v>1</v>
      </c>
      <c r="CY58" s="1" t="s">
        <v>1919</v>
      </c>
      <c r="CZ58" s="1">
        <v>2</v>
      </c>
      <c r="DA58" s="1"/>
    </row>
    <row r="59" spans="1:106" ht="16">
      <c r="A59" s="1" t="s">
        <v>273</v>
      </c>
      <c r="B59" s="1">
        <v>22105942</v>
      </c>
      <c r="C59" s="1" t="s">
        <v>274</v>
      </c>
      <c r="D59" s="5">
        <v>44428</v>
      </c>
      <c r="E59" s="1">
        <v>67</v>
      </c>
      <c r="F59" s="1">
        <v>8.6999999999999993</v>
      </c>
      <c r="G59" s="1">
        <f>F59/(E59/100)^2</f>
        <v>19.380708398306968</v>
      </c>
      <c r="H59" s="1">
        <v>43.1</v>
      </c>
      <c r="I59" s="1">
        <v>26</v>
      </c>
      <c r="J59" s="1">
        <v>3</v>
      </c>
      <c r="K59" s="1">
        <v>1</v>
      </c>
      <c r="L59" s="1">
        <v>1</v>
      </c>
      <c r="M59" s="1">
        <v>0</v>
      </c>
      <c r="N59" s="1">
        <v>6</v>
      </c>
      <c r="O59" s="1">
        <v>9</v>
      </c>
      <c r="P59" s="1">
        <v>1052</v>
      </c>
      <c r="Q59" s="1">
        <v>35</v>
      </c>
      <c r="R59" s="1">
        <v>24.5</v>
      </c>
      <c r="S59" s="1">
        <v>23</v>
      </c>
      <c r="T59" s="5">
        <v>30381</v>
      </c>
      <c r="U59" s="1">
        <v>37.71</v>
      </c>
      <c r="V59" s="1">
        <v>0</v>
      </c>
      <c r="W59" s="1">
        <v>1</v>
      </c>
      <c r="X59" s="1">
        <v>0</v>
      </c>
      <c r="Y59" s="1">
        <v>1</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1</v>
      </c>
      <c r="AS59" s="1">
        <v>0</v>
      </c>
      <c r="AT59" s="1">
        <v>0</v>
      </c>
      <c r="AU59" s="1">
        <v>0</v>
      </c>
      <c r="AV59" s="1">
        <v>0</v>
      </c>
      <c r="AW59" s="1">
        <v>0</v>
      </c>
      <c r="AX59" s="1">
        <v>0</v>
      </c>
      <c r="AY59" s="1">
        <v>1</v>
      </c>
      <c r="AZ59" s="1">
        <v>0</v>
      </c>
      <c r="BA59" s="1">
        <v>0</v>
      </c>
      <c r="BB59" s="1">
        <v>0</v>
      </c>
      <c r="BC59" s="1">
        <v>0</v>
      </c>
      <c r="BD59" s="1">
        <v>0</v>
      </c>
      <c r="BE59" s="1">
        <v>0</v>
      </c>
      <c r="BF59" s="1">
        <v>0</v>
      </c>
      <c r="BG59" s="1">
        <v>0</v>
      </c>
      <c r="BH59" s="1">
        <v>0</v>
      </c>
      <c r="BI59" s="1">
        <v>0</v>
      </c>
      <c r="BJ59" s="1" t="s">
        <v>2062</v>
      </c>
      <c r="BK59" s="1">
        <v>1</v>
      </c>
      <c r="BL59" s="1">
        <v>0</v>
      </c>
      <c r="BM59" s="1">
        <v>1</v>
      </c>
      <c r="BN59" s="1">
        <v>0</v>
      </c>
      <c r="BO59" s="1">
        <v>0</v>
      </c>
      <c r="BP59" s="1">
        <v>1</v>
      </c>
      <c r="BQ59" s="1">
        <v>1</v>
      </c>
      <c r="BR59" s="1">
        <v>0</v>
      </c>
      <c r="BS59" s="1">
        <v>0</v>
      </c>
      <c r="BT59" s="1">
        <v>1</v>
      </c>
      <c r="BU59" s="1">
        <v>0</v>
      </c>
      <c r="BV59" s="1">
        <v>0</v>
      </c>
      <c r="BW59" s="1">
        <v>1</v>
      </c>
      <c r="BX59" s="1"/>
      <c r="BY59" s="1">
        <v>2</v>
      </c>
      <c r="BZ59" s="1">
        <v>1</v>
      </c>
      <c r="CA59" s="1" t="s">
        <v>2063</v>
      </c>
      <c r="CB59" s="1">
        <v>0</v>
      </c>
      <c r="CC59" s="1" t="s">
        <v>18</v>
      </c>
      <c r="CD59" s="1">
        <v>1</v>
      </c>
      <c r="CE59" s="1" t="s">
        <v>1887</v>
      </c>
      <c r="CF59" s="1" t="s">
        <v>2064</v>
      </c>
      <c r="CG59" s="1">
        <v>1</v>
      </c>
      <c r="CH59" s="1" t="s">
        <v>1887</v>
      </c>
      <c r="CI59" s="1">
        <v>0</v>
      </c>
      <c r="CJ59" s="1" t="s">
        <v>18</v>
      </c>
      <c r="CK59" s="1" t="s">
        <v>18</v>
      </c>
      <c r="CL59" s="1">
        <v>1</v>
      </c>
      <c r="CM59" s="1" t="s">
        <v>1887</v>
      </c>
      <c r="CN59" s="1" t="s">
        <v>2065</v>
      </c>
      <c r="CO59" s="1" t="s">
        <v>1902</v>
      </c>
      <c r="CP59" s="1" t="s">
        <v>1887</v>
      </c>
      <c r="CQ59" s="1" t="s">
        <v>2007</v>
      </c>
      <c r="CR59" s="1">
        <v>0</v>
      </c>
      <c r="CS59" s="1" t="s">
        <v>18</v>
      </c>
      <c r="CT59" s="1" t="s">
        <v>18</v>
      </c>
      <c r="CU59" s="1">
        <v>1</v>
      </c>
      <c r="CV59" s="1" t="s">
        <v>1887</v>
      </c>
      <c r="CW59" s="1" t="s">
        <v>2066</v>
      </c>
      <c r="CX59" s="1">
        <v>1</v>
      </c>
      <c r="CY59" s="1">
        <v>202107</v>
      </c>
      <c r="CZ59" s="1" t="s">
        <v>1910</v>
      </c>
      <c r="DA59" s="1"/>
    </row>
    <row r="60" spans="1:106" ht="16">
      <c r="A60" s="1" t="s">
        <v>278</v>
      </c>
      <c r="B60" s="1">
        <v>22106996</v>
      </c>
      <c r="C60" s="1" t="s">
        <v>279</v>
      </c>
      <c r="D60" s="5">
        <v>44508</v>
      </c>
      <c r="E60" s="1">
        <v>61</v>
      </c>
      <c r="F60" s="1">
        <v>6.6</v>
      </c>
      <c r="G60" s="1">
        <f>F60/(E60/100)^2</f>
        <v>17.737167428110723</v>
      </c>
      <c r="H60" s="1">
        <v>40.299999999999997</v>
      </c>
      <c r="I60" s="1">
        <v>29</v>
      </c>
      <c r="J60" s="1">
        <v>2</v>
      </c>
      <c r="K60" s="1">
        <v>1</v>
      </c>
      <c r="L60" s="1">
        <v>2</v>
      </c>
      <c r="M60" s="1">
        <v>0</v>
      </c>
      <c r="N60" s="1">
        <v>6</v>
      </c>
      <c r="O60" s="1">
        <v>9</v>
      </c>
      <c r="P60" s="1">
        <v>945</v>
      </c>
      <c r="Q60" s="1">
        <v>33.5</v>
      </c>
      <c r="R60" s="1">
        <v>24</v>
      </c>
      <c r="S60" s="1">
        <v>22</v>
      </c>
      <c r="T60" s="5">
        <v>30030</v>
      </c>
      <c r="U60" s="1">
        <v>38.94</v>
      </c>
      <c r="V60" s="1">
        <v>0</v>
      </c>
      <c r="W60" s="1">
        <v>1</v>
      </c>
      <c r="X60" s="1">
        <v>0</v>
      </c>
      <c r="Y60" s="1">
        <v>2</v>
      </c>
      <c r="Z60" s="1">
        <v>0</v>
      </c>
      <c r="AA60" s="1">
        <v>0</v>
      </c>
      <c r="AB60" s="1">
        <v>0</v>
      </c>
      <c r="AC60" s="1">
        <v>1</v>
      </c>
      <c r="AD60" s="1">
        <v>0</v>
      </c>
      <c r="AE60" s="1">
        <v>0</v>
      </c>
      <c r="AF60" s="1">
        <v>0</v>
      </c>
      <c r="AG60" s="1">
        <v>0</v>
      </c>
      <c r="AH60" s="1">
        <v>0</v>
      </c>
      <c r="AI60" s="1">
        <v>1</v>
      </c>
      <c r="AJ60" s="1">
        <v>0</v>
      </c>
      <c r="AK60" s="1">
        <v>0</v>
      </c>
      <c r="AL60" s="1">
        <v>1</v>
      </c>
      <c r="AM60" s="1">
        <v>15</v>
      </c>
      <c r="AN60" s="1">
        <v>0</v>
      </c>
      <c r="AO60" s="1">
        <v>0</v>
      </c>
      <c r="AP60" s="1">
        <v>0</v>
      </c>
      <c r="AQ60" s="1">
        <v>0</v>
      </c>
      <c r="AR60" s="1" t="s">
        <v>1910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t="s">
        <v>18</v>
      </c>
      <c r="CB60" s="1">
        <v>0</v>
      </c>
      <c r="CC60" s="1" t="s">
        <v>18</v>
      </c>
      <c r="CD60" s="1">
        <v>1</v>
      </c>
      <c r="CE60" s="1" t="s">
        <v>1887</v>
      </c>
      <c r="CF60" s="1" t="s">
        <v>2067</v>
      </c>
      <c r="CG60" s="1">
        <v>1</v>
      </c>
      <c r="CH60" s="1" t="s">
        <v>2068</v>
      </c>
      <c r="CI60" s="1">
        <v>0</v>
      </c>
      <c r="CJ60" s="1" t="s">
        <v>18</v>
      </c>
      <c r="CK60" s="1" t="s">
        <v>18</v>
      </c>
      <c r="CL60" s="1">
        <v>0</v>
      </c>
      <c r="CM60" s="1" t="s">
        <v>18</v>
      </c>
      <c r="CN60" s="1" t="s">
        <v>18</v>
      </c>
      <c r="CO60" s="1" t="s">
        <v>1902</v>
      </c>
      <c r="CP60" s="1" t="s">
        <v>2068</v>
      </c>
      <c r="CQ60" s="1" t="s">
        <v>2007</v>
      </c>
      <c r="CR60" s="1">
        <v>0</v>
      </c>
      <c r="CS60" s="1" t="s">
        <v>18</v>
      </c>
      <c r="CT60" s="1" t="s">
        <v>18</v>
      </c>
      <c r="CU60" s="1">
        <v>0</v>
      </c>
      <c r="CV60" s="1" t="s">
        <v>18</v>
      </c>
      <c r="CW60" s="1" t="s">
        <v>18</v>
      </c>
      <c r="CX60" s="1">
        <v>1</v>
      </c>
      <c r="CY60" s="5">
        <v>44484</v>
      </c>
      <c r="CZ60" s="1">
        <v>2</v>
      </c>
      <c r="DA60" s="1"/>
    </row>
    <row r="61" spans="1:106" ht="16">
      <c r="A61" s="1" t="s">
        <v>283</v>
      </c>
      <c r="B61" s="1">
        <v>22106997</v>
      </c>
      <c r="C61" s="1" t="s">
        <v>284</v>
      </c>
      <c r="D61" s="5">
        <v>44508</v>
      </c>
      <c r="E61" s="1">
        <v>62.6</v>
      </c>
      <c r="F61" s="1">
        <v>6</v>
      </c>
      <c r="G61" s="1">
        <f>F61/(E61/100)^2</f>
        <v>15.310965713644112</v>
      </c>
      <c r="H61" s="1">
        <v>42</v>
      </c>
      <c r="I61" s="1">
        <v>29</v>
      </c>
      <c r="J61" s="1">
        <v>2</v>
      </c>
      <c r="K61" s="1">
        <v>1</v>
      </c>
      <c r="L61" s="1">
        <v>2</v>
      </c>
      <c r="M61" s="1">
        <v>0</v>
      </c>
      <c r="N61" s="1">
        <v>6</v>
      </c>
      <c r="O61" s="1">
        <v>9</v>
      </c>
      <c r="P61" s="1">
        <v>855</v>
      </c>
      <c r="Q61" s="1">
        <v>33</v>
      </c>
      <c r="R61" s="1">
        <v>23.5</v>
      </c>
      <c r="S61" s="1">
        <v>21.5</v>
      </c>
      <c r="T61" s="5">
        <v>30030</v>
      </c>
      <c r="U61" s="1">
        <v>38.94</v>
      </c>
      <c r="V61" s="1">
        <v>0</v>
      </c>
      <c r="W61" s="1">
        <v>1</v>
      </c>
      <c r="X61" s="1">
        <v>0</v>
      </c>
      <c r="Y61" s="1">
        <v>2</v>
      </c>
      <c r="Z61" s="1">
        <v>0</v>
      </c>
      <c r="AA61" s="1">
        <v>0</v>
      </c>
      <c r="AB61" s="1">
        <v>0</v>
      </c>
      <c r="AC61" s="1">
        <v>1</v>
      </c>
      <c r="AD61" s="1">
        <v>0</v>
      </c>
      <c r="AE61" s="1">
        <v>0</v>
      </c>
      <c r="AF61" s="1">
        <v>0</v>
      </c>
      <c r="AG61" s="1">
        <v>0</v>
      </c>
      <c r="AH61" s="1">
        <v>0</v>
      </c>
      <c r="AI61" s="1">
        <v>1</v>
      </c>
      <c r="AJ61" s="1">
        <v>0</v>
      </c>
      <c r="AK61" s="1">
        <v>0</v>
      </c>
      <c r="AL61" s="1">
        <v>1</v>
      </c>
      <c r="AM61" s="1">
        <v>15</v>
      </c>
      <c r="AN61" s="1">
        <v>0</v>
      </c>
      <c r="AO61" s="1">
        <v>0</v>
      </c>
      <c r="AP61" s="1">
        <v>0</v>
      </c>
      <c r="AQ61" s="1">
        <v>0</v>
      </c>
      <c r="AR61" s="1" t="s">
        <v>1910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t="s">
        <v>18</v>
      </c>
      <c r="CB61" s="1">
        <v>0</v>
      </c>
      <c r="CC61" s="1" t="s">
        <v>18</v>
      </c>
      <c r="CD61" s="1">
        <v>1</v>
      </c>
      <c r="CE61" s="1" t="s">
        <v>1887</v>
      </c>
      <c r="CF61" s="1" t="s">
        <v>2067</v>
      </c>
      <c r="CG61" s="1">
        <v>1</v>
      </c>
      <c r="CH61" s="1" t="s">
        <v>2068</v>
      </c>
      <c r="CI61" s="1">
        <v>0</v>
      </c>
      <c r="CJ61" s="1" t="s">
        <v>18</v>
      </c>
      <c r="CK61" s="1" t="s">
        <v>18</v>
      </c>
      <c r="CL61" s="1">
        <v>0</v>
      </c>
      <c r="CM61" s="1" t="s">
        <v>18</v>
      </c>
      <c r="CN61" s="1" t="s">
        <v>18</v>
      </c>
      <c r="CO61" s="1" t="s">
        <v>1902</v>
      </c>
      <c r="CP61" s="1" t="s">
        <v>2068</v>
      </c>
      <c r="CQ61" s="1" t="s">
        <v>2007</v>
      </c>
      <c r="CR61" s="1">
        <v>0</v>
      </c>
      <c r="CS61" s="1" t="s">
        <v>18</v>
      </c>
      <c r="CT61" s="1" t="s">
        <v>18</v>
      </c>
      <c r="CU61" s="1">
        <v>0</v>
      </c>
      <c r="CV61" s="1" t="s">
        <v>18</v>
      </c>
      <c r="CW61" s="1" t="s">
        <v>18</v>
      </c>
      <c r="CX61" s="1">
        <v>1</v>
      </c>
      <c r="CY61" s="5">
        <v>44479</v>
      </c>
      <c r="CZ61" s="1">
        <v>2</v>
      </c>
      <c r="DA61" s="1"/>
    </row>
    <row r="62" spans="1:106" s="110" customFormat="1" ht="16">
      <c r="A62" s="107" t="s">
        <v>286</v>
      </c>
      <c r="B62" s="153">
        <v>22108155</v>
      </c>
      <c r="C62" s="157" t="s">
        <v>1129</v>
      </c>
      <c r="D62" s="155">
        <v>44643</v>
      </c>
      <c r="E62" s="153">
        <v>63.2</v>
      </c>
      <c r="F62" s="153">
        <v>6.4</v>
      </c>
      <c r="G62" s="153">
        <v>16.02</v>
      </c>
      <c r="H62" s="153">
        <v>39.5</v>
      </c>
      <c r="I62" s="153">
        <v>29</v>
      </c>
      <c r="J62" s="153">
        <v>6</v>
      </c>
      <c r="K62" s="153">
        <v>1</v>
      </c>
      <c r="L62" s="153">
        <v>2</v>
      </c>
      <c r="M62" s="153">
        <v>0</v>
      </c>
      <c r="N62" s="153">
        <v>6</v>
      </c>
      <c r="O62" s="153">
        <v>8</v>
      </c>
      <c r="P62" s="153">
        <v>1310</v>
      </c>
      <c r="Q62" s="153">
        <v>39.5</v>
      </c>
      <c r="R62" s="153">
        <v>26</v>
      </c>
      <c r="S62" s="153">
        <v>25</v>
      </c>
      <c r="T62" s="155">
        <v>30942</v>
      </c>
      <c r="U62" s="153">
        <v>36.78</v>
      </c>
      <c r="V62" s="153">
        <v>0</v>
      </c>
      <c r="W62" s="153">
        <v>1</v>
      </c>
      <c r="X62" s="153">
        <v>0</v>
      </c>
      <c r="Y62" s="153">
        <v>1</v>
      </c>
      <c r="Z62" s="153">
        <v>1</v>
      </c>
      <c r="AA62" s="153">
        <v>0</v>
      </c>
      <c r="AB62" s="153">
        <v>0</v>
      </c>
      <c r="AC62" s="153">
        <v>1</v>
      </c>
      <c r="AD62" s="153">
        <v>0</v>
      </c>
      <c r="AE62" s="153">
        <v>0</v>
      </c>
      <c r="AF62" s="153">
        <v>0</v>
      </c>
      <c r="AG62" s="153">
        <v>0</v>
      </c>
      <c r="AH62" s="153">
        <v>0</v>
      </c>
      <c r="AI62" s="153">
        <v>1</v>
      </c>
      <c r="AJ62" s="153">
        <v>0</v>
      </c>
      <c r="AK62" s="153">
        <v>0</v>
      </c>
      <c r="AL62" s="153">
        <v>1</v>
      </c>
      <c r="AM62" s="177" t="s">
        <v>1130</v>
      </c>
      <c r="AN62" s="153">
        <v>0</v>
      </c>
      <c r="AO62" s="153">
        <v>0</v>
      </c>
      <c r="AP62" s="153">
        <v>0</v>
      </c>
      <c r="AQ62" s="153">
        <v>0</v>
      </c>
      <c r="AR62" s="153">
        <v>1</v>
      </c>
      <c r="AS62" s="153">
        <v>0</v>
      </c>
      <c r="AT62" s="153">
        <v>0</v>
      </c>
      <c r="AU62" s="153">
        <v>0</v>
      </c>
      <c r="AV62" s="153">
        <v>0</v>
      </c>
      <c r="AW62" s="153">
        <v>0</v>
      </c>
      <c r="AX62" s="153">
        <v>0</v>
      </c>
      <c r="AY62" s="153">
        <v>0</v>
      </c>
      <c r="AZ62" s="153">
        <v>0</v>
      </c>
      <c r="BA62" s="153">
        <v>0</v>
      </c>
      <c r="BB62" s="153">
        <v>0</v>
      </c>
      <c r="BC62" s="153">
        <v>0</v>
      </c>
      <c r="BD62" s="153">
        <v>0</v>
      </c>
      <c r="BE62" s="153">
        <v>0</v>
      </c>
      <c r="BF62" s="153">
        <v>0</v>
      </c>
      <c r="BG62" s="153">
        <v>0</v>
      </c>
      <c r="BH62" s="153">
        <v>0</v>
      </c>
      <c r="BI62" s="153">
        <v>0</v>
      </c>
      <c r="BJ62" s="153">
        <v>0</v>
      </c>
      <c r="BK62" s="153">
        <v>1</v>
      </c>
      <c r="BL62" s="153">
        <v>0</v>
      </c>
      <c r="BM62" s="153">
        <v>0</v>
      </c>
      <c r="BN62" s="153">
        <v>0</v>
      </c>
      <c r="BO62" s="153">
        <v>0</v>
      </c>
      <c r="BP62" s="153">
        <v>0</v>
      </c>
      <c r="BQ62" s="153">
        <v>1</v>
      </c>
      <c r="BR62" s="153">
        <v>0</v>
      </c>
      <c r="BS62" s="153">
        <v>0</v>
      </c>
      <c r="BT62" s="153">
        <v>0</v>
      </c>
      <c r="BU62" s="153">
        <v>0</v>
      </c>
      <c r="BV62" s="153">
        <v>0</v>
      </c>
      <c r="BW62" s="153">
        <v>0</v>
      </c>
      <c r="BX62" s="153">
        <v>0</v>
      </c>
      <c r="BY62" s="153">
        <v>0</v>
      </c>
      <c r="BZ62" s="153">
        <v>1</v>
      </c>
      <c r="CA62" s="153" t="s">
        <v>946</v>
      </c>
      <c r="CB62" s="153">
        <v>1</v>
      </c>
      <c r="CC62" s="157" t="s">
        <v>1057</v>
      </c>
      <c r="CD62" s="153">
        <v>1</v>
      </c>
      <c r="CE62" s="157" t="s">
        <v>1131</v>
      </c>
      <c r="CF62" s="157" t="s">
        <v>1132</v>
      </c>
      <c r="CG62" s="153">
        <v>1</v>
      </c>
      <c r="CH62" s="153" t="s">
        <v>946</v>
      </c>
      <c r="CI62" s="153">
        <v>1</v>
      </c>
      <c r="CJ62" s="153" t="s">
        <v>946</v>
      </c>
      <c r="CK62" s="157" t="s">
        <v>1133</v>
      </c>
      <c r="CL62" s="153">
        <v>1</v>
      </c>
      <c r="CM62" s="153" t="s">
        <v>946</v>
      </c>
      <c r="CN62" s="157" t="s">
        <v>982</v>
      </c>
      <c r="CO62" s="153">
        <v>0</v>
      </c>
      <c r="CP62" s="153" t="s">
        <v>947</v>
      </c>
      <c r="CQ62" s="153" t="s">
        <v>947</v>
      </c>
      <c r="CR62" s="153">
        <v>0</v>
      </c>
      <c r="CS62" s="153" t="s">
        <v>947</v>
      </c>
      <c r="CT62" s="153" t="s">
        <v>947</v>
      </c>
      <c r="CU62" s="153">
        <v>0</v>
      </c>
      <c r="CV62" s="153" t="s">
        <v>947</v>
      </c>
      <c r="CW62" s="153" t="s">
        <v>947</v>
      </c>
      <c r="CX62" s="153">
        <v>1</v>
      </c>
      <c r="CY62" s="157" t="s">
        <v>1134</v>
      </c>
      <c r="CZ62" s="153">
        <v>2</v>
      </c>
      <c r="DA62" s="153"/>
      <c r="DB62" s="158"/>
    </row>
    <row r="63" spans="1:106" ht="16">
      <c r="A63" s="1" t="s">
        <v>291</v>
      </c>
      <c r="B63" s="137">
        <v>22106340</v>
      </c>
      <c r="C63" s="161" t="s">
        <v>1135</v>
      </c>
      <c r="D63" s="159">
        <v>44437</v>
      </c>
      <c r="E63" s="137">
        <v>70.5</v>
      </c>
      <c r="F63" s="137">
        <v>9</v>
      </c>
      <c r="G63" s="137">
        <v>18.11</v>
      </c>
      <c r="H63" s="137">
        <v>45.5</v>
      </c>
      <c r="I63" s="137">
        <v>40</v>
      </c>
      <c r="J63" s="137">
        <v>4</v>
      </c>
      <c r="K63" s="137">
        <v>0</v>
      </c>
      <c r="L63" s="137">
        <v>1</v>
      </c>
      <c r="M63" s="137">
        <v>0</v>
      </c>
      <c r="N63" s="137">
        <v>9</v>
      </c>
      <c r="O63" s="137">
        <v>10</v>
      </c>
      <c r="P63" s="137">
        <v>3180</v>
      </c>
      <c r="Q63" s="137">
        <v>48.5</v>
      </c>
      <c r="R63" s="137">
        <v>33.5</v>
      </c>
      <c r="S63" s="137">
        <v>32.5</v>
      </c>
      <c r="T63" s="159">
        <v>32920</v>
      </c>
      <c r="U63" s="137">
        <v>30.87</v>
      </c>
      <c r="V63" s="137">
        <v>1</v>
      </c>
      <c r="W63" s="137">
        <v>0</v>
      </c>
      <c r="X63" s="137">
        <v>0</v>
      </c>
      <c r="Y63" s="137">
        <v>1</v>
      </c>
      <c r="Z63" s="137">
        <v>0</v>
      </c>
      <c r="AA63" s="137">
        <v>0</v>
      </c>
      <c r="AB63" s="137">
        <v>0</v>
      </c>
      <c r="AC63" s="137">
        <v>0</v>
      </c>
      <c r="AD63" s="137">
        <v>0</v>
      </c>
      <c r="AE63" s="137">
        <v>0</v>
      </c>
      <c r="AF63" s="137">
        <v>0</v>
      </c>
      <c r="AG63" s="137">
        <v>0</v>
      </c>
      <c r="AH63" s="137">
        <v>0</v>
      </c>
      <c r="AI63" s="137">
        <v>0</v>
      </c>
      <c r="AJ63" s="137">
        <v>0</v>
      </c>
      <c r="AK63" s="137">
        <v>0</v>
      </c>
      <c r="AL63" s="137">
        <v>0</v>
      </c>
      <c r="AM63" s="137">
        <v>0</v>
      </c>
      <c r="AN63" s="137">
        <v>0</v>
      </c>
      <c r="AO63" s="137">
        <v>0</v>
      </c>
      <c r="AP63" s="137">
        <v>0</v>
      </c>
      <c r="AQ63" s="137">
        <v>0</v>
      </c>
      <c r="AR63" s="137">
        <v>4</v>
      </c>
      <c r="AS63" s="137">
        <v>0</v>
      </c>
      <c r="AT63" s="137">
        <v>0</v>
      </c>
      <c r="AU63" s="137">
        <v>0</v>
      </c>
      <c r="AV63" s="137">
        <v>0</v>
      </c>
      <c r="AW63" s="137">
        <v>0</v>
      </c>
      <c r="AX63" s="137">
        <v>0</v>
      </c>
      <c r="AY63" s="137">
        <v>0</v>
      </c>
      <c r="AZ63" s="137">
        <v>0</v>
      </c>
      <c r="BA63" s="137">
        <v>0</v>
      </c>
      <c r="BB63" s="137">
        <v>0</v>
      </c>
      <c r="BC63" s="137">
        <v>0</v>
      </c>
      <c r="BD63" s="137">
        <v>0</v>
      </c>
      <c r="BE63" s="137">
        <v>0</v>
      </c>
      <c r="BF63" s="137">
        <v>0</v>
      </c>
      <c r="BG63" s="137">
        <v>0</v>
      </c>
      <c r="BH63" s="137">
        <v>0</v>
      </c>
      <c r="BI63" s="137">
        <v>0</v>
      </c>
      <c r="BJ63" s="137">
        <v>0</v>
      </c>
      <c r="BK63" s="137">
        <v>0</v>
      </c>
      <c r="BL63" s="137">
        <v>0</v>
      </c>
      <c r="BM63" s="137">
        <v>0</v>
      </c>
      <c r="BN63" s="137">
        <v>0</v>
      </c>
      <c r="BO63" s="137">
        <v>0</v>
      </c>
      <c r="BP63" s="137">
        <v>0</v>
      </c>
      <c r="BQ63" s="137">
        <v>0</v>
      </c>
      <c r="BR63" s="137">
        <v>0</v>
      </c>
      <c r="BS63" s="137">
        <v>0</v>
      </c>
      <c r="BT63" s="137">
        <v>0</v>
      </c>
      <c r="BU63" s="137">
        <v>0</v>
      </c>
      <c r="BV63" s="137">
        <v>0</v>
      </c>
      <c r="BW63" s="137">
        <v>0</v>
      </c>
      <c r="BX63" s="137">
        <v>0</v>
      </c>
      <c r="BY63" s="137">
        <v>0</v>
      </c>
      <c r="BZ63" s="137">
        <v>1</v>
      </c>
      <c r="CA63" s="137" t="s">
        <v>1000</v>
      </c>
      <c r="CB63" s="137">
        <v>0</v>
      </c>
      <c r="CC63" s="137" t="s">
        <v>947</v>
      </c>
      <c r="CD63" s="137">
        <v>1</v>
      </c>
      <c r="CE63" s="137" t="s">
        <v>1136</v>
      </c>
      <c r="CF63" s="161" t="s">
        <v>1137</v>
      </c>
      <c r="CG63" s="137">
        <v>0</v>
      </c>
      <c r="CH63" s="137" t="s">
        <v>947</v>
      </c>
      <c r="CI63" s="137">
        <v>0</v>
      </c>
      <c r="CJ63" s="137" t="s">
        <v>947</v>
      </c>
      <c r="CK63" s="137" t="s">
        <v>947</v>
      </c>
      <c r="CL63" s="137">
        <v>0</v>
      </c>
      <c r="CM63" s="137" t="s">
        <v>947</v>
      </c>
      <c r="CN63" s="137" t="s">
        <v>947</v>
      </c>
      <c r="CO63" s="137">
        <v>0</v>
      </c>
      <c r="CP63" s="137" t="s">
        <v>947</v>
      </c>
      <c r="CQ63" s="137" t="s">
        <v>947</v>
      </c>
      <c r="CR63" s="137">
        <v>0</v>
      </c>
      <c r="CS63" s="137" t="s">
        <v>947</v>
      </c>
      <c r="CT63" s="137" t="s">
        <v>947</v>
      </c>
      <c r="CU63" s="137">
        <v>0</v>
      </c>
      <c r="CV63" s="137" t="s">
        <v>947</v>
      </c>
      <c r="CW63" s="137" t="s">
        <v>947</v>
      </c>
      <c r="CX63" s="137">
        <v>1</v>
      </c>
      <c r="CY63" s="137" t="s">
        <v>1105</v>
      </c>
      <c r="CZ63" s="137">
        <v>2</v>
      </c>
      <c r="DA63" s="137"/>
      <c r="DB63" s="152"/>
    </row>
    <row r="64" spans="1:106" s="114" customFormat="1" ht="16">
      <c r="A64" s="112" t="s">
        <v>296</v>
      </c>
      <c r="B64" s="162">
        <v>22103195</v>
      </c>
      <c r="C64" s="163" t="s">
        <v>1138</v>
      </c>
      <c r="D64" s="17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c r="BL64" s="176"/>
      <c r="BM64" s="176"/>
      <c r="BN64" s="176"/>
      <c r="BO64" s="176"/>
      <c r="BP64" s="176"/>
      <c r="BQ64" s="176"/>
      <c r="BR64" s="176"/>
      <c r="BS64" s="176"/>
      <c r="BT64" s="176"/>
      <c r="BU64" s="176"/>
      <c r="BV64" s="176"/>
      <c r="BW64" s="176"/>
      <c r="BX64" s="176"/>
      <c r="BY64" s="176"/>
      <c r="BZ64" s="176"/>
      <c r="CA64" s="176"/>
      <c r="CB64" s="176"/>
      <c r="CC64" s="176"/>
      <c r="CD64" s="176"/>
      <c r="CE64" s="176"/>
      <c r="CF64" s="176"/>
      <c r="CG64" s="176"/>
      <c r="CH64" s="176"/>
      <c r="CI64" s="176"/>
      <c r="CJ64" s="176"/>
      <c r="CK64" s="176"/>
      <c r="CL64" s="176"/>
      <c r="CM64" s="176"/>
      <c r="CN64" s="176"/>
      <c r="CO64" s="176"/>
      <c r="CP64" s="176"/>
      <c r="CQ64" s="176"/>
      <c r="CR64" s="176"/>
      <c r="CS64" s="176"/>
      <c r="CT64" s="176"/>
      <c r="CU64" s="176"/>
      <c r="CV64" s="176"/>
      <c r="CW64" s="176"/>
      <c r="CX64" s="176"/>
      <c r="CY64" s="176"/>
      <c r="CZ64" s="176"/>
      <c r="DA64" s="176"/>
      <c r="DB64" s="176"/>
    </row>
    <row r="65" spans="1:106" s="110" customFormat="1" ht="16">
      <c r="A65" s="107" t="s">
        <v>301</v>
      </c>
      <c r="B65" s="107">
        <v>22107168</v>
      </c>
      <c r="C65" s="107" t="s">
        <v>302</v>
      </c>
      <c r="D65" s="108">
        <v>44511</v>
      </c>
      <c r="E65" s="107">
        <v>64.2</v>
      </c>
      <c r="F65" s="107">
        <v>9.6999999999999993</v>
      </c>
      <c r="G65" s="107">
        <f>F65/(E65/100)^2</f>
        <v>23.534321289583755</v>
      </c>
      <c r="H65" s="107">
        <v>40.200000000000003</v>
      </c>
      <c r="I65" s="107">
        <v>30</v>
      </c>
      <c r="J65" s="107">
        <v>4</v>
      </c>
      <c r="K65" s="107">
        <v>1</v>
      </c>
      <c r="L65" s="107">
        <v>2</v>
      </c>
      <c r="M65" s="107">
        <v>0</v>
      </c>
      <c r="N65" s="107">
        <v>8</v>
      </c>
      <c r="O65" s="107">
        <v>9</v>
      </c>
      <c r="P65" s="107">
        <v>1100</v>
      </c>
      <c r="Q65" s="107">
        <v>38</v>
      </c>
      <c r="R65" s="107">
        <v>26</v>
      </c>
      <c r="S65" s="107">
        <v>22.6</v>
      </c>
      <c r="T65" s="108">
        <v>30499</v>
      </c>
      <c r="U65" s="107">
        <v>37.71</v>
      </c>
      <c r="V65" s="107">
        <v>0</v>
      </c>
      <c r="W65" s="107">
        <v>2</v>
      </c>
      <c r="X65" s="107">
        <v>0</v>
      </c>
      <c r="Y65" s="107">
        <v>1</v>
      </c>
      <c r="Z65" s="107">
        <v>1</v>
      </c>
      <c r="AA65" s="107">
        <v>1</v>
      </c>
      <c r="AB65" s="107">
        <v>0</v>
      </c>
      <c r="AC65" s="107">
        <v>0</v>
      </c>
      <c r="AD65" s="107">
        <v>0</v>
      </c>
      <c r="AE65" s="107">
        <v>0</v>
      </c>
      <c r="AF65" s="107">
        <v>0</v>
      </c>
      <c r="AG65" s="107">
        <v>0</v>
      </c>
      <c r="AH65" s="107">
        <v>0</v>
      </c>
      <c r="AI65" s="107">
        <v>0</v>
      </c>
      <c r="AJ65" s="107">
        <v>0</v>
      </c>
      <c r="AK65" s="107">
        <v>0</v>
      </c>
      <c r="AL65" s="107">
        <v>0</v>
      </c>
      <c r="AM65" s="107">
        <v>0</v>
      </c>
      <c r="AN65" s="107">
        <v>0</v>
      </c>
      <c r="AO65" s="107">
        <v>0</v>
      </c>
      <c r="AP65" s="107">
        <v>0</v>
      </c>
      <c r="AQ65" s="107">
        <v>0</v>
      </c>
      <c r="AR65" s="107" t="s">
        <v>1910</v>
      </c>
      <c r="AS65" s="107">
        <v>0</v>
      </c>
      <c r="AT65" s="107">
        <v>0</v>
      </c>
      <c r="AU65" s="107">
        <v>0</v>
      </c>
      <c r="AV65" s="107">
        <v>0</v>
      </c>
      <c r="AW65" s="107">
        <v>0</v>
      </c>
      <c r="AX65" s="107">
        <v>0</v>
      </c>
      <c r="AY65" s="107">
        <v>0</v>
      </c>
      <c r="AZ65" s="107">
        <v>0</v>
      </c>
      <c r="BA65" s="107">
        <v>0</v>
      </c>
      <c r="BB65" s="107">
        <v>0</v>
      </c>
      <c r="BC65" s="107">
        <v>0</v>
      </c>
      <c r="BD65" s="107">
        <v>0</v>
      </c>
      <c r="BE65" s="107">
        <v>0</v>
      </c>
      <c r="BF65" s="107">
        <v>0</v>
      </c>
      <c r="BG65" s="107">
        <v>0</v>
      </c>
      <c r="BH65" s="107">
        <v>0</v>
      </c>
      <c r="BI65" s="107">
        <v>0</v>
      </c>
      <c r="BJ65" s="107">
        <v>0</v>
      </c>
      <c r="BK65" s="107">
        <v>1</v>
      </c>
      <c r="BL65" s="107">
        <v>0</v>
      </c>
      <c r="BM65" s="107">
        <v>0</v>
      </c>
      <c r="BN65" s="107">
        <v>0</v>
      </c>
      <c r="BO65" s="107">
        <v>0</v>
      </c>
      <c r="BP65" s="107">
        <v>0</v>
      </c>
      <c r="BQ65" s="107">
        <v>1</v>
      </c>
      <c r="BR65" s="107">
        <v>0</v>
      </c>
      <c r="BS65" s="107">
        <v>0</v>
      </c>
      <c r="BT65" s="107">
        <v>0</v>
      </c>
      <c r="BU65" s="107">
        <v>0</v>
      </c>
      <c r="BV65" s="107">
        <v>0</v>
      </c>
      <c r="BW65" s="107">
        <v>0</v>
      </c>
      <c r="BX65" s="107">
        <v>0</v>
      </c>
      <c r="BY65" s="107">
        <v>0</v>
      </c>
      <c r="BZ65" s="107">
        <v>1</v>
      </c>
      <c r="CA65" s="107" t="s">
        <v>1887</v>
      </c>
      <c r="CB65" s="107">
        <v>1</v>
      </c>
      <c r="CC65" s="107" t="s">
        <v>1899</v>
      </c>
      <c r="CD65" s="107">
        <v>1</v>
      </c>
      <c r="CE65" s="107" t="s">
        <v>2069</v>
      </c>
      <c r="CF65" s="107" t="s">
        <v>2070</v>
      </c>
      <c r="CG65" s="107">
        <v>1</v>
      </c>
      <c r="CH65" s="107" t="s">
        <v>1887</v>
      </c>
      <c r="CI65" s="107">
        <v>0</v>
      </c>
      <c r="CJ65" s="107" t="s">
        <v>18</v>
      </c>
      <c r="CK65" s="107" t="s">
        <v>18</v>
      </c>
      <c r="CL65" s="107">
        <v>1</v>
      </c>
      <c r="CM65" s="107" t="s">
        <v>1887</v>
      </c>
      <c r="CN65" s="107" t="s">
        <v>2065</v>
      </c>
      <c r="CO65" s="107" t="s">
        <v>1902</v>
      </c>
      <c r="CP65" s="107" t="s">
        <v>1887</v>
      </c>
      <c r="CQ65" s="107" t="s">
        <v>2007</v>
      </c>
      <c r="CR65" s="107">
        <v>0</v>
      </c>
      <c r="CS65" s="107" t="s">
        <v>18</v>
      </c>
      <c r="CT65" s="107" t="s">
        <v>18</v>
      </c>
      <c r="CU65" s="107">
        <v>0</v>
      </c>
      <c r="CV65" s="107" t="s">
        <v>18</v>
      </c>
      <c r="CW65" s="107" t="s">
        <v>18</v>
      </c>
      <c r="CX65" s="107">
        <v>1</v>
      </c>
      <c r="CY65" s="108">
        <v>44485</v>
      </c>
      <c r="CZ65" s="107">
        <v>2</v>
      </c>
      <c r="DA65" s="107"/>
    </row>
    <row r="66" spans="1:106" s="127" customFormat="1" ht="16">
      <c r="A66" s="123" t="s">
        <v>306</v>
      </c>
      <c r="B66" s="165">
        <v>22107334</v>
      </c>
      <c r="C66" s="166" t="s">
        <v>1152</v>
      </c>
      <c r="D66" s="168"/>
      <c r="E66" s="168"/>
      <c r="F66" s="168"/>
      <c r="G66" s="168"/>
      <c r="H66" s="168"/>
      <c r="I66" s="168"/>
      <c r="J66" s="168"/>
      <c r="K66" s="168"/>
      <c r="L66" s="168"/>
      <c r="M66" s="168"/>
      <c r="N66" s="168"/>
      <c r="O66" s="168"/>
      <c r="P66" s="168"/>
      <c r="Q66" s="168"/>
      <c r="R66" s="168"/>
      <c r="S66" s="168"/>
      <c r="T66" s="168"/>
      <c r="U66" s="168"/>
      <c r="V66" s="168"/>
      <c r="W66" s="168"/>
      <c r="X66" s="168"/>
      <c r="Y66" s="168"/>
      <c r="Z66" s="168"/>
      <c r="AA66" s="168"/>
      <c r="AB66" s="168"/>
      <c r="AC66" s="168"/>
      <c r="AD66" s="168"/>
      <c r="AE66" s="168"/>
      <c r="AF66" s="168"/>
      <c r="AG66" s="168"/>
      <c r="AH66" s="168"/>
      <c r="AI66" s="168"/>
      <c r="AJ66" s="168"/>
      <c r="AK66" s="168"/>
      <c r="AL66" s="168"/>
      <c r="AM66" s="168"/>
      <c r="AN66" s="168"/>
      <c r="AO66" s="168"/>
      <c r="AP66" s="168"/>
      <c r="AQ66" s="168"/>
      <c r="AR66" s="168"/>
      <c r="AS66" s="168"/>
      <c r="AT66" s="168"/>
      <c r="AU66" s="168"/>
      <c r="AV66" s="168"/>
      <c r="AW66" s="168"/>
      <c r="AX66" s="168"/>
      <c r="AY66" s="168"/>
      <c r="AZ66" s="168"/>
      <c r="BA66" s="168"/>
      <c r="BB66" s="168"/>
      <c r="BC66" s="168"/>
      <c r="BD66" s="168"/>
      <c r="BE66" s="168"/>
      <c r="BF66" s="168"/>
      <c r="BG66" s="168"/>
      <c r="BH66" s="168"/>
      <c r="BI66" s="168"/>
      <c r="BJ66" s="168"/>
      <c r="BK66" s="168"/>
      <c r="BL66" s="168"/>
      <c r="BM66" s="168"/>
      <c r="BN66" s="168"/>
      <c r="BO66" s="168"/>
      <c r="BP66" s="168"/>
      <c r="BQ66" s="168"/>
      <c r="BR66" s="168"/>
      <c r="BS66" s="168"/>
      <c r="BT66" s="168"/>
      <c r="BU66" s="168"/>
      <c r="BV66" s="168"/>
      <c r="BW66" s="168"/>
      <c r="BX66" s="168"/>
      <c r="BY66" s="168"/>
      <c r="BZ66" s="168"/>
      <c r="CA66" s="168"/>
      <c r="CB66" s="168"/>
      <c r="CC66" s="168"/>
      <c r="CD66" s="168"/>
      <c r="CE66" s="168"/>
      <c r="CF66" s="168"/>
      <c r="CG66" s="168"/>
      <c r="CH66" s="168"/>
      <c r="CI66" s="168"/>
      <c r="CJ66" s="168"/>
      <c r="CK66" s="168"/>
      <c r="CL66" s="168"/>
      <c r="CM66" s="168"/>
      <c r="CN66" s="168"/>
      <c r="CO66" s="168"/>
      <c r="CP66" s="168"/>
      <c r="CQ66" s="168"/>
      <c r="CR66" s="168"/>
      <c r="CS66" s="168"/>
      <c r="CT66" s="168"/>
      <c r="CU66" s="168"/>
      <c r="CV66" s="168"/>
      <c r="CW66" s="168"/>
      <c r="CX66" s="168"/>
      <c r="CY66" s="168"/>
      <c r="CZ66" s="168"/>
      <c r="DA66" s="168"/>
      <c r="DB66" s="168"/>
    </row>
    <row r="67" spans="1:106" s="127" customFormat="1" ht="16">
      <c r="A67" s="123" t="s">
        <v>309</v>
      </c>
      <c r="B67" s="165">
        <v>22107336</v>
      </c>
      <c r="C67" s="166" t="s">
        <v>1153</v>
      </c>
      <c r="D67" s="168"/>
      <c r="E67" s="168"/>
      <c r="F67" s="168"/>
      <c r="G67" s="168"/>
      <c r="H67" s="168"/>
      <c r="I67" s="168"/>
      <c r="J67" s="168"/>
      <c r="K67" s="168"/>
      <c r="L67" s="168"/>
      <c r="M67" s="168"/>
      <c r="N67" s="168"/>
      <c r="O67" s="168"/>
      <c r="P67" s="168"/>
      <c r="Q67" s="168"/>
      <c r="R67" s="168"/>
      <c r="S67" s="168"/>
      <c r="T67" s="168"/>
      <c r="U67" s="168"/>
      <c r="V67" s="168"/>
      <c r="W67" s="168"/>
      <c r="X67" s="168"/>
      <c r="Y67" s="168"/>
      <c r="Z67" s="168"/>
      <c r="AA67" s="168"/>
      <c r="AB67" s="168"/>
      <c r="AC67" s="168"/>
      <c r="AD67" s="168"/>
      <c r="AE67" s="168"/>
      <c r="AF67" s="168"/>
      <c r="AG67" s="168"/>
      <c r="AH67" s="168"/>
      <c r="AI67" s="168"/>
      <c r="AJ67" s="168"/>
      <c r="AK67" s="168"/>
      <c r="AL67" s="168"/>
      <c r="AM67" s="168"/>
      <c r="AN67" s="168"/>
      <c r="AO67" s="168"/>
      <c r="AP67" s="168"/>
      <c r="AQ67" s="168"/>
      <c r="AR67" s="168"/>
      <c r="AS67" s="168"/>
      <c r="AT67" s="168"/>
      <c r="AU67" s="168"/>
      <c r="AV67" s="168"/>
      <c r="AW67" s="168"/>
      <c r="AX67" s="168"/>
      <c r="AY67" s="168"/>
      <c r="AZ67" s="168"/>
      <c r="BA67" s="167"/>
      <c r="BB67" s="167"/>
      <c r="BC67" s="167"/>
      <c r="BD67" s="167"/>
      <c r="BE67" s="167"/>
      <c r="BF67" s="167"/>
      <c r="BG67" s="167"/>
      <c r="BH67" s="167"/>
      <c r="BI67" s="167"/>
      <c r="BJ67" s="167"/>
      <c r="BK67" s="167"/>
      <c r="BL67" s="167"/>
      <c r="BM67" s="167"/>
      <c r="BN67" s="167"/>
      <c r="BO67" s="167"/>
      <c r="BP67" s="167"/>
      <c r="BQ67" s="167"/>
      <c r="BR67" s="167"/>
      <c r="BS67" s="167"/>
      <c r="BT67" s="167"/>
      <c r="BU67" s="167"/>
      <c r="BV67" s="167"/>
      <c r="BW67" s="167"/>
      <c r="BX67" s="167"/>
      <c r="BY67" s="167"/>
      <c r="BZ67" s="167"/>
      <c r="CA67" s="167"/>
      <c r="CB67" s="167"/>
      <c r="CC67" s="167"/>
      <c r="CD67" s="167"/>
      <c r="CE67" s="167"/>
      <c r="CF67" s="167"/>
      <c r="CG67" s="167"/>
      <c r="CH67" s="167"/>
      <c r="CI67" s="167"/>
      <c r="CJ67" s="167"/>
      <c r="CK67" s="167"/>
      <c r="CL67" s="167"/>
      <c r="CM67" s="167"/>
      <c r="CN67" s="167"/>
      <c r="CO67" s="167"/>
      <c r="CP67" s="167"/>
      <c r="CQ67" s="167"/>
      <c r="CR67" s="167"/>
      <c r="CS67" s="167"/>
      <c r="CT67" s="167"/>
      <c r="CU67" s="167"/>
      <c r="CV67" s="167"/>
      <c r="CW67" s="167"/>
      <c r="CX67" s="167"/>
      <c r="CY67" s="167"/>
      <c r="CZ67" s="167"/>
      <c r="DA67" s="167"/>
      <c r="DB67" s="167"/>
    </row>
    <row r="68" spans="1:106" ht="16">
      <c r="A68" s="1" t="s">
        <v>312</v>
      </c>
      <c r="B68" s="1">
        <v>22106885</v>
      </c>
      <c r="C68" s="1" t="s">
        <v>313</v>
      </c>
      <c r="D68" s="5">
        <v>44549</v>
      </c>
      <c r="E68" s="1">
        <v>63.8</v>
      </c>
      <c r="F68" s="1">
        <v>7.6</v>
      </c>
      <c r="G68" s="1">
        <f>F68/(E68/100)^2</f>
        <v>18.671200165092717</v>
      </c>
      <c r="H68" s="1">
        <v>41</v>
      </c>
      <c r="I68" s="1">
        <v>24</v>
      </c>
      <c r="J68" s="1">
        <v>2</v>
      </c>
      <c r="K68" s="1">
        <v>1</v>
      </c>
      <c r="L68" s="1">
        <v>2</v>
      </c>
      <c r="M68" s="1">
        <v>0</v>
      </c>
      <c r="N68" s="1">
        <v>6</v>
      </c>
      <c r="O68" s="1">
        <v>7</v>
      </c>
      <c r="P68" s="1">
        <v>67</v>
      </c>
      <c r="Q68" s="1">
        <v>30</v>
      </c>
      <c r="R68" s="1">
        <v>22</v>
      </c>
      <c r="S68" s="1">
        <v>19</v>
      </c>
      <c r="T68" s="5">
        <v>31210</v>
      </c>
      <c r="U68" s="1">
        <v>35.69</v>
      </c>
      <c r="V68" s="1">
        <v>0</v>
      </c>
      <c r="W68" s="1">
        <v>1</v>
      </c>
      <c r="X68" s="1">
        <v>0</v>
      </c>
      <c r="Y68" s="1">
        <v>1</v>
      </c>
      <c r="Z68" s="1">
        <v>0</v>
      </c>
      <c r="AA68" s="1">
        <v>0</v>
      </c>
      <c r="AB68" s="1">
        <v>0</v>
      </c>
      <c r="AC68" s="1">
        <v>1</v>
      </c>
      <c r="AD68" s="1">
        <v>0</v>
      </c>
      <c r="AE68" s="1">
        <v>0</v>
      </c>
      <c r="AF68" s="1">
        <v>0</v>
      </c>
      <c r="AG68" s="1">
        <v>0</v>
      </c>
      <c r="AH68" s="1">
        <v>1</v>
      </c>
      <c r="AI68" s="1">
        <v>1</v>
      </c>
      <c r="AJ68" s="1">
        <v>0</v>
      </c>
      <c r="AK68" s="1">
        <v>0</v>
      </c>
      <c r="AL68" s="1">
        <v>1</v>
      </c>
      <c r="AM68" s="1">
        <v>10</v>
      </c>
      <c r="AN68" s="1">
        <v>0</v>
      </c>
      <c r="AO68" s="1">
        <v>0</v>
      </c>
      <c r="AP68" s="1">
        <v>0</v>
      </c>
      <c r="AQ68" s="1">
        <v>0</v>
      </c>
      <c r="AR68" s="1" t="s">
        <v>1910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1</v>
      </c>
      <c r="BL68" s="1">
        <v>0</v>
      </c>
      <c r="BM68" s="1">
        <v>0</v>
      </c>
      <c r="BN68" s="1">
        <v>0</v>
      </c>
      <c r="BO68" s="1">
        <v>0</v>
      </c>
      <c r="BP68" s="1">
        <v>0</v>
      </c>
      <c r="BQ68" s="1">
        <v>0</v>
      </c>
      <c r="BR68" s="1">
        <v>0</v>
      </c>
      <c r="BS68" s="1">
        <v>0</v>
      </c>
      <c r="BT68" s="1">
        <v>1</v>
      </c>
      <c r="BU68" s="1">
        <v>0</v>
      </c>
      <c r="BV68" s="1">
        <v>0</v>
      </c>
      <c r="BW68" s="1">
        <v>0</v>
      </c>
      <c r="BX68" s="1">
        <v>0</v>
      </c>
      <c r="BY68" s="1">
        <v>0</v>
      </c>
      <c r="BZ68" s="1">
        <v>1</v>
      </c>
      <c r="CA68" s="1" t="s">
        <v>2189</v>
      </c>
      <c r="CB68" s="1">
        <v>1</v>
      </c>
      <c r="CC68" s="1" t="s">
        <v>1899</v>
      </c>
      <c r="CD68" s="1">
        <v>1</v>
      </c>
      <c r="CE68" s="1" t="s">
        <v>2068</v>
      </c>
      <c r="CF68" s="1" t="s">
        <v>2190</v>
      </c>
      <c r="CG68" s="1">
        <v>1</v>
      </c>
      <c r="CH68" s="1" t="s">
        <v>1887</v>
      </c>
      <c r="CI68" s="1">
        <v>0</v>
      </c>
      <c r="CJ68" s="1" t="s">
        <v>18</v>
      </c>
      <c r="CK68" s="1" t="s">
        <v>18</v>
      </c>
      <c r="CL68" s="1">
        <v>1</v>
      </c>
      <c r="CM68" s="1" t="s">
        <v>2068</v>
      </c>
      <c r="CN68" s="1" t="s">
        <v>2191</v>
      </c>
      <c r="CO68" s="1" t="s">
        <v>2040</v>
      </c>
      <c r="CP68" s="1" t="s">
        <v>1887</v>
      </c>
      <c r="CQ68" s="1" t="s">
        <v>2007</v>
      </c>
      <c r="CR68" s="1">
        <v>0</v>
      </c>
      <c r="CS68" s="1" t="s">
        <v>18</v>
      </c>
      <c r="CT68" s="1" t="s">
        <v>18</v>
      </c>
      <c r="CU68" s="1">
        <v>0</v>
      </c>
      <c r="CV68" s="1" t="s">
        <v>18</v>
      </c>
      <c r="CW68" s="1" t="s">
        <v>18</v>
      </c>
      <c r="CX68" s="1">
        <v>1</v>
      </c>
      <c r="CY68" s="1" t="s">
        <v>1919</v>
      </c>
      <c r="CZ68" s="1">
        <v>2</v>
      </c>
      <c r="DA68" s="1"/>
    </row>
    <row r="69" spans="1:106" ht="16">
      <c r="A69" s="1" t="s">
        <v>316</v>
      </c>
      <c r="B69" s="137">
        <v>22106005</v>
      </c>
      <c r="C69" s="161" t="s">
        <v>1154</v>
      </c>
      <c r="D69" s="159">
        <v>44462</v>
      </c>
      <c r="E69" s="137">
        <v>66.599999999999994</v>
      </c>
      <c r="F69" s="137">
        <v>7.3</v>
      </c>
      <c r="G69" s="137">
        <v>16.46</v>
      </c>
      <c r="H69" s="137">
        <v>42</v>
      </c>
      <c r="I69" s="137">
        <v>26</v>
      </c>
      <c r="J69" s="137">
        <v>3</v>
      </c>
      <c r="K69" s="137">
        <v>1</v>
      </c>
      <c r="L69" s="137">
        <v>1</v>
      </c>
      <c r="M69" s="137">
        <v>0</v>
      </c>
      <c r="N69" s="137">
        <v>5</v>
      </c>
      <c r="O69" s="137">
        <v>8</v>
      </c>
      <c r="P69" s="137">
        <v>670</v>
      </c>
      <c r="Q69" s="137">
        <v>33</v>
      </c>
      <c r="R69" s="137">
        <v>22.3</v>
      </c>
      <c r="S69" s="137">
        <v>18.5</v>
      </c>
      <c r="T69" s="159">
        <v>30706</v>
      </c>
      <c r="U69" s="137">
        <v>36.840000000000003</v>
      </c>
      <c r="V69" s="137">
        <v>0</v>
      </c>
      <c r="W69" s="137">
        <v>2</v>
      </c>
      <c r="X69" s="137">
        <v>0</v>
      </c>
      <c r="Y69" s="137">
        <v>2</v>
      </c>
      <c r="Z69" s="137">
        <v>0</v>
      </c>
      <c r="AA69" s="137">
        <v>0</v>
      </c>
      <c r="AB69" s="137">
        <v>0</v>
      </c>
      <c r="AC69" s="137">
        <v>0</v>
      </c>
      <c r="AD69" s="137">
        <v>0</v>
      </c>
      <c r="AE69" s="137">
        <v>0</v>
      </c>
      <c r="AF69" s="137">
        <v>0</v>
      </c>
      <c r="AG69" s="137">
        <v>0</v>
      </c>
      <c r="AH69" s="137">
        <v>1</v>
      </c>
      <c r="AI69" s="137">
        <v>0</v>
      </c>
      <c r="AJ69" s="137">
        <v>0</v>
      </c>
      <c r="AK69" s="137">
        <v>0</v>
      </c>
      <c r="AL69" s="137">
        <v>0</v>
      </c>
      <c r="AM69" s="137">
        <v>0</v>
      </c>
      <c r="AN69" s="137">
        <v>0</v>
      </c>
      <c r="AO69" s="137">
        <v>0</v>
      </c>
      <c r="AP69" s="137">
        <v>0</v>
      </c>
      <c r="AQ69" s="137">
        <v>0</v>
      </c>
      <c r="AR69" s="137" t="s">
        <v>1155</v>
      </c>
      <c r="AS69" s="137">
        <v>0</v>
      </c>
      <c r="AT69" s="137">
        <v>0</v>
      </c>
      <c r="AU69" s="137">
        <v>0</v>
      </c>
      <c r="AV69" s="137">
        <v>0</v>
      </c>
      <c r="AW69" s="137">
        <v>0</v>
      </c>
      <c r="AX69" s="137">
        <v>0</v>
      </c>
      <c r="AY69" s="137">
        <v>0</v>
      </c>
      <c r="AZ69" s="137">
        <v>0</v>
      </c>
      <c r="BA69" s="137">
        <v>0</v>
      </c>
      <c r="BB69" s="137">
        <v>0</v>
      </c>
      <c r="BC69" s="137">
        <v>0</v>
      </c>
      <c r="BD69" s="137">
        <v>0</v>
      </c>
      <c r="BE69" s="137">
        <v>0</v>
      </c>
      <c r="BF69" s="137">
        <v>0</v>
      </c>
      <c r="BG69" s="137">
        <v>0</v>
      </c>
      <c r="BH69" s="137">
        <v>0</v>
      </c>
      <c r="BI69" s="137">
        <v>0</v>
      </c>
      <c r="BJ69" s="137">
        <v>0</v>
      </c>
      <c r="BK69" s="137">
        <v>1</v>
      </c>
      <c r="BL69" s="137">
        <v>0</v>
      </c>
      <c r="BM69" s="137">
        <v>1</v>
      </c>
      <c r="BN69" s="137">
        <v>0</v>
      </c>
      <c r="BO69" s="137">
        <v>0</v>
      </c>
      <c r="BP69" s="137">
        <v>0</v>
      </c>
      <c r="BQ69" s="137">
        <v>1</v>
      </c>
      <c r="BR69" s="137">
        <v>0</v>
      </c>
      <c r="BS69" s="137">
        <v>0</v>
      </c>
      <c r="BT69" s="137">
        <v>0</v>
      </c>
      <c r="BU69" s="137">
        <v>0</v>
      </c>
      <c r="BV69" s="137">
        <v>0</v>
      </c>
      <c r="BW69" s="137">
        <v>0</v>
      </c>
      <c r="BX69" s="137">
        <v>0</v>
      </c>
      <c r="BY69" s="137">
        <v>0</v>
      </c>
      <c r="BZ69" s="137">
        <v>1</v>
      </c>
      <c r="CA69" s="159" t="s">
        <v>1156</v>
      </c>
      <c r="CB69" s="137">
        <v>1</v>
      </c>
      <c r="CC69" s="161" t="s">
        <v>1157</v>
      </c>
      <c r="CD69" s="137">
        <v>1</v>
      </c>
      <c r="CE69" s="137" t="s">
        <v>1158</v>
      </c>
      <c r="CF69" s="161" t="s">
        <v>1159</v>
      </c>
      <c r="CG69" s="137">
        <v>0</v>
      </c>
      <c r="CH69" s="137" t="s">
        <v>1160</v>
      </c>
      <c r="CI69" s="137">
        <v>0</v>
      </c>
      <c r="CJ69" s="137" t="s">
        <v>947</v>
      </c>
      <c r="CK69" s="137" t="s">
        <v>947</v>
      </c>
      <c r="CL69" s="137">
        <v>0</v>
      </c>
      <c r="CM69" s="137" t="s">
        <v>947</v>
      </c>
      <c r="CN69" s="137" t="s">
        <v>947</v>
      </c>
      <c r="CO69" s="161" t="s">
        <v>1060</v>
      </c>
      <c r="CP69" s="137" t="s">
        <v>1160</v>
      </c>
      <c r="CQ69" s="161" t="s">
        <v>993</v>
      </c>
      <c r="CR69" s="161" t="s">
        <v>1161</v>
      </c>
      <c r="CS69" s="161" t="s">
        <v>1142</v>
      </c>
      <c r="CT69" s="161" t="s">
        <v>1162</v>
      </c>
      <c r="CU69" s="137">
        <v>0</v>
      </c>
      <c r="CV69" s="137" t="s">
        <v>947</v>
      </c>
      <c r="CW69" s="137" t="s">
        <v>947</v>
      </c>
      <c r="CX69" s="137">
        <v>1</v>
      </c>
      <c r="CY69" s="161" t="s">
        <v>1005</v>
      </c>
      <c r="CZ69" s="137">
        <v>2</v>
      </c>
      <c r="DA69" s="137"/>
      <c r="DB69" s="152"/>
    </row>
    <row r="70" spans="1:106" ht="16">
      <c r="A70" s="1" t="s">
        <v>320</v>
      </c>
      <c r="B70" s="137">
        <v>22108151</v>
      </c>
      <c r="C70" s="161" t="s">
        <v>1163</v>
      </c>
      <c r="D70" s="159">
        <v>44631</v>
      </c>
      <c r="E70" s="137">
        <v>69.5</v>
      </c>
      <c r="F70" s="137">
        <v>8.1999999999999993</v>
      </c>
      <c r="G70" s="137">
        <v>16.98</v>
      </c>
      <c r="H70" s="137">
        <v>42.1</v>
      </c>
      <c r="I70" s="137">
        <v>31</v>
      </c>
      <c r="J70" s="137">
        <v>1</v>
      </c>
      <c r="K70" s="137">
        <v>1</v>
      </c>
      <c r="L70" s="137">
        <v>2</v>
      </c>
      <c r="M70" s="137">
        <v>0</v>
      </c>
      <c r="N70" s="137">
        <v>8</v>
      </c>
      <c r="O70" s="137">
        <v>9</v>
      </c>
      <c r="P70" s="137">
        <v>1540</v>
      </c>
      <c r="Q70" s="137">
        <v>39.5</v>
      </c>
      <c r="R70" s="137">
        <v>30</v>
      </c>
      <c r="S70" s="137">
        <v>27</v>
      </c>
      <c r="T70" s="159">
        <v>30712</v>
      </c>
      <c r="U70" s="137">
        <v>37.409999999999997</v>
      </c>
      <c r="V70" s="137">
        <v>1</v>
      </c>
      <c r="W70" s="137">
        <v>1</v>
      </c>
      <c r="X70" s="137">
        <v>0</v>
      </c>
      <c r="Y70" s="137">
        <v>3</v>
      </c>
      <c r="Z70" s="137">
        <v>0</v>
      </c>
      <c r="AA70" s="137">
        <v>1</v>
      </c>
      <c r="AB70" s="137">
        <v>0</v>
      </c>
      <c r="AC70" s="137">
        <v>0</v>
      </c>
      <c r="AD70" s="137">
        <v>0</v>
      </c>
      <c r="AE70" s="137">
        <v>0</v>
      </c>
      <c r="AF70" s="137">
        <v>0</v>
      </c>
      <c r="AG70" s="137">
        <v>0</v>
      </c>
      <c r="AH70" s="137">
        <v>0</v>
      </c>
      <c r="AI70" s="137">
        <v>0</v>
      </c>
      <c r="AJ70" s="137">
        <v>0</v>
      </c>
      <c r="AK70" s="137">
        <v>0</v>
      </c>
      <c r="AL70" s="137">
        <v>0</v>
      </c>
      <c r="AM70" s="137">
        <v>0</v>
      </c>
      <c r="AN70" s="137">
        <v>0</v>
      </c>
      <c r="AO70" s="137">
        <v>0</v>
      </c>
      <c r="AP70" s="137">
        <v>0</v>
      </c>
      <c r="AQ70" s="137">
        <v>0</v>
      </c>
      <c r="AR70" s="137">
        <v>2</v>
      </c>
      <c r="AS70" s="137">
        <v>0</v>
      </c>
      <c r="AT70" s="137">
        <v>0</v>
      </c>
      <c r="AU70" s="137">
        <v>0</v>
      </c>
      <c r="AV70" s="137">
        <v>0</v>
      </c>
      <c r="AW70" s="137">
        <v>0</v>
      </c>
      <c r="AX70" s="137">
        <v>0</v>
      </c>
      <c r="AY70" s="137">
        <v>0</v>
      </c>
      <c r="AZ70" s="137">
        <v>0</v>
      </c>
      <c r="BA70" s="137">
        <v>0</v>
      </c>
      <c r="BB70" s="137">
        <v>0</v>
      </c>
      <c r="BC70" s="137">
        <v>0</v>
      </c>
      <c r="BD70" s="137">
        <v>0</v>
      </c>
      <c r="BE70" s="137">
        <v>0</v>
      </c>
      <c r="BF70" s="137">
        <v>0</v>
      </c>
      <c r="BG70" s="137">
        <v>0</v>
      </c>
      <c r="BH70" s="137">
        <v>0</v>
      </c>
      <c r="BI70" s="137">
        <v>0</v>
      </c>
      <c r="BJ70" s="137">
        <v>0</v>
      </c>
      <c r="BK70" s="137">
        <v>0</v>
      </c>
      <c r="BL70" s="137">
        <v>0</v>
      </c>
      <c r="BM70" s="137">
        <v>0</v>
      </c>
      <c r="BN70" s="137">
        <v>0</v>
      </c>
      <c r="BO70" s="137">
        <v>0</v>
      </c>
      <c r="BP70" s="137">
        <v>0</v>
      </c>
      <c r="BQ70" s="137">
        <v>0</v>
      </c>
      <c r="BR70" s="137">
        <v>0</v>
      </c>
      <c r="BS70" s="137">
        <v>0</v>
      </c>
      <c r="BT70" s="137">
        <v>0</v>
      </c>
      <c r="BU70" s="137">
        <v>0</v>
      </c>
      <c r="BV70" s="137">
        <v>0</v>
      </c>
      <c r="BW70" s="137">
        <v>0</v>
      </c>
      <c r="BX70" s="137">
        <v>0</v>
      </c>
      <c r="BY70" s="137">
        <v>0</v>
      </c>
      <c r="BZ70" s="137">
        <v>1</v>
      </c>
      <c r="CA70" s="137" t="s">
        <v>1164</v>
      </c>
      <c r="CB70" s="137">
        <v>0</v>
      </c>
      <c r="CC70" s="137" t="s">
        <v>947</v>
      </c>
      <c r="CD70" s="137">
        <v>1</v>
      </c>
      <c r="CE70" s="137" t="s">
        <v>1165</v>
      </c>
      <c r="CF70" s="161" t="s">
        <v>1166</v>
      </c>
      <c r="CG70" s="137">
        <v>1</v>
      </c>
      <c r="CH70" s="137" t="s">
        <v>1167</v>
      </c>
      <c r="CI70" s="137">
        <v>0</v>
      </c>
      <c r="CJ70" s="137" t="s">
        <v>947</v>
      </c>
      <c r="CK70" s="137" t="s">
        <v>947</v>
      </c>
      <c r="CL70" s="137">
        <v>1</v>
      </c>
      <c r="CM70" s="161" t="s">
        <v>1168</v>
      </c>
      <c r="CN70" s="161" t="s">
        <v>1169</v>
      </c>
      <c r="CO70" s="161" t="s">
        <v>1060</v>
      </c>
      <c r="CP70" s="137" t="s">
        <v>1170</v>
      </c>
      <c r="CQ70" s="161" t="s">
        <v>993</v>
      </c>
      <c r="CR70" s="137">
        <v>0</v>
      </c>
      <c r="CS70" s="137" t="s">
        <v>947</v>
      </c>
      <c r="CT70" s="137" t="s">
        <v>947</v>
      </c>
      <c r="CU70" s="137">
        <v>0</v>
      </c>
      <c r="CV70" s="137" t="s">
        <v>947</v>
      </c>
      <c r="CW70" s="137" t="s">
        <v>947</v>
      </c>
      <c r="CX70" s="137">
        <v>1</v>
      </c>
      <c r="CY70" s="159">
        <v>44593</v>
      </c>
      <c r="CZ70" s="137">
        <v>2</v>
      </c>
      <c r="DA70" s="137"/>
      <c r="DB70" s="152"/>
    </row>
    <row r="71" spans="1:106" s="110" customFormat="1" ht="16">
      <c r="A71" s="107" t="s">
        <v>325</v>
      </c>
      <c r="B71" s="153">
        <v>22108143</v>
      </c>
      <c r="C71" s="157" t="s">
        <v>1171</v>
      </c>
      <c r="D71" s="155">
        <v>44637</v>
      </c>
      <c r="E71" s="153">
        <v>64</v>
      </c>
      <c r="F71" s="153">
        <v>6.3</v>
      </c>
      <c r="G71" s="153">
        <v>15.38</v>
      </c>
      <c r="H71" s="153">
        <v>39</v>
      </c>
      <c r="I71" s="153">
        <v>31</v>
      </c>
      <c r="J71" s="153">
        <v>5</v>
      </c>
      <c r="K71" s="153">
        <v>1</v>
      </c>
      <c r="L71" s="153">
        <v>2</v>
      </c>
      <c r="M71" s="153">
        <v>0</v>
      </c>
      <c r="N71" s="153">
        <v>6</v>
      </c>
      <c r="O71" s="153">
        <v>8</v>
      </c>
      <c r="P71" s="153">
        <v>1420</v>
      </c>
      <c r="Q71" s="153">
        <v>38</v>
      </c>
      <c r="R71" s="153">
        <v>28</v>
      </c>
      <c r="S71" s="153">
        <v>25</v>
      </c>
      <c r="T71" s="155">
        <v>31575</v>
      </c>
      <c r="U71" s="153">
        <v>35.04</v>
      </c>
      <c r="V71" s="153">
        <v>0</v>
      </c>
      <c r="W71" s="153">
        <v>2</v>
      </c>
      <c r="X71" s="153">
        <v>0</v>
      </c>
      <c r="Y71" s="153">
        <v>2</v>
      </c>
      <c r="Z71" s="153">
        <v>1</v>
      </c>
      <c r="AA71" s="153">
        <v>0</v>
      </c>
      <c r="AB71" s="153">
        <v>0</v>
      </c>
      <c r="AC71" s="153">
        <v>0</v>
      </c>
      <c r="AD71" s="153">
        <v>0</v>
      </c>
      <c r="AE71" s="153">
        <v>0</v>
      </c>
      <c r="AF71" s="153">
        <v>0</v>
      </c>
      <c r="AG71" s="153">
        <v>0</v>
      </c>
      <c r="AH71" s="153">
        <v>0</v>
      </c>
      <c r="AI71" s="153">
        <v>1</v>
      </c>
      <c r="AJ71" s="153">
        <v>0</v>
      </c>
      <c r="AK71" s="153">
        <v>0</v>
      </c>
      <c r="AL71" s="153">
        <v>1</v>
      </c>
      <c r="AM71" s="153">
        <v>20</v>
      </c>
      <c r="AN71" s="153">
        <v>0</v>
      </c>
      <c r="AO71" s="153">
        <v>0</v>
      </c>
      <c r="AP71" s="153">
        <v>0</v>
      </c>
      <c r="AQ71" s="153">
        <v>0</v>
      </c>
      <c r="AR71" s="153">
        <v>1</v>
      </c>
      <c r="AS71" s="153">
        <v>0</v>
      </c>
      <c r="AT71" s="153">
        <v>0</v>
      </c>
      <c r="AU71" s="153">
        <v>0</v>
      </c>
      <c r="AV71" s="153">
        <v>0</v>
      </c>
      <c r="AW71" s="153">
        <v>0</v>
      </c>
      <c r="AX71" s="153">
        <v>0</v>
      </c>
      <c r="AY71" s="153">
        <v>0</v>
      </c>
      <c r="AZ71" s="153">
        <v>0</v>
      </c>
      <c r="BA71" s="153">
        <v>0</v>
      </c>
      <c r="BB71" s="153">
        <v>0</v>
      </c>
      <c r="BC71" s="153">
        <v>0</v>
      </c>
      <c r="BD71" s="153">
        <v>0</v>
      </c>
      <c r="BE71" s="153">
        <v>0</v>
      </c>
      <c r="BF71" s="153">
        <v>0</v>
      </c>
      <c r="BG71" s="153">
        <v>0</v>
      </c>
      <c r="BH71" s="153">
        <v>0</v>
      </c>
      <c r="BI71" s="153">
        <v>0</v>
      </c>
      <c r="BJ71" s="153">
        <v>0</v>
      </c>
      <c r="BK71" s="153">
        <v>1</v>
      </c>
      <c r="BL71" s="153">
        <v>1</v>
      </c>
      <c r="BM71" s="153">
        <v>1</v>
      </c>
      <c r="BN71" s="153">
        <v>0</v>
      </c>
      <c r="BO71" s="153">
        <v>0</v>
      </c>
      <c r="BP71" s="153">
        <v>1</v>
      </c>
      <c r="BQ71" s="153">
        <v>0</v>
      </c>
      <c r="BR71" s="153">
        <v>0</v>
      </c>
      <c r="BS71" s="153">
        <v>0</v>
      </c>
      <c r="BT71" s="153">
        <v>0</v>
      </c>
      <c r="BU71" s="153">
        <v>0</v>
      </c>
      <c r="BV71" s="153">
        <v>0</v>
      </c>
      <c r="BW71" s="153">
        <v>0</v>
      </c>
      <c r="BX71" s="153">
        <v>0</v>
      </c>
      <c r="BY71" s="153">
        <v>0</v>
      </c>
      <c r="BZ71" s="153">
        <v>1</v>
      </c>
      <c r="CA71" s="153" t="s">
        <v>1167</v>
      </c>
      <c r="CB71" s="153">
        <v>1</v>
      </c>
      <c r="CC71" s="157" t="s">
        <v>1057</v>
      </c>
      <c r="CD71" s="153">
        <v>1</v>
      </c>
      <c r="CE71" s="157" t="s">
        <v>1172</v>
      </c>
      <c r="CF71" s="157" t="s">
        <v>1173</v>
      </c>
      <c r="CG71" s="153">
        <v>1</v>
      </c>
      <c r="CH71" s="157" t="s">
        <v>1128</v>
      </c>
      <c r="CI71" s="153">
        <v>0</v>
      </c>
      <c r="CJ71" s="153" t="s">
        <v>947</v>
      </c>
      <c r="CK71" s="153" t="s">
        <v>947</v>
      </c>
      <c r="CL71" s="153">
        <v>0</v>
      </c>
      <c r="CM71" s="153" t="s">
        <v>947</v>
      </c>
      <c r="CN71" s="153" t="s">
        <v>947</v>
      </c>
      <c r="CO71" s="153">
        <v>0</v>
      </c>
      <c r="CP71" s="153" t="s">
        <v>947</v>
      </c>
      <c r="CQ71" s="153" t="s">
        <v>947</v>
      </c>
      <c r="CR71" s="153">
        <v>0</v>
      </c>
      <c r="CS71" s="153" t="s">
        <v>947</v>
      </c>
      <c r="CT71" s="153" t="s">
        <v>947</v>
      </c>
      <c r="CU71" s="153">
        <v>0</v>
      </c>
      <c r="CV71" s="153" t="s">
        <v>947</v>
      </c>
      <c r="CW71" s="153" t="s">
        <v>947</v>
      </c>
      <c r="CX71" s="153">
        <v>1</v>
      </c>
      <c r="CY71" s="157" t="s">
        <v>1149</v>
      </c>
      <c r="CZ71" s="153">
        <v>2</v>
      </c>
      <c r="DA71" s="153"/>
      <c r="DB71" s="158"/>
    </row>
    <row r="72" spans="1:106" ht="16">
      <c r="A72" s="1" t="s">
        <v>329</v>
      </c>
      <c r="B72" s="137">
        <v>22107452</v>
      </c>
      <c r="C72" s="161" t="s">
        <v>1174</v>
      </c>
      <c r="D72" s="159">
        <v>44627</v>
      </c>
      <c r="E72" s="137">
        <v>32.1</v>
      </c>
      <c r="F72" s="137">
        <v>3.2</v>
      </c>
      <c r="G72" s="137">
        <v>31.06</v>
      </c>
      <c r="H72" s="137">
        <v>41</v>
      </c>
      <c r="I72" s="137">
        <v>26</v>
      </c>
      <c r="J72" s="137">
        <v>6</v>
      </c>
      <c r="K72" s="137">
        <v>1</v>
      </c>
      <c r="L72" s="137">
        <v>2</v>
      </c>
      <c r="M72" s="137">
        <v>0</v>
      </c>
      <c r="N72" s="137">
        <v>7</v>
      </c>
      <c r="O72" s="137">
        <v>9</v>
      </c>
      <c r="P72" s="137">
        <v>500</v>
      </c>
      <c r="Q72" s="137">
        <v>30</v>
      </c>
      <c r="R72" s="137">
        <v>21</v>
      </c>
      <c r="S72" s="137">
        <v>17.5</v>
      </c>
      <c r="T72" s="159">
        <v>33227</v>
      </c>
      <c r="U72" s="137">
        <v>30.32</v>
      </c>
      <c r="V72" s="137">
        <v>1</v>
      </c>
      <c r="W72" s="137">
        <v>1</v>
      </c>
      <c r="X72" s="137">
        <v>1</v>
      </c>
      <c r="Y72" s="137">
        <v>2</v>
      </c>
      <c r="Z72" s="137">
        <v>1</v>
      </c>
      <c r="AA72" s="137">
        <v>1</v>
      </c>
      <c r="AB72" s="137">
        <v>0</v>
      </c>
      <c r="AC72" s="137">
        <v>0</v>
      </c>
      <c r="AD72" s="137">
        <v>0</v>
      </c>
      <c r="AE72" s="137">
        <v>0</v>
      </c>
      <c r="AF72" s="137">
        <v>0</v>
      </c>
      <c r="AG72" s="137">
        <v>0</v>
      </c>
      <c r="AH72" s="137">
        <v>1</v>
      </c>
      <c r="AI72" s="137">
        <v>0</v>
      </c>
      <c r="AJ72" s="137">
        <v>0</v>
      </c>
      <c r="AK72" s="137">
        <v>0</v>
      </c>
      <c r="AL72" s="137">
        <v>0</v>
      </c>
      <c r="AM72" s="137">
        <v>0</v>
      </c>
      <c r="AN72" s="137">
        <v>0</v>
      </c>
      <c r="AO72" s="137">
        <v>0</v>
      </c>
      <c r="AP72" s="137">
        <v>0</v>
      </c>
      <c r="AQ72" s="137">
        <v>0</v>
      </c>
      <c r="AR72" s="137" t="s">
        <v>954</v>
      </c>
      <c r="AS72" s="137">
        <v>1</v>
      </c>
      <c r="AT72" s="137">
        <v>0</v>
      </c>
      <c r="AU72" s="137">
        <v>1</v>
      </c>
      <c r="AV72" s="137">
        <v>0</v>
      </c>
      <c r="AW72" s="137">
        <v>0</v>
      </c>
      <c r="AX72" s="137">
        <v>0</v>
      </c>
      <c r="AY72" s="137">
        <v>1</v>
      </c>
      <c r="AZ72" s="137">
        <v>0</v>
      </c>
      <c r="BA72" s="137">
        <v>1</v>
      </c>
      <c r="BB72" s="137">
        <v>0</v>
      </c>
      <c r="BC72" s="137">
        <v>0</v>
      </c>
      <c r="BD72" s="137">
        <v>0</v>
      </c>
      <c r="BE72" s="137">
        <v>0</v>
      </c>
      <c r="BF72" s="137">
        <v>0</v>
      </c>
      <c r="BG72" s="137">
        <v>0</v>
      </c>
      <c r="BH72" s="137">
        <v>1</v>
      </c>
      <c r="BI72" s="137">
        <v>0</v>
      </c>
      <c r="BJ72" s="137">
        <v>0</v>
      </c>
      <c r="BK72" s="137">
        <v>1</v>
      </c>
      <c r="BL72" s="137">
        <v>0</v>
      </c>
      <c r="BM72" s="137">
        <v>1</v>
      </c>
      <c r="BN72" s="137">
        <v>0</v>
      </c>
      <c r="BO72" s="137">
        <v>0</v>
      </c>
      <c r="BP72" s="137">
        <v>0</v>
      </c>
      <c r="BQ72" s="137">
        <v>0</v>
      </c>
      <c r="BR72" s="137">
        <v>1</v>
      </c>
      <c r="BS72" s="137">
        <v>0</v>
      </c>
      <c r="BT72" s="137">
        <v>1</v>
      </c>
      <c r="BU72" s="137">
        <v>0</v>
      </c>
      <c r="BV72" s="137">
        <v>0</v>
      </c>
      <c r="BW72" s="137">
        <v>0</v>
      </c>
      <c r="BX72" s="137">
        <v>0</v>
      </c>
      <c r="BY72" s="137">
        <v>0</v>
      </c>
      <c r="BZ72" s="137">
        <v>1</v>
      </c>
      <c r="CA72" s="137" t="s">
        <v>1175</v>
      </c>
      <c r="CB72" s="137">
        <v>1</v>
      </c>
      <c r="CC72" s="161" t="s">
        <v>1057</v>
      </c>
      <c r="CD72" s="137">
        <v>1</v>
      </c>
      <c r="CE72" s="137" t="s">
        <v>1176</v>
      </c>
      <c r="CF72" s="137" t="s">
        <v>1177</v>
      </c>
      <c r="CG72" s="137">
        <v>1</v>
      </c>
      <c r="CH72" s="161" t="s">
        <v>1044</v>
      </c>
      <c r="CI72" s="137">
        <v>0</v>
      </c>
      <c r="CJ72" s="137" t="s">
        <v>947</v>
      </c>
      <c r="CK72" s="137" t="s">
        <v>947</v>
      </c>
      <c r="CL72" s="137">
        <v>1</v>
      </c>
      <c r="CM72" s="161" t="s">
        <v>1044</v>
      </c>
      <c r="CN72" s="161" t="s">
        <v>1178</v>
      </c>
      <c r="CO72" s="161" t="s">
        <v>1060</v>
      </c>
      <c r="CP72" s="161" t="s">
        <v>1044</v>
      </c>
      <c r="CQ72" s="161" t="s">
        <v>1097</v>
      </c>
      <c r="CR72" s="137">
        <v>0</v>
      </c>
      <c r="CS72" s="137" t="s">
        <v>947</v>
      </c>
      <c r="CT72" s="137" t="s">
        <v>947</v>
      </c>
      <c r="CU72" s="137">
        <v>1</v>
      </c>
      <c r="CV72" s="137" t="s">
        <v>1179</v>
      </c>
      <c r="CW72" s="161" t="s">
        <v>1180</v>
      </c>
      <c r="CX72" s="161"/>
      <c r="CY72" s="161" t="s">
        <v>994</v>
      </c>
      <c r="CZ72" s="137">
        <v>2</v>
      </c>
      <c r="DA72" s="137"/>
      <c r="DB72" s="152"/>
    </row>
    <row r="73" spans="1:106" ht="16">
      <c r="A73" s="1" t="s">
        <v>333</v>
      </c>
      <c r="B73" s="137">
        <v>22105672</v>
      </c>
      <c r="C73" s="161" t="s">
        <v>1181</v>
      </c>
      <c r="D73" s="159">
        <v>44498</v>
      </c>
      <c r="E73" s="137">
        <v>64.900000000000006</v>
      </c>
      <c r="F73" s="137">
        <v>6.2</v>
      </c>
      <c r="G73" s="137">
        <v>14.72</v>
      </c>
      <c r="H73" s="137">
        <v>41.6</v>
      </c>
      <c r="I73" s="137">
        <v>28</v>
      </c>
      <c r="J73" s="137">
        <v>0</v>
      </c>
      <c r="K73" s="137">
        <v>1</v>
      </c>
      <c r="L73" s="137">
        <v>2</v>
      </c>
      <c r="M73" s="137">
        <v>0</v>
      </c>
      <c r="N73" s="137">
        <v>4</v>
      </c>
      <c r="O73" s="137">
        <v>7</v>
      </c>
      <c r="P73" s="137">
        <v>666</v>
      </c>
      <c r="Q73" s="137">
        <v>31</v>
      </c>
      <c r="R73" s="137">
        <v>22.7</v>
      </c>
      <c r="S73" s="137">
        <v>20</v>
      </c>
      <c r="T73" s="159">
        <v>30841</v>
      </c>
      <c r="U73" s="137">
        <v>36.39</v>
      </c>
      <c r="V73" s="137"/>
      <c r="W73" s="137">
        <v>1</v>
      </c>
      <c r="X73" s="137">
        <v>1</v>
      </c>
      <c r="Y73" s="137">
        <v>3</v>
      </c>
      <c r="Z73" s="137">
        <v>0</v>
      </c>
      <c r="AA73" s="137">
        <v>1</v>
      </c>
      <c r="AB73" s="137">
        <v>0</v>
      </c>
      <c r="AC73" s="137">
        <v>0</v>
      </c>
      <c r="AD73" s="137">
        <v>0</v>
      </c>
      <c r="AE73" s="137">
        <v>0</v>
      </c>
      <c r="AF73" s="137">
        <v>0</v>
      </c>
      <c r="AG73" s="137">
        <v>0</v>
      </c>
      <c r="AH73" s="137">
        <v>0</v>
      </c>
      <c r="AI73" s="137">
        <v>0</v>
      </c>
      <c r="AJ73" s="137">
        <v>0</v>
      </c>
      <c r="AK73" s="137">
        <v>0</v>
      </c>
      <c r="AL73" s="137">
        <v>0</v>
      </c>
      <c r="AM73" s="137">
        <v>0</v>
      </c>
      <c r="AN73" s="137">
        <v>0</v>
      </c>
      <c r="AO73" s="137">
        <v>0</v>
      </c>
      <c r="AP73" s="137">
        <v>0</v>
      </c>
      <c r="AQ73" s="137">
        <v>0</v>
      </c>
      <c r="AR73" s="137">
        <v>1</v>
      </c>
      <c r="AS73" s="137">
        <v>0</v>
      </c>
      <c r="AT73" s="137">
        <v>0</v>
      </c>
      <c r="AU73" s="137">
        <v>0</v>
      </c>
      <c r="AV73" s="137">
        <v>0</v>
      </c>
      <c r="AW73" s="137">
        <v>0</v>
      </c>
      <c r="AX73" s="137">
        <v>0</v>
      </c>
      <c r="AY73" s="137">
        <v>0</v>
      </c>
      <c r="AZ73" s="137">
        <v>0</v>
      </c>
      <c r="BA73" s="137">
        <v>0</v>
      </c>
      <c r="BB73" s="137">
        <v>0</v>
      </c>
      <c r="BC73" s="137">
        <v>0</v>
      </c>
      <c r="BD73" s="137">
        <v>0</v>
      </c>
      <c r="BE73" s="137">
        <v>0</v>
      </c>
      <c r="BF73" s="137">
        <v>0</v>
      </c>
      <c r="BG73" s="137">
        <v>0</v>
      </c>
      <c r="BH73" s="137">
        <v>0</v>
      </c>
      <c r="BI73" s="137">
        <v>0</v>
      </c>
      <c r="BJ73" s="137">
        <v>0</v>
      </c>
      <c r="BK73" s="137">
        <v>1</v>
      </c>
      <c r="BL73" s="137">
        <v>1</v>
      </c>
      <c r="BM73" s="137">
        <v>0</v>
      </c>
      <c r="BN73" s="137">
        <v>0</v>
      </c>
      <c r="BO73" s="137">
        <v>0</v>
      </c>
      <c r="BP73" s="137">
        <v>0</v>
      </c>
      <c r="BQ73" s="137">
        <v>1</v>
      </c>
      <c r="BR73" s="137">
        <v>0</v>
      </c>
      <c r="BS73" s="137">
        <v>0</v>
      </c>
      <c r="BT73" s="137">
        <v>1</v>
      </c>
      <c r="BU73" s="137">
        <v>0</v>
      </c>
      <c r="BV73" s="161" t="s">
        <v>1182</v>
      </c>
      <c r="BW73" s="137">
        <v>0</v>
      </c>
      <c r="BX73" s="137">
        <v>0</v>
      </c>
      <c r="BY73" s="137">
        <v>0</v>
      </c>
      <c r="BZ73" s="137">
        <v>1</v>
      </c>
      <c r="CA73" s="137" t="s">
        <v>1183</v>
      </c>
      <c r="CB73" s="137">
        <v>1</v>
      </c>
      <c r="CC73" s="161" t="s">
        <v>1057</v>
      </c>
      <c r="CD73" s="137">
        <v>1</v>
      </c>
      <c r="CE73" s="137" t="s">
        <v>950</v>
      </c>
      <c r="CF73" s="161" t="s">
        <v>1184</v>
      </c>
      <c r="CG73" s="137">
        <v>1</v>
      </c>
      <c r="CH73" s="137" t="s">
        <v>960</v>
      </c>
      <c r="CI73" s="137">
        <v>1</v>
      </c>
      <c r="CJ73" s="137" t="s">
        <v>1185</v>
      </c>
      <c r="CK73" s="161" t="s">
        <v>1186</v>
      </c>
      <c r="CL73" s="137">
        <v>0</v>
      </c>
      <c r="CM73" s="137" t="s">
        <v>947</v>
      </c>
      <c r="CN73" s="137" t="s">
        <v>947</v>
      </c>
      <c r="CO73" s="161" t="s">
        <v>1086</v>
      </c>
      <c r="CP73" s="137" t="s">
        <v>950</v>
      </c>
      <c r="CQ73" s="161" t="s">
        <v>993</v>
      </c>
      <c r="CR73" s="137">
        <v>0</v>
      </c>
      <c r="CS73" s="137" t="s">
        <v>947</v>
      </c>
      <c r="CT73" s="137" t="s">
        <v>947</v>
      </c>
      <c r="CU73" s="137">
        <v>0</v>
      </c>
      <c r="CV73" s="137" t="s">
        <v>947</v>
      </c>
      <c r="CW73" s="137" t="s">
        <v>947</v>
      </c>
      <c r="CX73" s="137">
        <v>1</v>
      </c>
      <c r="CY73" s="137" t="s">
        <v>1187</v>
      </c>
      <c r="CZ73" s="137">
        <v>2</v>
      </c>
      <c r="DA73" s="137"/>
      <c r="DB73" s="152"/>
    </row>
    <row r="74" spans="1:106" s="127" customFormat="1" ht="16">
      <c r="A74" s="123" t="s">
        <v>337</v>
      </c>
      <c r="B74" s="165">
        <v>22108394</v>
      </c>
      <c r="C74" s="166" t="s">
        <v>1188</v>
      </c>
      <c r="D74" s="167"/>
      <c r="E74" s="167"/>
      <c r="F74" s="167"/>
      <c r="G74" s="167" t="s">
        <v>1067</v>
      </c>
      <c r="H74" s="167"/>
      <c r="I74" s="167"/>
      <c r="J74" s="167"/>
      <c r="K74" s="167"/>
      <c r="L74" s="167"/>
      <c r="M74" s="167"/>
      <c r="N74" s="167"/>
      <c r="O74" s="167"/>
      <c r="P74" s="167"/>
      <c r="Q74" s="167"/>
      <c r="R74" s="167"/>
      <c r="S74" s="167"/>
      <c r="T74" s="167"/>
      <c r="U74" s="167">
        <v>121.56</v>
      </c>
      <c r="V74" s="167"/>
      <c r="W74" s="167"/>
      <c r="X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c r="AZ74" s="167"/>
      <c r="BA74" s="167"/>
      <c r="BB74" s="167"/>
      <c r="BC74" s="167"/>
      <c r="BD74" s="167"/>
      <c r="BE74" s="167"/>
      <c r="BF74" s="167"/>
      <c r="BG74" s="167"/>
      <c r="BH74" s="167"/>
      <c r="BI74" s="167"/>
      <c r="BJ74" s="167"/>
      <c r="BK74" s="167"/>
      <c r="BL74" s="167"/>
      <c r="BM74" s="167"/>
      <c r="BN74" s="167"/>
      <c r="BO74" s="167"/>
      <c r="BP74" s="167"/>
      <c r="BQ74" s="167"/>
      <c r="BR74" s="167"/>
      <c r="BS74" s="167"/>
      <c r="BT74" s="167"/>
      <c r="BU74" s="167"/>
      <c r="BV74" s="167"/>
      <c r="BW74" s="167"/>
      <c r="BX74" s="167"/>
      <c r="BY74" s="167"/>
      <c r="BZ74" s="167"/>
      <c r="CA74" s="167"/>
      <c r="CB74" s="167"/>
      <c r="CC74" s="167"/>
      <c r="CD74" s="167"/>
      <c r="CE74" s="167"/>
      <c r="CF74" s="167"/>
      <c r="CG74" s="167"/>
      <c r="CH74" s="167"/>
      <c r="CI74" s="167"/>
      <c r="CJ74" s="167"/>
      <c r="CK74" s="167"/>
      <c r="CL74" s="167"/>
      <c r="CM74" s="167"/>
      <c r="CN74" s="167"/>
      <c r="CO74" s="167"/>
      <c r="CP74" s="167"/>
      <c r="CQ74" s="167"/>
      <c r="CR74" s="167"/>
      <c r="CS74" s="167"/>
      <c r="CT74" s="167"/>
      <c r="CU74" s="167"/>
      <c r="CV74" s="167"/>
      <c r="CW74" s="167"/>
      <c r="CX74" s="167"/>
      <c r="CY74" s="167"/>
      <c r="CZ74" s="167"/>
      <c r="DA74" s="167"/>
      <c r="DB74" s="169"/>
    </row>
    <row r="75" spans="1:106" s="127" customFormat="1" ht="16">
      <c r="A75" s="123" t="s">
        <v>341</v>
      </c>
      <c r="B75" s="165">
        <v>22108395</v>
      </c>
      <c r="C75" s="166" t="s">
        <v>1189</v>
      </c>
      <c r="D75" s="167"/>
      <c r="E75" s="167"/>
      <c r="F75" s="167"/>
      <c r="G75" s="167" t="s">
        <v>1067</v>
      </c>
      <c r="H75" s="167"/>
      <c r="I75" s="167"/>
      <c r="J75" s="167"/>
      <c r="K75" s="167"/>
      <c r="L75" s="167"/>
      <c r="M75" s="167"/>
      <c r="N75" s="167"/>
      <c r="O75" s="167"/>
      <c r="P75" s="167"/>
      <c r="Q75" s="167"/>
      <c r="R75" s="167"/>
      <c r="S75" s="167"/>
      <c r="T75" s="167"/>
      <c r="U75" s="167">
        <v>121.56</v>
      </c>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7"/>
      <c r="BQ75" s="167"/>
      <c r="BR75" s="167"/>
      <c r="BS75" s="167"/>
      <c r="BT75" s="167"/>
      <c r="BU75" s="167"/>
      <c r="BV75" s="167"/>
      <c r="BW75" s="167"/>
      <c r="BX75" s="167"/>
      <c r="BY75" s="167"/>
      <c r="BZ75" s="167"/>
      <c r="CA75" s="167"/>
      <c r="CB75" s="167"/>
      <c r="CC75" s="167"/>
      <c r="CD75" s="167"/>
      <c r="CE75" s="167"/>
      <c r="CF75" s="167"/>
      <c r="CG75" s="167"/>
      <c r="CH75" s="167"/>
      <c r="CI75" s="167"/>
      <c r="CJ75" s="167"/>
      <c r="CK75" s="167"/>
      <c r="CL75" s="167"/>
      <c r="CM75" s="167"/>
      <c r="CN75" s="167"/>
      <c r="CO75" s="167"/>
      <c r="CP75" s="167"/>
      <c r="CQ75" s="167"/>
      <c r="CR75" s="167"/>
      <c r="CS75" s="167"/>
      <c r="CT75" s="167"/>
      <c r="CU75" s="167"/>
      <c r="CV75" s="167"/>
      <c r="CW75" s="167"/>
      <c r="CX75" s="167"/>
      <c r="CY75" s="167"/>
      <c r="CZ75" s="167"/>
      <c r="DA75" s="167"/>
      <c r="DB75" s="169"/>
    </row>
    <row r="76" spans="1:106" s="114" customFormat="1" ht="16">
      <c r="A76" s="112" t="s">
        <v>344</v>
      </c>
      <c r="B76" s="162">
        <v>21929897</v>
      </c>
      <c r="C76" s="163" t="s">
        <v>1190</v>
      </c>
      <c r="D76" s="176"/>
      <c r="E76" s="176"/>
      <c r="F76" s="176"/>
      <c r="G76" s="176"/>
      <c r="H76" s="176"/>
      <c r="I76" s="176"/>
      <c r="J76" s="176"/>
      <c r="K76" s="176"/>
      <c r="L76" s="176"/>
      <c r="M76" s="176"/>
      <c r="N76" s="176"/>
      <c r="O76" s="176"/>
      <c r="P76" s="176"/>
      <c r="Q76" s="176"/>
      <c r="R76" s="176"/>
      <c r="S76" s="176"/>
      <c r="T76" s="176"/>
      <c r="U76" s="176"/>
      <c r="V76" s="176"/>
      <c r="W76" s="176"/>
      <c r="X76" s="176"/>
      <c r="Y76" s="176"/>
      <c r="Z76" s="176"/>
      <c r="AA76" s="176"/>
      <c r="AB76" s="176"/>
      <c r="AC76" s="176"/>
      <c r="AD76" s="176"/>
      <c r="AE76" s="176"/>
      <c r="AF76" s="176"/>
      <c r="AG76" s="176"/>
      <c r="AH76" s="176"/>
      <c r="AI76" s="176"/>
      <c r="AJ76" s="176"/>
      <c r="AK76" s="176"/>
      <c r="AL76" s="176"/>
      <c r="AM76" s="176"/>
      <c r="AN76" s="176"/>
      <c r="AO76" s="176"/>
      <c r="AP76" s="176"/>
      <c r="AQ76" s="176"/>
      <c r="AR76" s="176"/>
      <c r="AS76" s="176"/>
      <c r="AT76" s="176"/>
      <c r="AU76" s="176"/>
      <c r="AV76" s="176"/>
      <c r="AW76" s="176"/>
      <c r="AX76" s="176"/>
      <c r="AY76" s="176"/>
      <c r="AZ76" s="176"/>
      <c r="BA76" s="176"/>
      <c r="BB76" s="176"/>
      <c r="BC76" s="176"/>
      <c r="BD76" s="176"/>
      <c r="BE76" s="176"/>
      <c r="BF76" s="176"/>
      <c r="BG76" s="176"/>
      <c r="BH76" s="176"/>
      <c r="BI76" s="176"/>
      <c r="BJ76" s="176"/>
      <c r="BK76" s="176"/>
      <c r="BL76" s="176"/>
      <c r="BM76" s="176"/>
      <c r="BN76" s="176"/>
      <c r="BO76" s="176"/>
      <c r="BP76" s="176"/>
      <c r="BQ76" s="176"/>
      <c r="BR76" s="176"/>
      <c r="BS76" s="176"/>
      <c r="BT76" s="176"/>
      <c r="BU76" s="176"/>
      <c r="BV76" s="176"/>
      <c r="BW76" s="176"/>
      <c r="BX76" s="176"/>
      <c r="BY76" s="176"/>
      <c r="BZ76" s="176"/>
      <c r="CA76" s="176"/>
      <c r="CB76" s="176"/>
      <c r="CC76" s="176"/>
      <c r="CD76" s="176"/>
      <c r="CE76" s="176"/>
      <c r="CF76" s="176"/>
      <c r="CG76" s="176"/>
      <c r="CH76" s="176"/>
      <c r="CI76" s="176"/>
      <c r="CJ76" s="176"/>
      <c r="CK76" s="176"/>
      <c r="CL76" s="176"/>
      <c r="CM76" s="176"/>
      <c r="CN76" s="176"/>
      <c r="CO76" s="176"/>
      <c r="CP76" s="176"/>
      <c r="CQ76" s="176"/>
      <c r="CR76" s="176"/>
      <c r="CS76" s="176"/>
      <c r="CT76" s="176"/>
      <c r="CU76" s="176"/>
      <c r="CV76" s="176"/>
      <c r="CW76" s="176"/>
      <c r="CX76" s="176"/>
      <c r="CY76" s="176"/>
      <c r="CZ76" s="176"/>
      <c r="DA76" s="176"/>
      <c r="DB76" s="176"/>
    </row>
    <row r="77" spans="1:106" s="114" customFormat="1" ht="16">
      <c r="A77" s="112" t="s">
        <v>349</v>
      </c>
      <c r="B77" s="162">
        <v>22102403</v>
      </c>
      <c r="C77" s="163" t="s">
        <v>1198</v>
      </c>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176"/>
      <c r="AY77" s="176"/>
      <c r="AZ77" s="176"/>
      <c r="BA77" s="176"/>
      <c r="BB77" s="176"/>
      <c r="BC77" s="176"/>
      <c r="BD77" s="176"/>
      <c r="BE77" s="176"/>
      <c r="BF77" s="176"/>
      <c r="BG77" s="176"/>
      <c r="BH77" s="176"/>
      <c r="BI77" s="176"/>
      <c r="BJ77" s="176"/>
      <c r="BK77" s="176"/>
      <c r="BL77" s="176"/>
      <c r="BM77" s="176"/>
      <c r="BN77" s="176"/>
      <c r="BO77" s="176"/>
      <c r="BP77" s="176"/>
      <c r="BQ77" s="176"/>
      <c r="BR77" s="176"/>
      <c r="BS77" s="176"/>
      <c r="BT77" s="176"/>
      <c r="BU77" s="176"/>
      <c r="BV77" s="176"/>
      <c r="BW77" s="176"/>
      <c r="BX77" s="176"/>
      <c r="BY77" s="176"/>
      <c r="BZ77" s="176"/>
      <c r="CA77" s="176"/>
      <c r="CB77" s="176"/>
      <c r="CC77" s="176"/>
      <c r="CD77" s="176"/>
      <c r="CE77" s="176"/>
      <c r="CF77" s="176"/>
      <c r="CG77" s="176"/>
      <c r="CH77" s="176"/>
      <c r="CI77" s="176"/>
      <c r="CJ77" s="176"/>
      <c r="CK77" s="176"/>
      <c r="CL77" s="176"/>
      <c r="CM77" s="176"/>
      <c r="CN77" s="176"/>
      <c r="CO77" s="176"/>
      <c r="CP77" s="176"/>
      <c r="CQ77" s="176"/>
      <c r="CR77" s="176"/>
      <c r="CS77" s="176"/>
      <c r="CT77" s="176"/>
      <c r="CU77" s="176"/>
      <c r="CV77" s="176"/>
      <c r="CW77" s="176"/>
      <c r="CX77" s="176"/>
      <c r="CY77" s="176"/>
      <c r="CZ77" s="176"/>
      <c r="DA77" s="176"/>
      <c r="DB77" s="176"/>
    </row>
    <row r="78" spans="1:106" ht="16">
      <c r="A78" s="1" t="s">
        <v>353</v>
      </c>
      <c r="B78" s="1">
        <v>22107823</v>
      </c>
      <c r="C78" s="1" t="s">
        <v>354</v>
      </c>
      <c r="D78" s="5">
        <v>44628</v>
      </c>
      <c r="E78" s="1">
        <v>65.099999999999994</v>
      </c>
      <c r="F78" s="1">
        <v>7</v>
      </c>
      <c r="G78" s="1">
        <f>F78/(E78/100)^2</f>
        <v>16.517186132170529</v>
      </c>
      <c r="H78" s="1">
        <v>42</v>
      </c>
      <c r="I78" s="1">
        <v>30</v>
      </c>
      <c r="J78" s="1">
        <v>5</v>
      </c>
      <c r="K78" s="1">
        <v>1</v>
      </c>
      <c r="L78" s="1">
        <v>2</v>
      </c>
      <c r="M78" s="1">
        <v>0</v>
      </c>
      <c r="N78" s="1">
        <v>7</v>
      </c>
      <c r="O78" s="1">
        <v>9</v>
      </c>
      <c r="P78" s="1">
        <v>1610</v>
      </c>
      <c r="Q78" s="1">
        <v>40</v>
      </c>
      <c r="R78" s="1">
        <v>29.5</v>
      </c>
      <c r="S78" s="1">
        <v>26</v>
      </c>
      <c r="T78" s="5">
        <v>31996</v>
      </c>
      <c r="U78" s="1">
        <v>33.79</v>
      </c>
      <c r="V78" s="1">
        <v>0</v>
      </c>
      <c r="W78" s="1">
        <v>1</v>
      </c>
      <c r="X78" s="1">
        <v>0</v>
      </c>
      <c r="Y78" s="1">
        <v>1</v>
      </c>
      <c r="Z78" s="1">
        <v>0</v>
      </c>
      <c r="AA78" s="1">
        <v>0</v>
      </c>
      <c r="AB78" s="1">
        <v>0</v>
      </c>
      <c r="AC78" s="1">
        <v>0</v>
      </c>
      <c r="AD78" s="1">
        <v>0</v>
      </c>
      <c r="AE78" s="1">
        <v>1</v>
      </c>
      <c r="AF78" s="1">
        <v>0</v>
      </c>
      <c r="AG78" s="1">
        <v>0</v>
      </c>
      <c r="AH78" s="1">
        <v>1</v>
      </c>
      <c r="AI78" s="1">
        <v>0</v>
      </c>
      <c r="AJ78" s="1">
        <v>0</v>
      </c>
      <c r="AK78" s="1">
        <v>0</v>
      </c>
      <c r="AL78" s="1">
        <v>0</v>
      </c>
      <c r="AM78" s="1">
        <v>0</v>
      </c>
      <c r="AN78" s="1">
        <v>0</v>
      </c>
      <c r="AO78" s="1">
        <v>0</v>
      </c>
      <c r="AP78" s="1">
        <v>0</v>
      </c>
      <c r="AQ78" s="1">
        <v>0</v>
      </c>
      <c r="AR78" s="1">
        <v>1</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1</v>
      </c>
      <c r="BL78" s="1">
        <v>0</v>
      </c>
      <c r="BM78" s="1">
        <v>0</v>
      </c>
      <c r="BN78" s="1">
        <v>0</v>
      </c>
      <c r="BO78" s="1">
        <v>0</v>
      </c>
      <c r="BP78" s="1">
        <v>0</v>
      </c>
      <c r="BQ78" s="1">
        <v>0</v>
      </c>
      <c r="BR78" s="1">
        <v>1</v>
      </c>
      <c r="BS78" s="1">
        <v>0</v>
      </c>
      <c r="BT78" s="1">
        <v>0</v>
      </c>
      <c r="BU78" s="1">
        <v>0</v>
      </c>
      <c r="BV78" s="1">
        <v>0</v>
      </c>
      <c r="BW78" s="1">
        <v>0</v>
      </c>
      <c r="BX78" s="1">
        <v>0</v>
      </c>
      <c r="BY78" s="1">
        <v>0</v>
      </c>
      <c r="BZ78" s="1">
        <v>0</v>
      </c>
      <c r="CA78" s="1" t="s">
        <v>18</v>
      </c>
      <c r="CB78" s="1">
        <v>0</v>
      </c>
      <c r="CC78" s="1" t="s">
        <v>18</v>
      </c>
      <c r="CD78" s="1">
        <v>1</v>
      </c>
      <c r="CE78" s="1" t="s">
        <v>1887</v>
      </c>
      <c r="CF78" s="1" t="s">
        <v>2071</v>
      </c>
      <c r="CG78" s="1">
        <v>1</v>
      </c>
      <c r="CH78" s="14" t="s">
        <v>2072</v>
      </c>
      <c r="CI78" s="1">
        <v>0</v>
      </c>
      <c r="CJ78" s="1" t="s">
        <v>18</v>
      </c>
      <c r="CK78" s="1" t="s">
        <v>18</v>
      </c>
      <c r="CL78" s="1">
        <v>1</v>
      </c>
      <c r="CM78" s="14" t="s">
        <v>2073</v>
      </c>
      <c r="CN78" s="14" t="s">
        <v>2074</v>
      </c>
      <c r="CO78" s="14" t="s">
        <v>2075</v>
      </c>
      <c r="CP78" s="14" t="s">
        <v>2076</v>
      </c>
      <c r="CQ78" s="14" t="s">
        <v>2077</v>
      </c>
      <c r="CR78" s="1">
        <v>0</v>
      </c>
      <c r="CS78" s="1" t="s">
        <v>18</v>
      </c>
      <c r="CT78" s="1" t="s">
        <v>18</v>
      </c>
      <c r="CU78" s="1">
        <v>0</v>
      </c>
      <c r="CV78" s="1" t="s">
        <v>18</v>
      </c>
      <c r="CW78" s="1" t="s">
        <v>18</v>
      </c>
      <c r="CX78" s="1">
        <v>1</v>
      </c>
      <c r="CY78" s="5">
        <v>44577</v>
      </c>
      <c r="CZ78" s="1">
        <v>2</v>
      </c>
      <c r="DA78" s="1"/>
    </row>
    <row r="79" spans="1:106" ht="16">
      <c r="A79" s="1" t="s">
        <v>357</v>
      </c>
      <c r="B79" s="1">
        <v>4998396</v>
      </c>
      <c r="C79" s="1" t="s">
        <v>358</v>
      </c>
      <c r="D79" s="5">
        <v>44462</v>
      </c>
      <c r="E79" s="1">
        <v>65.7</v>
      </c>
      <c r="F79" s="1">
        <v>6.9</v>
      </c>
      <c r="G79" s="1">
        <f>F79/(E79/100)^2</f>
        <v>15.985210205514202</v>
      </c>
      <c r="H79" s="1">
        <v>40.6</v>
      </c>
      <c r="I79" s="1">
        <v>38</v>
      </c>
      <c r="J79" s="1">
        <v>6</v>
      </c>
      <c r="K79" s="1">
        <v>0</v>
      </c>
      <c r="L79" s="1">
        <v>2</v>
      </c>
      <c r="M79" s="1">
        <v>0</v>
      </c>
      <c r="N79" s="1">
        <v>9</v>
      </c>
      <c r="O79" s="1">
        <v>10</v>
      </c>
      <c r="P79" s="1">
        <v>3080</v>
      </c>
      <c r="Q79" s="1">
        <v>50.5</v>
      </c>
      <c r="R79" s="1">
        <v>33.5</v>
      </c>
      <c r="S79" s="1">
        <v>31.5</v>
      </c>
      <c r="T79" s="5">
        <v>31373</v>
      </c>
      <c r="U79" s="1">
        <v>35.29</v>
      </c>
      <c r="V79" s="1">
        <v>2</v>
      </c>
      <c r="W79" s="1">
        <v>0</v>
      </c>
      <c r="X79" s="1">
        <v>1</v>
      </c>
      <c r="Y79" s="1">
        <v>2</v>
      </c>
      <c r="Z79" s="1">
        <v>0</v>
      </c>
      <c r="AA79" s="1">
        <v>0</v>
      </c>
      <c r="AB79" s="1">
        <v>1</v>
      </c>
      <c r="AC79" s="1">
        <v>0</v>
      </c>
      <c r="AD79" s="1">
        <v>0</v>
      </c>
      <c r="AE79" s="1">
        <v>0</v>
      </c>
      <c r="AF79" s="1">
        <v>0</v>
      </c>
      <c r="AG79" s="1">
        <v>0</v>
      </c>
      <c r="AH79" s="1">
        <v>0</v>
      </c>
      <c r="AI79" s="1">
        <v>0</v>
      </c>
      <c r="AJ79" s="1">
        <v>0</v>
      </c>
      <c r="AK79" s="1">
        <v>0</v>
      </c>
      <c r="AL79" s="1">
        <v>0</v>
      </c>
      <c r="AM79" s="1">
        <v>0</v>
      </c>
      <c r="AN79" s="1">
        <v>0</v>
      </c>
      <c r="AO79" s="1">
        <v>0</v>
      </c>
      <c r="AP79" s="1">
        <v>0</v>
      </c>
      <c r="AQ79" s="1">
        <v>0</v>
      </c>
      <c r="AR79" s="1">
        <v>2</v>
      </c>
      <c r="AS79" s="1">
        <v>0</v>
      </c>
      <c r="AT79" s="1">
        <v>0</v>
      </c>
      <c r="AU79" s="1">
        <v>0</v>
      </c>
      <c r="AV79" s="1">
        <v>0</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1</v>
      </c>
      <c r="CA79" s="1" t="s">
        <v>1887</v>
      </c>
      <c r="CB79" s="1">
        <v>0</v>
      </c>
      <c r="CC79" s="1" t="s">
        <v>18</v>
      </c>
      <c r="CD79" s="1">
        <v>0</v>
      </c>
      <c r="CE79" s="1" t="s">
        <v>18</v>
      </c>
      <c r="CF79" s="1" t="s">
        <v>18</v>
      </c>
      <c r="CG79" s="1">
        <v>0</v>
      </c>
      <c r="CH79" s="1" t="s">
        <v>18</v>
      </c>
      <c r="CI79" s="1">
        <v>1</v>
      </c>
      <c r="CJ79" s="1" t="s">
        <v>2078</v>
      </c>
      <c r="CK79" s="1" t="s">
        <v>1981</v>
      </c>
      <c r="CL79" s="1">
        <v>1</v>
      </c>
      <c r="CM79" s="1" t="s">
        <v>2078</v>
      </c>
      <c r="CN79" s="1" t="s">
        <v>1981</v>
      </c>
      <c r="CO79" s="1">
        <v>0</v>
      </c>
      <c r="CP79" s="1" t="s">
        <v>18</v>
      </c>
      <c r="CQ79" s="1" t="s">
        <v>18</v>
      </c>
      <c r="CR79" s="1">
        <v>0</v>
      </c>
      <c r="CS79" s="1" t="s">
        <v>18</v>
      </c>
      <c r="CT79" s="1" t="s">
        <v>18</v>
      </c>
      <c r="CU79" s="1">
        <v>0</v>
      </c>
      <c r="CV79" s="1" t="s">
        <v>18</v>
      </c>
      <c r="CW79" s="1" t="s">
        <v>18</v>
      </c>
      <c r="CX79" s="1">
        <v>1</v>
      </c>
      <c r="CY79" s="5">
        <v>44390</v>
      </c>
      <c r="CZ79" s="1">
        <v>2</v>
      </c>
      <c r="DA79" s="1"/>
    </row>
    <row r="80" spans="1:106" ht="16">
      <c r="A80" s="1" t="s">
        <v>359</v>
      </c>
      <c r="B80" s="1">
        <v>22270695</v>
      </c>
      <c r="C80" s="1" t="s">
        <v>360</v>
      </c>
      <c r="D80" s="5">
        <v>44498</v>
      </c>
      <c r="E80" s="1">
        <v>69.099999999999994</v>
      </c>
      <c r="F80" s="1">
        <v>7.9</v>
      </c>
      <c r="G80" s="1">
        <f>F80/(E80/100)^2</f>
        <v>16.545160959284246</v>
      </c>
      <c r="H80" s="1">
        <v>43</v>
      </c>
      <c r="I80" s="1">
        <v>26</v>
      </c>
      <c r="J80" s="1">
        <v>0</v>
      </c>
      <c r="K80" s="1">
        <v>1</v>
      </c>
      <c r="L80" s="1">
        <v>2</v>
      </c>
      <c r="M80" s="1">
        <v>0</v>
      </c>
      <c r="N80" s="1">
        <v>1</v>
      </c>
      <c r="O80" s="1">
        <v>5</v>
      </c>
      <c r="P80" s="1">
        <v>925</v>
      </c>
      <c r="Q80" s="1">
        <v>34</v>
      </c>
      <c r="R80" s="1">
        <v>24</v>
      </c>
      <c r="S80" s="1">
        <v>22</v>
      </c>
      <c r="T80" s="5">
        <v>32809</v>
      </c>
      <c r="U80" s="1">
        <v>31.26</v>
      </c>
      <c r="V80" s="1">
        <v>0</v>
      </c>
      <c r="W80" s="1">
        <v>1</v>
      </c>
      <c r="X80" s="1">
        <v>0</v>
      </c>
      <c r="Y80" s="1">
        <v>1</v>
      </c>
      <c r="Z80" s="1">
        <v>0</v>
      </c>
      <c r="AA80" s="1">
        <v>0</v>
      </c>
      <c r="AB80" s="1">
        <v>0</v>
      </c>
      <c r="AC80" s="1">
        <v>0</v>
      </c>
      <c r="AD80" s="1">
        <v>0</v>
      </c>
      <c r="AE80" s="1">
        <v>1</v>
      </c>
      <c r="AF80" s="1">
        <v>0</v>
      </c>
      <c r="AG80" s="1">
        <v>0</v>
      </c>
      <c r="AH80" s="1">
        <v>1</v>
      </c>
      <c r="AI80" s="1">
        <v>0</v>
      </c>
      <c r="AJ80" s="1">
        <v>0</v>
      </c>
      <c r="AK80" s="1">
        <v>0</v>
      </c>
      <c r="AL80" s="1">
        <v>0</v>
      </c>
      <c r="AM80" s="1">
        <v>0</v>
      </c>
      <c r="AN80" s="1">
        <v>0</v>
      </c>
      <c r="AO80" s="1">
        <v>0</v>
      </c>
      <c r="AP80" s="1">
        <v>0</v>
      </c>
      <c r="AQ80" s="1">
        <v>0</v>
      </c>
      <c r="AR80" s="1">
        <v>1</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1</v>
      </c>
      <c r="BL80" s="1">
        <v>0</v>
      </c>
      <c r="BM80" s="1">
        <v>1</v>
      </c>
      <c r="BN80" s="1">
        <v>0</v>
      </c>
      <c r="BO80" s="1">
        <v>0</v>
      </c>
      <c r="BP80" s="1">
        <v>1</v>
      </c>
      <c r="BQ80" s="1">
        <v>1</v>
      </c>
      <c r="BR80" s="1">
        <v>0</v>
      </c>
      <c r="BS80" s="1">
        <v>0</v>
      </c>
      <c r="BT80" s="1">
        <v>1</v>
      </c>
      <c r="BU80" s="1">
        <v>0</v>
      </c>
      <c r="BV80" s="1">
        <v>0</v>
      </c>
      <c r="BW80" s="1">
        <v>0</v>
      </c>
      <c r="BX80" s="1">
        <v>0</v>
      </c>
      <c r="BY80" s="1">
        <v>0</v>
      </c>
      <c r="BZ80" s="1">
        <v>1</v>
      </c>
      <c r="CA80" s="1" t="s">
        <v>2079</v>
      </c>
      <c r="CB80" s="1">
        <v>1</v>
      </c>
      <c r="CC80" s="1" t="s">
        <v>1899</v>
      </c>
      <c r="CD80" s="1">
        <v>1</v>
      </c>
      <c r="CE80" s="1" t="s">
        <v>2080</v>
      </c>
      <c r="CF80" s="1" t="s">
        <v>2081</v>
      </c>
      <c r="CG80" s="1">
        <v>1</v>
      </c>
      <c r="CH80" s="1" t="s">
        <v>2021</v>
      </c>
      <c r="CI80" s="1">
        <v>1</v>
      </c>
      <c r="CJ80" s="1" t="s">
        <v>2021</v>
      </c>
      <c r="CK80" s="1" t="s">
        <v>1981</v>
      </c>
      <c r="CL80" s="1">
        <v>1</v>
      </c>
      <c r="CM80" s="1" t="s">
        <v>2021</v>
      </c>
      <c r="CN80" s="1" t="s">
        <v>1981</v>
      </c>
      <c r="CO80" s="1" t="s">
        <v>1902</v>
      </c>
      <c r="CP80" s="1" t="s">
        <v>2082</v>
      </c>
      <c r="CQ80" s="1" t="s">
        <v>2083</v>
      </c>
      <c r="CR80" s="1">
        <v>0</v>
      </c>
      <c r="CS80" s="1" t="s">
        <v>18</v>
      </c>
      <c r="CT80" s="1" t="s">
        <v>18</v>
      </c>
      <c r="CU80" s="1">
        <v>1</v>
      </c>
      <c r="CV80" s="1" t="s">
        <v>2084</v>
      </c>
      <c r="CW80" s="1" t="s">
        <v>2085</v>
      </c>
      <c r="CX80" s="1">
        <v>1</v>
      </c>
      <c r="CY80" s="1" t="s">
        <v>2086</v>
      </c>
      <c r="CZ80" s="1">
        <v>2</v>
      </c>
      <c r="DA80" s="1"/>
    </row>
    <row r="81" spans="1:106" ht="16">
      <c r="A81" s="1" t="s">
        <v>363</v>
      </c>
      <c r="B81" s="137">
        <v>22107485</v>
      </c>
      <c r="C81" s="137" t="s">
        <v>364</v>
      </c>
      <c r="D81" s="159">
        <v>44545</v>
      </c>
      <c r="E81" s="137">
        <v>68.400000000000006</v>
      </c>
      <c r="F81" s="137">
        <v>9</v>
      </c>
      <c r="G81" s="137">
        <v>19.239999999999998</v>
      </c>
      <c r="H81" s="137">
        <v>44</v>
      </c>
      <c r="I81" s="137">
        <v>30</v>
      </c>
      <c r="J81" s="137">
        <v>6</v>
      </c>
      <c r="K81" s="137">
        <v>1</v>
      </c>
      <c r="L81" s="137">
        <v>2</v>
      </c>
      <c r="M81" s="137">
        <v>0</v>
      </c>
      <c r="N81" s="137">
        <v>6</v>
      </c>
      <c r="O81" s="137">
        <v>8</v>
      </c>
      <c r="P81" s="137">
        <v>1460</v>
      </c>
      <c r="Q81" s="137">
        <v>39</v>
      </c>
      <c r="R81" s="137">
        <v>29</v>
      </c>
      <c r="S81" s="137">
        <v>27</v>
      </c>
      <c r="T81" s="159">
        <v>34040</v>
      </c>
      <c r="U81" s="137">
        <v>28.1</v>
      </c>
      <c r="V81" s="137">
        <v>0</v>
      </c>
      <c r="W81" s="137">
        <v>1</v>
      </c>
      <c r="X81" s="137">
        <v>1</v>
      </c>
      <c r="Y81" s="137">
        <v>2</v>
      </c>
      <c r="Z81" s="137">
        <v>1</v>
      </c>
      <c r="AA81" s="137">
        <v>0</v>
      </c>
      <c r="AB81" s="137">
        <v>1</v>
      </c>
      <c r="AC81" s="137">
        <v>1</v>
      </c>
      <c r="AD81" s="137">
        <v>0</v>
      </c>
      <c r="AE81" s="137">
        <v>0</v>
      </c>
      <c r="AF81" s="137">
        <v>1</v>
      </c>
      <c r="AG81" s="137">
        <v>1</v>
      </c>
      <c r="AH81" s="137">
        <v>0</v>
      </c>
      <c r="AI81" s="137">
        <v>1</v>
      </c>
      <c r="AJ81" s="137">
        <v>0</v>
      </c>
      <c r="AK81" s="137">
        <v>0</v>
      </c>
      <c r="AL81" s="137">
        <v>0</v>
      </c>
      <c r="AM81" s="137">
        <v>0</v>
      </c>
      <c r="AN81" s="137">
        <v>1</v>
      </c>
      <c r="AO81" s="178" t="s">
        <v>1206</v>
      </c>
      <c r="AP81" s="137">
        <v>0</v>
      </c>
      <c r="AQ81" s="137">
        <v>0</v>
      </c>
      <c r="AR81" s="137">
        <v>1</v>
      </c>
      <c r="AS81" s="137">
        <v>0</v>
      </c>
      <c r="AT81" s="137">
        <v>0</v>
      </c>
      <c r="AU81" s="137">
        <v>0</v>
      </c>
      <c r="AV81" s="137">
        <v>0</v>
      </c>
      <c r="AW81" s="137">
        <v>0</v>
      </c>
      <c r="AX81" s="137">
        <v>0</v>
      </c>
      <c r="AY81" s="137">
        <v>0</v>
      </c>
      <c r="AZ81" s="137">
        <v>0</v>
      </c>
      <c r="BA81" s="137">
        <v>0</v>
      </c>
      <c r="BB81" s="137">
        <v>0</v>
      </c>
      <c r="BC81" s="137">
        <v>0</v>
      </c>
      <c r="BD81" s="137">
        <v>0</v>
      </c>
      <c r="BE81" s="137">
        <v>0</v>
      </c>
      <c r="BF81" s="137">
        <v>0</v>
      </c>
      <c r="BG81" s="137">
        <v>0</v>
      </c>
      <c r="BH81" s="137">
        <v>0</v>
      </c>
      <c r="BI81" s="137">
        <v>0</v>
      </c>
      <c r="BJ81" s="137">
        <v>0</v>
      </c>
      <c r="BK81" s="137">
        <v>1</v>
      </c>
      <c r="BL81" s="137">
        <v>1</v>
      </c>
      <c r="BM81" s="137">
        <v>0</v>
      </c>
      <c r="BN81" s="137">
        <v>0</v>
      </c>
      <c r="BO81" s="137">
        <v>0</v>
      </c>
      <c r="BP81" s="137">
        <v>0</v>
      </c>
      <c r="BQ81" s="137">
        <v>1</v>
      </c>
      <c r="BR81" s="137">
        <v>0</v>
      </c>
      <c r="BS81" s="137">
        <v>0</v>
      </c>
      <c r="BT81" s="137">
        <v>0</v>
      </c>
      <c r="BU81" s="137">
        <v>0</v>
      </c>
      <c r="BV81" s="137">
        <v>0</v>
      </c>
      <c r="BW81" s="137">
        <v>0</v>
      </c>
      <c r="BX81" s="137">
        <v>0</v>
      </c>
      <c r="BY81" s="137">
        <v>0</v>
      </c>
      <c r="BZ81" s="137">
        <v>1</v>
      </c>
      <c r="CA81" s="137" t="s">
        <v>1207</v>
      </c>
      <c r="CB81" s="137">
        <v>0</v>
      </c>
      <c r="CC81" s="137" t="s">
        <v>947</v>
      </c>
      <c r="CD81" s="137">
        <v>1</v>
      </c>
      <c r="CE81" s="161" t="s">
        <v>1208</v>
      </c>
      <c r="CF81" s="161" t="s">
        <v>1209</v>
      </c>
      <c r="CG81" s="137">
        <v>1</v>
      </c>
      <c r="CH81" s="137" t="s">
        <v>1167</v>
      </c>
      <c r="CI81" s="137">
        <v>0</v>
      </c>
      <c r="CJ81" s="137" t="s">
        <v>947</v>
      </c>
      <c r="CK81" s="137" t="s">
        <v>947</v>
      </c>
      <c r="CL81" s="137">
        <v>1</v>
      </c>
      <c r="CM81" s="137" t="s">
        <v>1210</v>
      </c>
      <c r="CN81" s="161" t="s">
        <v>1211</v>
      </c>
      <c r="CO81" s="161" t="s">
        <v>1060</v>
      </c>
      <c r="CP81" s="161" t="s">
        <v>1212</v>
      </c>
      <c r="CQ81" s="161" t="s">
        <v>993</v>
      </c>
      <c r="CR81" s="137">
        <v>0</v>
      </c>
      <c r="CS81" s="137" t="s">
        <v>947</v>
      </c>
      <c r="CT81" s="137" t="s">
        <v>947</v>
      </c>
      <c r="CU81" s="137">
        <v>0</v>
      </c>
      <c r="CV81" s="137" t="s">
        <v>947</v>
      </c>
      <c r="CW81" s="137" t="s">
        <v>947</v>
      </c>
      <c r="CX81" s="137">
        <v>1</v>
      </c>
      <c r="CY81" s="161" t="s">
        <v>1213</v>
      </c>
      <c r="CZ81" s="137">
        <v>2</v>
      </c>
      <c r="DA81" s="137"/>
      <c r="DB81" s="152"/>
    </row>
    <row r="82" spans="1:106" ht="16">
      <c r="A82" s="1" t="s">
        <v>367</v>
      </c>
      <c r="B82" s="137">
        <v>22107486</v>
      </c>
      <c r="C82" s="137" t="s">
        <v>368</v>
      </c>
      <c r="D82" s="159">
        <v>44545</v>
      </c>
      <c r="E82" s="137">
        <v>68.8</v>
      </c>
      <c r="F82" s="137">
        <v>9</v>
      </c>
      <c r="G82" s="137">
        <v>19.010000000000002</v>
      </c>
      <c r="H82" s="137">
        <v>44.3</v>
      </c>
      <c r="I82" s="137">
        <v>30</v>
      </c>
      <c r="J82" s="137">
        <v>6</v>
      </c>
      <c r="K82" s="137">
        <v>1</v>
      </c>
      <c r="L82" s="137">
        <v>2</v>
      </c>
      <c r="M82" s="137">
        <v>0</v>
      </c>
      <c r="N82" s="137">
        <v>6</v>
      </c>
      <c r="O82" s="137">
        <v>8</v>
      </c>
      <c r="P82" s="137">
        <v>1740</v>
      </c>
      <c r="Q82" s="137">
        <v>40</v>
      </c>
      <c r="R82" s="137">
        <v>29</v>
      </c>
      <c r="S82" s="137">
        <v>28</v>
      </c>
      <c r="T82" s="159">
        <v>34040</v>
      </c>
      <c r="U82" s="137">
        <v>28.1</v>
      </c>
      <c r="V82" s="137">
        <v>0</v>
      </c>
      <c r="W82" s="137">
        <v>1</v>
      </c>
      <c r="X82" s="137">
        <v>1</v>
      </c>
      <c r="Y82" s="137">
        <v>2</v>
      </c>
      <c r="Z82" s="137">
        <v>1</v>
      </c>
      <c r="AA82" s="137">
        <v>0</v>
      </c>
      <c r="AB82" s="137">
        <v>1</v>
      </c>
      <c r="AC82" s="137">
        <v>1</v>
      </c>
      <c r="AD82" s="137">
        <v>0</v>
      </c>
      <c r="AE82" s="137">
        <v>0</v>
      </c>
      <c r="AF82" s="137">
        <v>1</v>
      </c>
      <c r="AG82" s="137">
        <v>1</v>
      </c>
      <c r="AH82" s="137">
        <v>0</v>
      </c>
      <c r="AI82" s="137">
        <v>1</v>
      </c>
      <c r="AJ82" s="137">
        <v>0</v>
      </c>
      <c r="AK82" s="137">
        <v>0</v>
      </c>
      <c r="AL82" s="137">
        <v>0</v>
      </c>
      <c r="AM82" s="137">
        <v>0</v>
      </c>
      <c r="AN82" s="137">
        <v>1</v>
      </c>
      <c r="AO82" s="137" t="s">
        <v>1206</v>
      </c>
      <c r="AP82" s="137">
        <v>0</v>
      </c>
      <c r="AQ82" s="137">
        <v>0</v>
      </c>
      <c r="AR82" s="137">
        <v>1</v>
      </c>
      <c r="AS82" s="137">
        <v>0</v>
      </c>
      <c r="AT82" s="137">
        <v>0</v>
      </c>
      <c r="AU82" s="137">
        <v>0</v>
      </c>
      <c r="AV82" s="137">
        <v>0</v>
      </c>
      <c r="AW82" s="137">
        <v>0</v>
      </c>
      <c r="AX82" s="137">
        <v>0</v>
      </c>
      <c r="AY82" s="137">
        <v>0</v>
      </c>
      <c r="AZ82" s="137">
        <v>0</v>
      </c>
      <c r="BA82" s="137">
        <v>0</v>
      </c>
      <c r="BB82" s="137">
        <v>0</v>
      </c>
      <c r="BC82" s="137">
        <v>0</v>
      </c>
      <c r="BD82" s="137">
        <v>0</v>
      </c>
      <c r="BE82" s="137">
        <v>0</v>
      </c>
      <c r="BF82" s="137">
        <v>0</v>
      </c>
      <c r="BG82" s="137">
        <v>0</v>
      </c>
      <c r="BH82" s="137">
        <v>0</v>
      </c>
      <c r="BI82" s="137">
        <v>0</v>
      </c>
      <c r="BJ82" s="137">
        <v>0</v>
      </c>
      <c r="BK82" s="137">
        <v>1</v>
      </c>
      <c r="BL82" s="137">
        <v>1</v>
      </c>
      <c r="BM82" s="137">
        <v>0</v>
      </c>
      <c r="BN82" s="137">
        <v>0</v>
      </c>
      <c r="BO82" s="137">
        <v>0</v>
      </c>
      <c r="BP82" s="137">
        <v>0</v>
      </c>
      <c r="BQ82" s="137">
        <v>1</v>
      </c>
      <c r="BR82" s="137">
        <v>0</v>
      </c>
      <c r="BS82" s="137">
        <v>0</v>
      </c>
      <c r="BT82" s="137">
        <v>0</v>
      </c>
      <c r="BU82" s="137">
        <v>0</v>
      </c>
      <c r="BV82" s="137">
        <v>0</v>
      </c>
      <c r="BW82" s="137">
        <v>0</v>
      </c>
      <c r="BX82" s="137">
        <v>0</v>
      </c>
      <c r="BY82" s="137">
        <v>0</v>
      </c>
      <c r="BZ82" s="137">
        <v>1</v>
      </c>
      <c r="CA82" s="137" t="s">
        <v>1207</v>
      </c>
      <c r="CB82" s="137">
        <v>0</v>
      </c>
      <c r="CC82" s="137" t="s">
        <v>947</v>
      </c>
      <c r="CD82" s="137">
        <v>1</v>
      </c>
      <c r="CE82" s="161" t="s">
        <v>1208</v>
      </c>
      <c r="CF82" s="161" t="s">
        <v>1209</v>
      </c>
      <c r="CG82" s="137">
        <v>1</v>
      </c>
      <c r="CH82" s="137" t="s">
        <v>1167</v>
      </c>
      <c r="CI82" s="137">
        <v>0</v>
      </c>
      <c r="CJ82" s="137" t="s">
        <v>947</v>
      </c>
      <c r="CK82" s="137" t="s">
        <v>947</v>
      </c>
      <c r="CL82" s="137">
        <v>1</v>
      </c>
      <c r="CM82" s="137" t="s">
        <v>1210</v>
      </c>
      <c r="CN82" s="161" t="s">
        <v>1211</v>
      </c>
      <c r="CO82" s="161" t="s">
        <v>1060</v>
      </c>
      <c r="CP82" s="161" t="s">
        <v>1212</v>
      </c>
      <c r="CQ82" s="161" t="s">
        <v>993</v>
      </c>
      <c r="CR82" s="137">
        <v>0</v>
      </c>
      <c r="CS82" s="137" t="s">
        <v>947</v>
      </c>
      <c r="CT82" s="137" t="s">
        <v>947</v>
      </c>
      <c r="CU82" s="137">
        <v>0</v>
      </c>
      <c r="CV82" s="137" t="s">
        <v>947</v>
      </c>
      <c r="CW82" s="137" t="s">
        <v>947</v>
      </c>
      <c r="CX82" s="137">
        <v>1</v>
      </c>
      <c r="CY82" s="161" t="s">
        <v>1213</v>
      </c>
      <c r="CZ82" s="137">
        <v>2</v>
      </c>
      <c r="DA82" s="137"/>
      <c r="DB82" s="152"/>
    </row>
    <row r="83" spans="1:106" ht="16">
      <c r="A83" s="1" t="s">
        <v>370</v>
      </c>
      <c r="B83" s="137">
        <v>22108150</v>
      </c>
      <c r="C83" s="161" t="s">
        <v>1214</v>
      </c>
      <c r="D83" s="159">
        <v>44631</v>
      </c>
      <c r="E83" s="137">
        <v>56.9</v>
      </c>
      <c r="F83" s="137">
        <v>3.8</v>
      </c>
      <c r="G83" s="137">
        <v>11.74</v>
      </c>
      <c r="H83" s="137">
        <v>37.1</v>
      </c>
      <c r="I83" s="137">
        <v>31</v>
      </c>
      <c r="J83" s="137">
        <v>1</v>
      </c>
      <c r="K83" s="137">
        <v>1</v>
      </c>
      <c r="L83" s="137">
        <v>2</v>
      </c>
      <c r="M83" s="137">
        <v>0</v>
      </c>
      <c r="N83" s="137">
        <v>6</v>
      </c>
      <c r="O83" s="137">
        <v>7</v>
      </c>
      <c r="P83" s="137">
        <v>1020</v>
      </c>
      <c r="Q83" s="137">
        <v>37</v>
      </c>
      <c r="R83" s="137">
        <v>25.7</v>
      </c>
      <c r="S83" s="137">
        <v>23</v>
      </c>
      <c r="T83" s="159">
        <v>30712</v>
      </c>
      <c r="U83" s="137">
        <v>37.409999999999997</v>
      </c>
      <c r="V83" s="137">
        <v>1</v>
      </c>
      <c r="W83" s="137">
        <v>1</v>
      </c>
      <c r="X83" s="137">
        <v>0</v>
      </c>
      <c r="Y83" s="137">
        <v>3</v>
      </c>
      <c r="Z83" s="137">
        <v>0</v>
      </c>
      <c r="AA83" s="137">
        <v>1</v>
      </c>
      <c r="AB83" s="137">
        <v>0</v>
      </c>
      <c r="AC83" s="137">
        <v>0</v>
      </c>
      <c r="AD83" s="137">
        <v>0</v>
      </c>
      <c r="AE83" s="137">
        <v>0</v>
      </c>
      <c r="AF83" s="137">
        <v>0</v>
      </c>
      <c r="AG83" s="137">
        <v>0</v>
      </c>
      <c r="AH83" s="137">
        <v>0</v>
      </c>
      <c r="AI83" s="137">
        <v>0</v>
      </c>
      <c r="AJ83" s="137">
        <v>0</v>
      </c>
      <c r="AK83" s="137">
        <v>0</v>
      </c>
      <c r="AL83" s="137">
        <v>0</v>
      </c>
      <c r="AM83" s="137">
        <v>0</v>
      </c>
      <c r="AN83" s="137">
        <v>0</v>
      </c>
      <c r="AO83" s="137">
        <v>0</v>
      </c>
      <c r="AP83" s="137">
        <v>0</v>
      </c>
      <c r="AQ83" s="137">
        <v>0</v>
      </c>
      <c r="AR83" s="137">
        <v>1</v>
      </c>
      <c r="AS83" s="137">
        <v>0</v>
      </c>
      <c r="AT83" s="137">
        <v>0</v>
      </c>
      <c r="AU83" s="137">
        <v>0</v>
      </c>
      <c r="AV83" s="137">
        <v>0</v>
      </c>
      <c r="AW83" s="137">
        <v>0</v>
      </c>
      <c r="AX83" s="137">
        <v>0</v>
      </c>
      <c r="AY83" s="137">
        <v>1</v>
      </c>
      <c r="AZ83" s="137">
        <v>0</v>
      </c>
      <c r="BA83" s="137">
        <v>0</v>
      </c>
      <c r="BB83" s="137">
        <v>0</v>
      </c>
      <c r="BC83" s="137">
        <v>0</v>
      </c>
      <c r="BD83" s="137">
        <v>0</v>
      </c>
      <c r="BE83" s="137">
        <v>0</v>
      </c>
      <c r="BF83" s="137">
        <v>0</v>
      </c>
      <c r="BG83" s="137">
        <v>0</v>
      </c>
      <c r="BH83" s="137">
        <v>1</v>
      </c>
      <c r="BI83" s="137">
        <v>0</v>
      </c>
      <c r="BJ83" s="161" t="s">
        <v>1215</v>
      </c>
      <c r="BK83" s="137">
        <v>1</v>
      </c>
      <c r="BL83" s="137">
        <v>0</v>
      </c>
      <c r="BM83" s="137">
        <v>0</v>
      </c>
      <c r="BN83" s="137">
        <v>0</v>
      </c>
      <c r="BO83" s="137">
        <v>0</v>
      </c>
      <c r="BP83" s="137">
        <v>0</v>
      </c>
      <c r="BQ83" s="137">
        <v>0</v>
      </c>
      <c r="BR83" s="137">
        <v>0</v>
      </c>
      <c r="BS83" s="137">
        <v>0</v>
      </c>
      <c r="BT83" s="137">
        <v>1</v>
      </c>
      <c r="BU83" s="137">
        <v>0</v>
      </c>
      <c r="BV83" s="137">
        <v>0</v>
      </c>
      <c r="BW83" s="137">
        <v>1</v>
      </c>
      <c r="BX83" s="137">
        <v>0.125</v>
      </c>
      <c r="BY83" s="137">
        <v>0</v>
      </c>
      <c r="BZ83" s="137">
        <v>1</v>
      </c>
      <c r="CA83" s="137" t="s">
        <v>1164</v>
      </c>
      <c r="CB83" s="137">
        <v>1</v>
      </c>
      <c r="CC83" s="161" t="s">
        <v>1216</v>
      </c>
      <c r="CD83" s="137">
        <v>1</v>
      </c>
      <c r="CE83" s="161" t="s">
        <v>1108</v>
      </c>
      <c r="CF83" s="161" t="s">
        <v>1217</v>
      </c>
      <c r="CG83" s="137">
        <v>1</v>
      </c>
      <c r="CH83" s="137" t="s">
        <v>1218</v>
      </c>
      <c r="CI83" s="137">
        <v>0</v>
      </c>
      <c r="CJ83" s="137" t="s">
        <v>947</v>
      </c>
      <c r="CK83" s="137" t="s">
        <v>947</v>
      </c>
      <c r="CL83" s="137">
        <v>1</v>
      </c>
      <c r="CM83" s="161" t="s">
        <v>1219</v>
      </c>
      <c r="CN83" s="161" t="s">
        <v>982</v>
      </c>
      <c r="CO83" s="161" t="s">
        <v>1060</v>
      </c>
      <c r="CP83" s="161" t="s">
        <v>1220</v>
      </c>
      <c r="CQ83" s="161" t="s">
        <v>993</v>
      </c>
      <c r="CR83" s="137">
        <v>0</v>
      </c>
      <c r="CS83" s="137" t="s">
        <v>947</v>
      </c>
      <c r="CT83" s="137" t="s">
        <v>947</v>
      </c>
      <c r="CU83" s="137">
        <v>1</v>
      </c>
      <c r="CV83" s="161" t="s">
        <v>1044</v>
      </c>
      <c r="CW83" s="161" t="s">
        <v>1221</v>
      </c>
      <c r="CX83" s="137">
        <v>0</v>
      </c>
      <c r="CY83" s="137" t="s">
        <v>947</v>
      </c>
      <c r="CZ83" s="137">
        <v>2</v>
      </c>
      <c r="DA83" s="137" t="s">
        <v>1222</v>
      </c>
      <c r="DB83" s="137"/>
    </row>
    <row r="84" spans="1:106" s="127" customFormat="1" ht="16">
      <c r="A84" s="125" t="s">
        <v>373</v>
      </c>
      <c r="B84" s="167">
        <v>22107133</v>
      </c>
      <c r="C84" s="175" t="s">
        <v>1223</v>
      </c>
      <c r="D84" s="167"/>
      <c r="E84" s="167"/>
      <c r="F84" s="167"/>
      <c r="G84" s="167" t="s">
        <v>1067</v>
      </c>
      <c r="H84" s="167"/>
      <c r="I84" s="167"/>
      <c r="J84" s="167"/>
      <c r="K84" s="167"/>
      <c r="L84" s="167"/>
      <c r="M84" s="167"/>
      <c r="N84" s="167"/>
      <c r="O84" s="167"/>
      <c r="P84" s="167"/>
      <c r="Q84" s="167"/>
      <c r="R84" s="167"/>
      <c r="S84" s="167"/>
      <c r="T84" s="167"/>
      <c r="U84" s="167">
        <v>121.2</v>
      </c>
      <c r="V84" s="167"/>
      <c r="W84" s="167"/>
      <c r="X84" s="167"/>
      <c r="Y84" s="167"/>
      <c r="Z84" s="167"/>
      <c r="AA84" s="167"/>
      <c r="AB84" s="167"/>
      <c r="AC84" s="167"/>
      <c r="AD84" s="167"/>
      <c r="AE84" s="167"/>
      <c r="AF84" s="167"/>
      <c r="AG84" s="167"/>
      <c r="AH84" s="167"/>
      <c r="AI84" s="167"/>
      <c r="AJ84" s="167"/>
      <c r="AK84" s="167"/>
      <c r="AL84" s="167"/>
      <c r="AM84" s="167"/>
      <c r="AN84" s="167"/>
      <c r="AO84" s="167"/>
      <c r="AP84" s="167"/>
      <c r="AQ84" s="167"/>
      <c r="AR84" s="167"/>
      <c r="AS84" s="167"/>
      <c r="AT84" s="167"/>
      <c r="AU84" s="167"/>
      <c r="AV84" s="167"/>
      <c r="AW84" s="167"/>
      <c r="AX84" s="167"/>
      <c r="AY84" s="167"/>
      <c r="AZ84" s="167"/>
      <c r="BA84" s="167"/>
      <c r="BB84" s="167"/>
      <c r="BC84" s="167"/>
      <c r="BD84" s="167"/>
      <c r="BE84" s="167"/>
      <c r="BF84" s="167"/>
      <c r="BG84" s="167"/>
      <c r="BH84" s="167"/>
      <c r="BI84" s="167"/>
      <c r="BJ84" s="167"/>
      <c r="BK84" s="167"/>
      <c r="BL84" s="167"/>
      <c r="BM84" s="167"/>
      <c r="BN84" s="167"/>
      <c r="BO84" s="167"/>
      <c r="BP84" s="167"/>
      <c r="BQ84" s="167"/>
      <c r="BR84" s="167"/>
      <c r="BS84" s="167"/>
      <c r="BT84" s="167"/>
      <c r="BU84" s="167"/>
      <c r="BV84" s="167"/>
      <c r="BW84" s="167"/>
      <c r="BX84" s="167"/>
      <c r="BY84" s="167"/>
      <c r="BZ84" s="167"/>
      <c r="CA84" s="167"/>
      <c r="CB84" s="167"/>
      <c r="CC84" s="167"/>
      <c r="CD84" s="167"/>
      <c r="CE84" s="167"/>
      <c r="CF84" s="167"/>
      <c r="CG84" s="167"/>
      <c r="CH84" s="167"/>
      <c r="CI84" s="167"/>
      <c r="CJ84" s="167"/>
      <c r="CK84" s="167"/>
      <c r="CL84" s="167"/>
      <c r="CM84" s="167"/>
      <c r="CN84" s="167"/>
      <c r="CO84" s="167"/>
      <c r="CP84" s="167"/>
      <c r="CQ84" s="167"/>
      <c r="CR84" s="167"/>
      <c r="CS84" s="167"/>
      <c r="CT84" s="167"/>
      <c r="CU84" s="167"/>
      <c r="CV84" s="167"/>
      <c r="CW84" s="167"/>
      <c r="CX84" s="167"/>
      <c r="CY84" s="167"/>
      <c r="CZ84" s="167"/>
      <c r="DA84" s="167"/>
      <c r="DB84" s="169"/>
    </row>
    <row r="85" spans="1:106" ht="16">
      <c r="A85" s="1" t="s">
        <v>377</v>
      </c>
      <c r="B85" s="137">
        <v>22108726</v>
      </c>
      <c r="C85" s="161" t="s">
        <v>1224</v>
      </c>
      <c r="D85" s="159">
        <v>44608</v>
      </c>
      <c r="E85" s="137">
        <v>66.5</v>
      </c>
      <c r="F85" s="137">
        <v>6.9</v>
      </c>
      <c r="G85" s="137">
        <v>15.6</v>
      </c>
      <c r="H85" s="137">
        <v>42</v>
      </c>
      <c r="I85" s="137">
        <v>40</v>
      </c>
      <c r="J85" s="137">
        <v>3</v>
      </c>
      <c r="K85" s="137">
        <v>0</v>
      </c>
      <c r="L85" s="137">
        <v>1</v>
      </c>
      <c r="M85" s="137">
        <v>0</v>
      </c>
      <c r="N85" s="137">
        <v>9</v>
      </c>
      <c r="O85" s="137">
        <v>10</v>
      </c>
      <c r="P85" s="137">
        <v>3090</v>
      </c>
      <c r="Q85" s="137">
        <v>50</v>
      </c>
      <c r="R85" s="137">
        <v>33</v>
      </c>
      <c r="S85" s="137">
        <v>34</v>
      </c>
      <c r="T85" s="159">
        <v>35443</v>
      </c>
      <c r="U85" s="137">
        <v>24.63</v>
      </c>
      <c r="V85" s="137">
        <v>1</v>
      </c>
      <c r="W85" s="137">
        <v>0</v>
      </c>
      <c r="X85" s="137">
        <v>0</v>
      </c>
      <c r="Y85" s="137">
        <v>1</v>
      </c>
      <c r="Z85" s="137">
        <v>0</v>
      </c>
      <c r="AA85" s="137">
        <v>0</v>
      </c>
      <c r="AB85" s="137">
        <v>0</v>
      </c>
      <c r="AC85" s="137">
        <v>0</v>
      </c>
      <c r="AD85" s="137">
        <v>0</v>
      </c>
      <c r="AE85" s="137">
        <v>0</v>
      </c>
      <c r="AF85" s="137">
        <v>0</v>
      </c>
      <c r="AG85" s="137">
        <v>0</v>
      </c>
      <c r="AH85" s="137">
        <v>0</v>
      </c>
      <c r="AI85" s="137">
        <v>0</v>
      </c>
      <c r="AJ85" s="137">
        <v>0</v>
      </c>
      <c r="AK85" s="137">
        <v>0</v>
      </c>
      <c r="AL85" s="137">
        <v>0</v>
      </c>
      <c r="AM85" s="137">
        <v>0</v>
      </c>
      <c r="AN85" s="137">
        <v>0</v>
      </c>
      <c r="AO85" s="137">
        <v>0</v>
      </c>
      <c r="AP85" s="137">
        <v>0</v>
      </c>
      <c r="AQ85" s="137">
        <v>0</v>
      </c>
      <c r="AR85" s="137">
        <v>1</v>
      </c>
      <c r="AS85" s="137">
        <v>0</v>
      </c>
      <c r="AT85" s="137">
        <v>0</v>
      </c>
      <c r="AU85" s="137">
        <v>0</v>
      </c>
      <c r="AV85" s="137">
        <v>0</v>
      </c>
      <c r="AW85" s="137">
        <v>0</v>
      </c>
      <c r="AX85" s="137">
        <v>0</v>
      </c>
      <c r="AY85" s="137">
        <v>0</v>
      </c>
      <c r="AZ85" s="137">
        <v>0</v>
      </c>
      <c r="BA85" s="137">
        <v>0</v>
      </c>
      <c r="BB85" s="137">
        <v>0</v>
      </c>
      <c r="BC85" s="137">
        <v>0</v>
      </c>
      <c r="BD85" s="137">
        <v>0</v>
      </c>
      <c r="BE85" s="137">
        <v>0</v>
      </c>
      <c r="BF85" s="137">
        <v>0</v>
      </c>
      <c r="BG85" s="137">
        <v>0</v>
      </c>
      <c r="BH85" s="137">
        <v>0</v>
      </c>
      <c r="BI85" s="137">
        <v>0</v>
      </c>
      <c r="BJ85" s="137">
        <v>0</v>
      </c>
      <c r="BK85" s="137">
        <v>0</v>
      </c>
      <c r="BL85" s="137">
        <v>0</v>
      </c>
      <c r="BM85" s="137">
        <v>0</v>
      </c>
      <c r="BN85" s="137">
        <v>0</v>
      </c>
      <c r="BO85" s="137">
        <v>0</v>
      </c>
      <c r="BP85" s="137">
        <v>0</v>
      </c>
      <c r="BQ85" s="137">
        <v>0</v>
      </c>
      <c r="BR85" s="137">
        <v>0</v>
      </c>
      <c r="BS85" s="137">
        <v>0</v>
      </c>
      <c r="BT85" s="137">
        <v>0</v>
      </c>
      <c r="BU85" s="137">
        <v>0</v>
      </c>
      <c r="BV85" s="137">
        <v>0</v>
      </c>
      <c r="BW85" s="137">
        <v>0</v>
      </c>
      <c r="BX85" s="137">
        <v>0</v>
      </c>
      <c r="BY85" s="137">
        <v>0</v>
      </c>
      <c r="BZ85" s="137">
        <v>1</v>
      </c>
      <c r="CA85" s="137" t="s">
        <v>955</v>
      </c>
      <c r="CB85" s="137">
        <v>0</v>
      </c>
      <c r="CC85" s="137" t="s">
        <v>947</v>
      </c>
      <c r="CD85" s="137">
        <v>1</v>
      </c>
      <c r="CE85" s="137" t="s">
        <v>946</v>
      </c>
      <c r="CF85" s="137" t="s">
        <v>1225</v>
      </c>
      <c r="CG85" s="137">
        <v>0</v>
      </c>
      <c r="CH85" s="137" t="s">
        <v>947</v>
      </c>
      <c r="CI85" s="137">
        <v>0</v>
      </c>
      <c r="CJ85" s="137" t="s">
        <v>947</v>
      </c>
      <c r="CK85" s="137" t="s">
        <v>947</v>
      </c>
      <c r="CL85" s="137">
        <v>0</v>
      </c>
      <c r="CM85" s="137" t="s">
        <v>947</v>
      </c>
      <c r="CN85" s="137" t="s">
        <v>947</v>
      </c>
      <c r="CO85" s="137">
        <v>0</v>
      </c>
      <c r="CP85" s="137" t="s">
        <v>947</v>
      </c>
      <c r="CQ85" s="137" t="s">
        <v>947</v>
      </c>
      <c r="CR85" s="137">
        <v>0</v>
      </c>
      <c r="CS85" s="137" t="s">
        <v>947</v>
      </c>
      <c r="CT85" s="137" t="s">
        <v>947</v>
      </c>
      <c r="CU85" s="137">
        <v>0</v>
      </c>
      <c r="CV85" s="137" t="s">
        <v>947</v>
      </c>
      <c r="CW85" s="137" t="s">
        <v>947</v>
      </c>
      <c r="CX85" s="137">
        <v>0</v>
      </c>
      <c r="CY85" s="137" t="s">
        <v>947</v>
      </c>
      <c r="CZ85" s="137">
        <v>2</v>
      </c>
      <c r="DA85" s="137"/>
      <c r="DB85" s="152"/>
    </row>
    <row r="86" spans="1:106" ht="16">
      <c r="A86" s="1" t="s">
        <v>381</v>
      </c>
      <c r="B86" s="137">
        <v>22104406</v>
      </c>
      <c r="C86" s="161" t="s">
        <v>1226</v>
      </c>
      <c r="D86" s="159">
        <v>44470</v>
      </c>
      <c r="E86" s="137">
        <v>72.7</v>
      </c>
      <c r="F86" s="137">
        <v>7.8</v>
      </c>
      <c r="G86" s="137">
        <v>14.76</v>
      </c>
      <c r="H86" s="137">
        <v>45.5</v>
      </c>
      <c r="I86" s="137">
        <v>27</v>
      </c>
      <c r="J86" s="137">
        <v>0</v>
      </c>
      <c r="K86" s="137">
        <v>1</v>
      </c>
      <c r="L86" s="137">
        <v>2</v>
      </c>
      <c r="M86" s="137">
        <v>0</v>
      </c>
      <c r="N86" s="137">
        <v>8</v>
      </c>
      <c r="O86" s="137">
        <v>9</v>
      </c>
      <c r="P86" s="137">
        <v>950</v>
      </c>
      <c r="Q86" s="137">
        <v>36</v>
      </c>
      <c r="R86" s="137">
        <v>23.7</v>
      </c>
      <c r="S86" s="137">
        <v>23.5</v>
      </c>
      <c r="T86" s="159">
        <v>32834</v>
      </c>
      <c r="U86" s="137">
        <v>31.59</v>
      </c>
      <c r="V86" s="137">
        <v>0</v>
      </c>
      <c r="W86" s="137">
        <v>1</v>
      </c>
      <c r="X86" s="137">
        <v>1</v>
      </c>
      <c r="Y86" s="137">
        <v>1</v>
      </c>
      <c r="Z86" s="137">
        <v>0</v>
      </c>
      <c r="AA86" s="137">
        <v>0</v>
      </c>
      <c r="AB86" s="137">
        <v>0</v>
      </c>
      <c r="AC86" s="137">
        <v>0</v>
      </c>
      <c r="AD86" s="137">
        <v>0</v>
      </c>
      <c r="AE86" s="137">
        <v>0</v>
      </c>
      <c r="AF86" s="137">
        <v>0</v>
      </c>
      <c r="AG86" s="137">
        <v>0</v>
      </c>
      <c r="AH86" s="137">
        <v>1</v>
      </c>
      <c r="AI86" s="137">
        <v>0</v>
      </c>
      <c r="AJ86" s="137">
        <v>0</v>
      </c>
      <c r="AK86" s="137">
        <v>0</v>
      </c>
      <c r="AL86" s="137">
        <v>0</v>
      </c>
      <c r="AM86" s="137">
        <v>0</v>
      </c>
      <c r="AN86" s="137">
        <v>0</v>
      </c>
      <c r="AO86" s="137">
        <v>0</v>
      </c>
      <c r="AP86" s="137">
        <v>0</v>
      </c>
      <c r="AQ86" s="137">
        <v>0</v>
      </c>
      <c r="AR86" s="137" t="s">
        <v>954</v>
      </c>
      <c r="AS86" s="137">
        <v>0</v>
      </c>
      <c r="AT86" s="137">
        <v>0</v>
      </c>
      <c r="AU86" s="137">
        <v>0</v>
      </c>
      <c r="AV86" s="137">
        <v>0</v>
      </c>
      <c r="AW86" s="137">
        <v>0</v>
      </c>
      <c r="AX86" s="137">
        <v>0</v>
      </c>
      <c r="AY86" s="137">
        <v>0</v>
      </c>
      <c r="AZ86" s="137">
        <v>0</v>
      </c>
      <c r="BA86" s="137">
        <v>0</v>
      </c>
      <c r="BB86" s="137">
        <v>0</v>
      </c>
      <c r="BC86" s="137">
        <v>0</v>
      </c>
      <c r="BD86" s="137">
        <v>0</v>
      </c>
      <c r="BE86" s="137">
        <v>0</v>
      </c>
      <c r="BF86" s="137">
        <v>0</v>
      </c>
      <c r="BG86" s="137">
        <v>0</v>
      </c>
      <c r="BH86" s="137">
        <v>0</v>
      </c>
      <c r="BI86" s="137">
        <v>0</v>
      </c>
      <c r="BJ86" s="137">
        <v>0</v>
      </c>
      <c r="BK86" s="137">
        <v>1</v>
      </c>
      <c r="BL86" s="137">
        <v>0</v>
      </c>
      <c r="BM86" s="137">
        <v>0</v>
      </c>
      <c r="BN86" s="137">
        <v>0</v>
      </c>
      <c r="BO86" s="137">
        <v>0</v>
      </c>
      <c r="BP86" s="137">
        <v>0</v>
      </c>
      <c r="BQ86" s="137">
        <v>0</v>
      </c>
      <c r="BR86" s="137">
        <v>0</v>
      </c>
      <c r="BS86" s="137">
        <v>0</v>
      </c>
      <c r="BT86" s="137">
        <v>1</v>
      </c>
      <c r="BU86" s="137">
        <v>0</v>
      </c>
      <c r="BV86" s="137">
        <v>0</v>
      </c>
      <c r="BW86" s="137">
        <v>0</v>
      </c>
      <c r="BX86" s="137">
        <v>0</v>
      </c>
      <c r="BY86" s="137">
        <v>0</v>
      </c>
      <c r="BZ86" s="137">
        <v>1</v>
      </c>
      <c r="CA86" s="137" t="s">
        <v>1227</v>
      </c>
      <c r="CB86" s="137">
        <v>1</v>
      </c>
      <c r="CC86" s="161" t="s">
        <v>1057</v>
      </c>
      <c r="CD86" s="137">
        <v>1</v>
      </c>
      <c r="CE86" s="137" t="s">
        <v>1228</v>
      </c>
      <c r="CF86" s="161" t="s">
        <v>1137</v>
      </c>
      <c r="CG86" s="137">
        <v>1</v>
      </c>
      <c r="CH86" s="137" t="s">
        <v>1229</v>
      </c>
      <c r="CI86" s="137">
        <v>1</v>
      </c>
      <c r="CJ86" s="137" t="s">
        <v>1229</v>
      </c>
      <c r="CK86" s="161" t="s">
        <v>993</v>
      </c>
      <c r="CL86" s="137">
        <v>0</v>
      </c>
      <c r="CM86" s="137" t="s">
        <v>947</v>
      </c>
      <c r="CN86" s="137" t="s">
        <v>947</v>
      </c>
      <c r="CO86" s="137">
        <v>0</v>
      </c>
      <c r="CP86" s="137" t="s">
        <v>947</v>
      </c>
      <c r="CQ86" s="137" t="s">
        <v>947</v>
      </c>
      <c r="CR86" s="137">
        <v>0</v>
      </c>
      <c r="CS86" s="137" t="s">
        <v>947</v>
      </c>
      <c r="CT86" s="137" t="s">
        <v>947</v>
      </c>
      <c r="CU86" s="137">
        <v>0</v>
      </c>
      <c r="CV86" s="137" t="s">
        <v>947</v>
      </c>
      <c r="CW86" s="137" t="s">
        <v>947</v>
      </c>
      <c r="CX86" s="137">
        <v>1</v>
      </c>
      <c r="CY86" s="137" t="s">
        <v>965</v>
      </c>
      <c r="CZ86" s="137">
        <v>2</v>
      </c>
      <c r="DA86" s="137"/>
      <c r="DB86" s="152"/>
    </row>
    <row r="87" spans="1:106" ht="16">
      <c r="A87" s="1" t="s">
        <v>384</v>
      </c>
      <c r="B87" s="137">
        <v>22108755</v>
      </c>
      <c r="C87" s="161" t="s">
        <v>1230</v>
      </c>
      <c r="D87" s="159">
        <v>44624</v>
      </c>
      <c r="E87" s="137">
        <v>68.7</v>
      </c>
      <c r="F87" s="137">
        <v>8</v>
      </c>
      <c r="G87" s="137">
        <v>16.95</v>
      </c>
      <c r="H87" s="137">
        <v>46.3</v>
      </c>
      <c r="I87" s="137">
        <v>38</v>
      </c>
      <c r="J87" s="137">
        <v>5</v>
      </c>
      <c r="K87" s="137">
        <v>0</v>
      </c>
      <c r="L87" s="137">
        <v>1</v>
      </c>
      <c r="M87" s="137">
        <v>0</v>
      </c>
      <c r="N87" s="137">
        <v>9</v>
      </c>
      <c r="O87" s="137">
        <v>10</v>
      </c>
      <c r="P87" s="137">
        <v>3500</v>
      </c>
      <c r="Q87" s="137">
        <v>54</v>
      </c>
      <c r="R87" s="137">
        <v>37</v>
      </c>
      <c r="S87" s="137">
        <v>33</v>
      </c>
      <c r="T87" s="159">
        <v>34688</v>
      </c>
      <c r="U87" s="137">
        <v>26.7</v>
      </c>
      <c r="V87" s="137">
        <v>1</v>
      </c>
      <c r="W87" s="137">
        <v>0</v>
      </c>
      <c r="X87" s="137">
        <v>0</v>
      </c>
      <c r="Y87" s="137">
        <v>1</v>
      </c>
      <c r="Z87" s="137">
        <v>0</v>
      </c>
      <c r="AA87" s="137">
        <v>0</v>
      </c>
      <c r="AB87" s="137">
        <v>0</v>
      </c>
      <c r="AC87" s="137">
        <v>0</v>
      </c>
      <c r="AD87" s="137">
        <v>0</v>
      </c>
      <c r="AE87" s="137">
        <v>0</v>
      </c>
      <c r="AF87" s="137">
        <v>0</v>
      </c>
      <c r="AG87" s="137">
        <v>1</v>
      </c>
      <c r="AH87" s="137">
        <v>0</v>
      </c>
      <c r="AI87" s="137">
        <v>0</v>
      </c>
      <c r="AJ87" s="137">
        <v>0</v>
      </c>
      <c r="AK87" s="137">
        <v>0</v>
      </c>
      <c r="AL87" s="137">
        <v>0</v>
      </c>
      <c r="AM87" s="137">
        <v>0</v>
      </c>
      <c r="AN87" s="137">
        <v>0</v>
      </c>
      <c r="AO87" s="137">
        <v>0</v>
      </c>
      <c r="AP87" s="137">
        <v>0</v>
      </c>
      <c r="AQ87" s="137">
        <v>0</v>
      </c>
      <c r="AR87" s="137">
        <v>1</v>
      </c>
      <c r="AS87" s="137">
        <v>0</v>
      </c>
      <c r="AT87" s="137">
        <v>0</v>
      </c>
      <c r="AU87" s="137">
        <v>0</v>
      </c>
      <c r="AV87" s="137">
        <v>0</v>
      </c>
      <c r="AW87" s="137">
        <v>0</v>
      </c>
      <c r="AX87" s="137">
        <v>0</v>
      </c>
      <c r="AY87" s="137">
        <v>0</v>
      </c>
      <c r="AZ87" s="137">
        <v>0</v>
      </c>
      <c r="BA87" s="137">
        <v>0</v>
      </c>
      <c r="BB87" s="137">
        <v>0</v>
      </c>
      <c r="BC87" s="137">
        <v>0</v>
      </c>
      <c r="BD87" s="137">
        <v>0</v>
      </c>
      <c r="BE87" s="137">
        <v>0</v>
      </c>
      <c r="BF87" s="137">
        <v>0</v>
      </c>
      <c r="BG87" s="137">
        <v>0</v>
      </c>
      <c r="BH87" s="137">
        <v>0</v>
      </c>
      <c r="BI87" s="137">
        <v>0</v>
      </c>
      <c r="BJ87" s="137">
        <v>0</v>
      </c>
      <c r="BK87" s="137">
        <v>0</v>
      </c>
      <c r="BL87" s="137">
        <v>0</v>
      </c>
      <c r="BM87" s="137">
        <v>0</v>
      </c>
      <c r="BN87" s="137">
        <v>0</v>
      </c>
      <c r="BO87" s="137">
        <v>0</v>
      </c>
      <c r="BP87" s="137">
        <v>0</v>
      </c>
      <c r="BQ87" s="137">
        <v>0</v>
      </c>
      <c r="BR87" s="137">
        <v>0</v>
      </c>
      <c r="BS87" s="137">
        <v>0</v>
      </c>
      <c r="BT87" s="137">
        <v>0</v>
      </c>
      <c r="BU87" s="137">
        <v>0</v>
      </c>
      <c r="BV87" s="137">
        <v>0</v>
      </c>
      <c r="BW87" s="137">
        <v>0</v>
      </c>
      <c r="BX87" s="137">
        <v>0</v>
      </c>
      <c r="BY87" s="137">
        <v>0</v>
      </c>
      <c r="BZ87" s="137">
        <v>1</v>
      </c>
      <c r="CA87" s="137" t="s">
        <v>955</v>
      </c>
      <c r="CB87" s="137">
        <v>0</v>
      </c>
      <c r="CC87" s="137" t="s">
        <v>947</v>
      </c>
      <c r="CD87" s="137">
        <v>1</v>
      </c>
      <c r="CE87" s="137" t="s">
        <v>1022</v>
      </c>
      <c r="CF87" s="137"/>
      <c r="CG87" s="137">
        <v>0</v>
      </c>
      <c r="CH87" s="137" t="s">
        <v>947</v>
      </c>
      <c r="CI87" s="137">
        <v>1</v>
      </c>
      <c r="CJ87" s="137" t="s">
        <v>1231</v>
      </c>
      <c r="CK87" s="137" t="s">
        <v>1232</v>
      </c>
      <c r="CL87" s="137">
        <v>0</v>
      </c>
      <c r="CM87" s="137" t="s">
        <v>947</v>
      </c>
      <c r="CN87" s="137" t="s">
        <v>947</v>
      </c>
      <c r="CO87" s="137">
        <v>0</v>
      </c>
      <c r="CP87" s="137" t="s">
        <v>947</v>
      </c>
      <c r="CQ87" s="137" t="s">
        <v>947</v>
      </c>
      <c r="CR87" s="137">
        <v>0</v>
      </c>
      <c r="CS87" s="137" t="s">
        <v>947</v>
      </c>
      <c r="CT87" s="137" t="s">
        <v>947</v>
      </c>
      <c r="CU87" s="137">
        <v>0</v>
      </c>
      <c r="CV87" s="137" t="s">
        <v>947</v>
      </c>
      <c r="CW87" s="137" t="s">
        <v>947</v>
      </c>
      <c r="CX87" s="137">
        <v>1</v>
      </c>
      <c r="CY87" s="137" t="s">
        <v>965</v>
      </c>
      <c r="CZ87" s="137">
        <v>2</v>
      </c>
      <c r="DA87" s="137"/>
      <c r="DB87" s="152"/>
    </row>
    <row r="88" spans="1:106" ht="16">
      <c r="A88" s="1" t="s">
        <v>388</v>
      </c>
      <c r="B88" s="137">
        <v>22108762</v>
      </c>
      <c r="C88" s="161" t="s">
        <v>1233</v>
      </c>
      <c r="D88" s="159">
        <v>44624</v>
      </c>
      <c r="E88" s="137">
        <v>68.5</v>
      </c>
      <c r="F88" s="137">
        <v>7.7</v>
      </c>
      <c r="G88" s="137">
        <v>16.41</v>
      </c>
      <c r="H88" s="137">
        <v>42</v>
      </c>
      <c r="I88" s="137">
        <v>38</v>
      </c>
      <c r="J88" s="137">
        <v>4</v>
      </c>
      <c r="K88" s="137">
        <v>0</v>
      </c>
      <c r="L88" s="137">
        <v>1</v>
      </c>
      <c r="M88" s="137">
        <v>0</v>
      </c>
      <c r="N88" s="137">
        <v>9</v>
      </c>
      <c r="O88" s="137">
        <v>10</v>
      </c>
      <c r="P88" s="137">
        <v>3080</v>
      </c>
      <c r="Q88" s="137">
        <v>51</v>
      </c>
      <c r="R88" s="137">
        <v>33</v>
      </c>
      <c r="S88" s="137">
        <v>32</v>
      </c>
      <c r="T88" s="159">
        <v>30212</v>
      </c>
      <c r="U88" s="137">
        <v>38.96</v>
      </c>
      <c r="V88" s="137">
        <v>2</v>
      </c>
      <c r="W88" s="137">
        <v>0</v>
      </c>
      <c r="X88" s="137">
        <v>1</v>
      </c>
      <c r="Y88" s="137">
        <v>2</v>
      </c>
      <c r="Z88" s="137">
        <v>0</v>
      </c>
      <c r="AA88" s="137">
        <v>0</v>
      </c>
      <c r="AB88" s="137">
        <v>0</v>
      </c>
      <c r="AC88" s="137">
        <v>0</v>
      </c>
      <c r="AD88" s="137">
        <v>0</v>
      </c>
      <c r="AE88" s="137">
        <v>0</v>
      </c>
      <c r="AF88" s="137">
        <v>0</v>
      </c>
      <c r="AG88" s="137">
        <v>0</v>
      </c>
      <c r="AH88" s="137">
        <v>0</v>
      </c>
      <c r="AI88" s="137">
        <v>0</v>
      </c>
      <c r="AJ88" s="137">
        <v>0</v>
      </c>
      <c r="AK88" s="137">
        <v>0</v>
      </c>
      <c r="AL88" s="137">
        <v>0</v>
      </c>
      <c r="AM88" s="137">
        <v>0</v>
      </c>
      <c r="AN88" s="137">
        <v>0</v>
      </c>
      <c r="AO88" s="137">
        <v>0</v>
      </c>
      <c r="AP88" s="137">
        <v>0</v>
      </c>
      <c r="AQ88" s="137">
        <v>0</v>
      </c>
      <c r="AR88" s="137">
        <v>1</v>
      </c>
      <c r="AS88" s="137">
        <v>0</v>
      </c>
      <c r="AT88" s="137">
        <v>0</v>
      </c>
      <c r="AU88" s="137">
        <v>0</v>
      </c>
      <c r="AV88" s="137">
        <v>0</v>
      </c>
      <c r="AW88" s="137">
        <v>0</v>
      </c>
      <c r="AX88" s="137">
        <v>0</v>
      </c>
      <c r="AY88" s="137">
        <v>0</v>
      </c>
      <c r="AZ88" s="137">
        <v>0</v>
      </c>
      <c r="BA88" s="137">
        <v>0</v>
      </c>
      <c r="BB88" s="137">
        <v>0</v>
      </c>
      <c r="BC88" s="137">
        <v>0</v>
      </c>
      <c r="BD88" s="137">
        <v>0</v>
      </c>
      <c r="BE88" s="137">
        <v>0</v>
      </c>
      <c r="BF88" s="137">
        <v>0</v>
      </c>
      <c r="BG88" s="137">
        <v>0</v>
      </c>
      <c r="BH88" s="137">
        <v>0</v>
      </c>
      <c r="BI88" s="137">
        <v>0</v>
      </c>
      <c r="BJ88" s="137">
        <v>0</v>
      </c>
      <c r="BK88" s="137">
        <v>0</v>
      </c>
      <c r="BL88" s="137">
        <v>0</v>
      </c>
      <c r="BM88" s="137">
        <v>0</v>
      </c>
      <c r="BN88" s="137">
        <v>0</v>
      </c>
      <c r="BO88" s="137">
        <v>0</v>
      </c>
      <c r="BP88" s="137">
        <v>0</v>
      </c>
      <c r="BQ88" s="137">
        <v>0</v>
      </c>
      <c r="BR88" s="137">
        <v>0</v>
      </c>
      <c r="BS88" s="137">
        <v>0</v>
      </c>
      <c r="BT88" s="137">
        <v>0</v>
      </c>
      <c r="BU88" s="137">
        <v>0</v>
      </c>
      <c r="BV88" s="137">
        <v>0</v>
      </c>
      <c r="BW88" s="137">
        <v>0</v>
      </c>
      <c r="BX88" s="137">
        <v>0</v>
      </c>
      <c r="BY88" s="137">
        <v>0</v>
      </c>
      <c r="BZ88" s="137">
        <v>1</v>
      </c>
      <c r="CA88" s="137" t="s">
        <v>955</v>
      </c>
      <c r="CB88" s="137">
        <v>0</v>
      </c>
      <c r="CC88" s="137" t="s">
        <v>947</v>
      </c>
      <c r="CD88" s="137">
        <v>1</v>
      </c>
      <c r="CE88" s="137" t="s">
        <v>1022</v>
      </c>
      <c r="CF88" s="137" t="s">
        <v>1204</v>
      </c>
      <c r="CG88" s="137">
        <v>0</v>
      </c>
      <c r="CH88" s="137" t="s">
        <v>947</v>
      </c>
      <c r="CI88" s="137">
        <v>0</v>
      </c>
      <c r="CJ88" s="137" t="s">
        <v>947</v>
      </c>
      <c r="CK88" s="137" t="s">
        <v>947</v>
      </c>
      <c r="CL88" s="137">
        <v>1</v>
      </c>
      <c r="CM88" s="137" t="s">
        <v>1234</v>
      </c>
      <c r="CN88" s="161" t="s">
        <v>1095</v>
      </c>
      <c r="CO88" s="137">
        <v>0</v>
      </c>
      <c r="CP88" s="137" t="s">
        <v>947</v>
      </c>
      <c r="CQ88" s="137" t="s">
        <v>947</v>
      </c>
      <c r="CR88" s="137">
        <v>0</v>
      </c>
      <c r="CS88" s="137" t="s">
        <v>947</v>
      </c>
      <c r="CT88" s="137" t="s">
        <v>947</v>
      </c>
      <c r="CU88" s="137">
        <v>0</v>
      </c>
      <c r="CV88" s="137" t="s">
        <v>947</v>
      </c>
      <c r="CW88" s="137" t="s">
        <v>947</v>
      </c>
      <c r="CX88" s="137">
        <v>1</v>
      </c>
      <c r="CY88" s="137" t="s">
        <v>1105</v>
      </c>
      <c r="CZ88" s="137"/>
      <c r="DA88" s="137"/>
      <c r="DB88" s="152"/>
    </row>
    <row r="89" spans="1:106" s="110" customFormat="1" ht="16">
      <c r="A89" s="107" t="s">
        <v>393</v>
      </c>
      <c r="B89" s="153">
        <v>22105932</v>
      </c>
      <c r="C89" s="157" t="s">
        <v>1235</v>
      </c>
      <c r="D89" s="155">
        <v>44474</v>
      </c>
      <c r="E89" s="153">
        <v>64</v>
      </c>
      <c r="F89" s="153">
        <v>7</v>
      </c>
      <c r="G89" s="153">
        <v>17.09</v>
      </c>
      <c r="H89" s="153">
        <v>41.5</v>
      </c>
      <c r="I89" s="153">
        <v>25</v>
      </c>
      <c r="J89" s="153">
        <v>4</v>
      </c>
      <c r="K89" s="153">
        <v>1</v>
      </c>
      <c r="L89" s="153">
        <v>2</v>
      </c>
      <c r="M89" s="153">
        <v>0</v>
      </c>
      <c r="N89" s="153">
        <v>5</v>
      </c>
      <c r="O89" s="153">
        <v>7</v>
      </c>
      <c r="P89" s="153">
        <v>860</v>
      </c>
      <c r="Q89" s="153">
        <v>32.5</v>
      </c>
      <c r="R89" s="153">
        <v>24</v>
      </c>
      <c r="S89" s="153">
        <v>21</v>
      </c>
      <c r="T89" s="155">
        <v>32887</v>
      </c>
      <c r="U89" s="153">
        <v>30.85</v>
      </c>
      <c r="V89" s="153">
        <v>0</v>
      </c>
      <c r="W89" s="153">
        <v>1</v>
      </c>
      <c r="X89" s="153">
        <v>0</v>
      </c>
      <c r="Y89" s="153">
        <v>2</v>
      </c>
      <c r="Z89" s="153">
        <v>0</v>
      </c>
      <c r="AA89" s="153">
        <v>0</v>
      </c>
      <c r="AB89" s="153">
        <v>0</v>
      </c>
      <c r="AC89" s="153">
        <v>0</v>
      </c>
      <c r="AD89" s="153">
        <v>0</v>
      </c>
      <c r="AE89" s="153">
        <v>1</v>
      </c>
      <c r="AF89" s="153">
        <v>0</v>
      </c>
      <c r="AG89" s="153">
        <v>0</v>
      </c>
      <c r="AH89" s="153">
        <v>0</v>
      </c>
      <c r="AI89" s="153">
        <v>0</v>
      </c>
      <c r="AJ89" s="153">
        <v>0</v>
      </c>
      <c r="AK89" s="153">
        <v>0</v>
      </c>
      <c r="AL89" s="153">
        <v>0</v>
      </c>
      <c r="AM89" s="153">
        <v>0</v>
      </c>
      <c r="AN89" s="153">
        <v>0</v>
      </c>
      <c r="AO89" s="153">
        <v>0</v>
      </c>
      <c r="AP89" s="153">
        <v>0</v>
      </c>
      <c r="AQ89" s="153">
        <v>0</v>
      </c>
      <c r="AR89" s="153">
        <v>1</v>
      </c>
      <c r="AS89" s="153">
        <v>0</v>
      </c>
      <c r="AT89" s="153">
        <v>0</v>
      </c>
      <c r="AU89" s="153">
        <v>0</v>
      </c>
      <c r="AV89" s="153">
        <v>0</v>
      </c>
      <c r="AW89" s="153">
        <v>0</v>
      </c>
      <c r="AX89" s="153">
        <v>0</v>
      </c>
      <c r="AY89" s="153">
        <v>0</v>
      </c>
      <c r="AZ89" s="153">
        <v>0</v>
      </c>
      <c r="BA89" s="153">
        <v>0</v>
      </c>
      <c r="BB89" s="153">
        <v>0</v>
      </c>
      <c r="BC89" s="153">
        <v>0</v>
      </c>
      <c r="BD89" s="153">
        <v>0</v>
      </c>
      <c r="BE89" s="153">
        <v>0</v>
      </c>
      <c r="BF89" s="153">
        <v>0</v>
      </c>
      <c r="BG89" s="153">
        <v>0</v>
      </c>
      <c r="BH89" s="153">
        <v>0</v>
      </c>
      <c r="BI89" s="153">
        <v>0</v>
      </c>
      <c r="BJ89" s="153">
        <v>0</v>
      </c>
      <c r="BK89" s="153">
        <v>1</v>
      </c>
      <c r="BL89" s="153">
        <v>1</v>
      </c>
      <c r="BM89" s="153">
        <v>0</v>
      </c>
      <c r="BN89" s="153">
        <v>0</v>
      </c>
      <c r="BO89" s="153">
        <v>0</v>
      </c>
      <c r="BP89" s="153">
        <v>1</v>
      </c>
      <c r="BQ89" s="153">
        <v>0</v>
      </c>
      <c r="BR89" s="153">
        <v>1</v>
      </c>
      <c r="BS89" s="153">
        <v>0</v>
      </c>
      <c r="BT89" s="153">
        <v>1</v>
      </c>
      <c r="BU89" s="153">
        <v>0</v>
      </c>
      <c r="BV89" s="153">
        <v>0</v>
      </c>
      <c r="BW89" s="153">
        <v>0</v>
      </c>
      <c r="BX89" s="153">
        <v>0</v>
      </c>
      <c r="BY89" s="153">
        <v>0</v>
      </c>
      <c r="BZ89" s="153">
        <v>1</v>
      </c>
      <c r="CA89" s="153" t="s">
        <v>946</v>
      </c>
      <c r="CB89" s="153">
        <v>0</v>
      </c>
      <c r="CC89" s="153" t="s">
        <v>947</v>
      </c>
      <c r="CD89" s="153">
        <v>1</v>
      </c>
      <c r="CE89" s="157" t="s">
        <v>1142</v>
      </c>
      <c r="CF89" s="157" t="s">
        <v>1137</v>
      </c>
      <c r="CG89" s="153">
        <v>1</v>
      </c>
      <c r="CH89" s="157" t="s">
        <v>1236</v>
      </c>
      <c r="CI89" s="153">
        <v>0</v>
      </c>
      <c r="CJ89" s="153" t="s">
        <v>947</v>
      </c>
      <c r="CK89" s="153" t="s">
        <v>947</v>
      </c>
      <c r="CL89" s="153">
        <v>1</v>
      </c>
      <c r="CM89" s="157" t="s">
        <v>1236</v>
      </c>
      <c r="CN89" s="157" t="s">
        <v>1127</v>
      </c>
      <c r="CO89" s="153">
        <v>0</v>
      </c>
      <c r="CP89" s="153" t="s">
        <v>947</v>
      </c>
      <c r="CQ89" s="153" t="s">
        <v>947</v>
      </c>
      <c r="CR89" s="153">
        <v>0</v>
      </c>
      <c r="CS89" s="153" t="s">
        <v>947</v>
      </c>
      <c r="CT89" s="153" t="s">
        <v>947</v>
      </c>
      <c r="CU89" s="153">
        <v>0</v>
      </c>
      <c r="CV89" s="153" t="s">
        <v>947</v>
      </c>
      <c r="CW89" s="153" t="s">
        <v>947</v>
      </c>
      <c r="CX89" s="153">
        <v>1</v>
      </c>
      <c r="CY89" s="157" t="s">
        <v>1005</v>
      </c>
      <c r="CZ89" s="153">
        <v>2</v>
      </c>
      <c r="DA89" s="153"/>
      <c r="DB89" s="158"/>
    </row>
    <row r="90" spans="1:106" s="110" customFormat="1" ht="16">
      <c r="A90" s="107" t="s">
        <v>397</v>
      </c>
      <c r="B90" s="153">
        <v>22105933</v>
      </c>
      <c r="C90" s="157" t="s">
        <v>1237</v>
      </c>
      <c r="D90" s="155">
        <v>44474</v>
      </c>
      <c r="E90" s="153">
        <v>63.4</v>
      </c>
      <c r="F90" s="153">
        <v>6.8</v>
      </c>
      <c r="G90" s="153">
        <v>16.920000000000002</v>
      </c>
      <c r="H90" s="153">
        <v>40</v>
      </c>
      <c r="I90" s="153">
        <v>25</v>
      </c>
      <c r="J90" s="153">
        <v>4</v>
      </c>
      <c r="K90" s="153">
        <v>1</v>
      </c>
      <c r="L90" s="153">
        <v>2</v>
      </c>
      <c r="M90" s="153">
        <v>0</v>
      </c>
      <c r="N90" s="153">
        <v>5</v>
      </c>
      <c r="O90" s="153">
        <v>8</v>
      </c>
      <c r="P90" s="153">
        <v>760</v>
      </c>
      <c r="Q90" s="153">
        <v>32</v>
      </c>
      <c r="R90" s="153">
        <v>23.5</v>
      </c>
      <c r="S90" s="153">
        <v>19</v>
      </c>
      <c r="T90" s="155">
        <v>32887</v>
      </c>
      <c r="U90" s="153">
        <v>30.85</v>
      </c>
      <c r="V90" s="153">
        <v>0</v>
      </c>
      <c r="W90" s="153">
        <v>1</v>
      </c>
      <c r="X90" s="153">
        <v>0</v>
      </c>
      <c r="Y90" s="153">
        <v>2</v>
      </c>
      <c r="Z90" s="153">
        <v>0</v>
      </c>
      <c r="AA90" s="153">
        <v>0</v>
      </c>
      <c r="AB90" s="153">
        <v>0</v>
      </c>
      <c r="AC90" s="153">
        <v>0</v>
      </c>
      <c r="AD90" s="153">
        <v>0</v>
      </c>
      <c r="AE90" s="153">
        <v>1</v>
      </c>
      <c r="AF90" s="153">
        <v>0</v>
      </c>
      <c r="AG90" s="153">
        <v>0</v>
      </c>
      <c r="AH90" s="153">
        <v>0</v>
      </c>
      <c r="AI90" s="153">
        <v>0</v>
      </c>
      <c r="AJ90" s="153">
        <v>0</v>
      </c>
      <c r="AK90" s="153">
        <v>0</v>
      </c>
      <c r="AL90" s="153">
        <v>0</v>
      </c>
      <c r="AM90" s="153">
        <v>0</v>
      </c>
      <c r="AN90" s="153">
        <v>0</v>
      </c>
      <c r="AO90" s="153">
        <v>0</v>
      </c>
      <c r="AP90" s="153">
        <v>0</v>
      </c>
      <c r="AQ90" s="153">
        <v>0</v>
      </c>
      <c r="AR90" s="153">
        <v>1</v>
      </c>
      <c r="AS90" s="153">
        <v>0</v>
      </c>
      <c r="AT90" s="153">
        <v>0</v>
      </c>
      <c r="AU90" s="153">
        <v>0</v>
      </c>
      <c r="AV90" s="153">
        <v>0</v>
      </c>
      <c r="AW90" s="153">
        <v>0</v>
      </c>
      <c r="AX90" s="153">
        <v>0</v>
      </c>
      <c r="AY90" s="153">
        <v>1</v>
      </c>
      <c r="AZ90" s="153">
        <v>0</v>
      </c>
      <c r="BA90" s="153">
        <v>0</v>
      </c>
      <c r="BB90" s="153">
        <v>0</v>
      </c>
      <c r="BC90" s="153">
        <v>0</v>
      </c>
      <c r="BD90" s="153">
        <v>0</v>
      </c>
      <c r="BE90" s="153">
        <v>0</v>
      </c>
      <c r="BF90" s="153">
        <v>0</v>
      </c>
      <c r="BG90" s="153">
        <v>0</v>
      </c>
      <c r="BH90" s="153">
        <v>1</v>
      </c>
      <c r="BI90" s="153">
        <v>0</v>
      </c>
      <c r="BJ90" s="153">
        <v>0</v>
      </c>
      <c r="BK90" s="153">
        <v>1</v>
      </c>
      <c r="BL90" s="153">
        <v>0</v>
      </c>
      <c r="BM90" s="153">
        <v>0</v>
      </c>
      <c r="BN90" s="153">
        <v>0</v>
      </c>
      <c r="BO90" s="153">
        <v>0</v>
      </c>
      <c r="BP90" s="153">
        <v>0</v>
      </c>
      <c r="BQ90" s="153">
        <v>0</v>
      </c>
      <c r="BR90" s="153">
        <v>0</v>
      </c>
      <c r="BS90" s="153">
        <v>0</v>
      </c>
      <c r="BT90" s="153">
        <v>1</v>
      </c>
      <c r="BU90" s="153">
        <v>0</v>
      </c>
      <c r="BV90" s="153">
        <v>0</v>
      </c>
      <c r="BW90" s="153">
        <v>0</v>
      </c>
      <c r="BX90" s="153">
        <v>0</v>
      </c>
      <c r="BY90" s="153">
        <v>0</v>
      </c>
      <c r="BZ90" s="153">
        <v>1</v>
      </c>
      <c r="CA90" s="153" t="s">
        <v>946</v>
      </c>
      <c r="CB90" s="153">
        <v>0</v>
      </c>
      <c r="CC90" s="153" t="s">
        <v>947</v>
      </c>
      <c r="CD90" s="153">
        <v>1</v>
      </c>
      <c r="CE90" s="153" t="s">
        <v>946</v>
      </c>
      <c r="CF90" s="157" t="s">
        <v>1137</v>
      </c>
      <c r="CG90" s="153">
        <v>1</v>
      </c>
      <c r="CH90" s="157" t="s">
        <v>1236</v>
      </c>
      <c r="CI90" s="153">
        <v>0</v>
      </c>
      <c r="CJ90" s="153" t="s">
        <v>947</v>
      </c>
      <c r="CK90" s="153" t="s">
        <v>947</v>
      </c>
      <c r="CL90" s="153">
        <v>1</v>
      </c>
      <c r="CM90" s="157" t="s">
        <v>1236</v>
      </c>
      <c r="CN90" s="157" t="s">
        <v>1127</v>
      </c>
      <c r="CO90" s="153">
        <v>0</v>
      </c>
      <c r="CP90" s="153" t="s">
        <v>947</v>
      </c>
      <c r="CQ90" s="153" t="s">
        <v>947</v>
      </c>
      <c r="CR90" s="153">
        <v>0</v>
      </c>
      <c r="CS90" s="153" t="s">
        <v>947</v>
      </c>
      <c r="CT90" s="153" t="s">
        <v>947</v>
      </c>
      <c r="CU90" s="153">
        <v>0</v>
      </c>
      <c r="CV90" s="153" t="s">
        <v>947</v>
      </c>
      <c r="CW90" s="153" t="s">
        <v>947</v>
      </c>
      <c r="CX90" s="153">
        <v>1</v>
      </c>
      <c r="CY90" s="157" t="s">
        <v>1005</v>
      </c>
      <c r="CZ90" s="153">
        <v>2</v>
      </c>
      <c r="DA90" s="153"/>
      <c r="DB90" s="158"/>
    </row>
    <row r="91" spans="1:106" ht="16">
      <c r="A91" s="1" t="s">
        <v>399</v>
      </c>
      <c r="B91" s="137">
        <v>22107573</v>
      </c>
      <c r="C91" s="161" t="s">
        <v>1238</v>
      </c>
      <c r="D91" s="159">
        <v>44564</v>
      </c>
      <c r="E91" s="137">
        <v>64.599999999999994</v>
      </c>
      <c r="F91" s="137">
        <v>8</v>
      </c>
      <c r="G91" s="137">
        <v>19.170000000000002</v>
      </c>
      <c r="H91" s="137">
        <v>43.6</v>
      </c>
      <c r="I91" s="137">
        <v>30</v>
      </c>
      <c r="J91" s="137">
        <v>5</v>
      </c>
      <c r="K91" s="137">
        <v>1</v>
      </c>
      <c r="L91" s="137">
        <v>1</v>
      </c>
      <c r="M91" s="137">
        <v>0</v>
      </c>
      <c r="N91" s="137">
        <v>8</v>
      </c>
      <c r="O91" s="137">
        <v>9</v>
      </c>
      <c r="P91" s="137">
        <v>1300</v>
      </c>
      <c r="Q91" s="137">
        <v>37</v>
      </c>
      <c r="R91" s="137">
        <v>25.5</v>
      </c>
      <c r="S91" s="137">
        <v>24</v>
      </c>
      <c r="T91" s="159">
        <v>33376</v>
      </c>
      <c r="U91" s="137">
        <v>29.94</v>
      </c>
      <c r="V91" s="137">
        <v>0</v>
      </c>
      <c r="W91" s="137">
        <v>1</v>
      </c>
      <c r="X91" s="137">
        <v>0</v>
      </c>
      <c r="Y91" s="137">
        <v>1</v>
      </c>
      <c r="Z91" s="137">
        <v>0</v>
      </c>
      <c r="AA91" s="137">
        <v>1</v>
      </c>
      <c r="AB91" s="137">
        <v>1</v>
      </c>
      <c r="AC91" s="137">
        <v>0</v>
      </c>
      <c r="AD91" s="137">
        <v>0</v>
      </c>
      <c r="AE91" s="137">
        <v>0</v>
      </c>
      <c r="AF91" s="137">
        <v>0</v>
      </c>
      <c r="AG91" s="137">
        <v>1</v>
      </c>
      <c r="AH91" s="137">
        <v>0</v>
      </c>
      <c r="AI91" s="137">
        <v>0</v>
      </c>
      <c r="AJ91" s="137">
        <v>0</v>
      </c>
      <c r="AK91" s="137">
        <v>0</v>
      </c>
      <c r="AL91" s="137">
        <v>0</v>
      </c>
      <c r="AM91" s="137">
        <v>0</v>
      </c>
      <c r="AN91" s="137">
        <v>0</v>
      </c>
      <c r="AO91" s="137">
        <v>0</v>
      </c>
      <c r="AP91" s="137">
        <v>0</v>
      </c>
      <c r="AQ91" s="137">
        <v>0</v>
      </c>
      <c r="AR91" s="137" t="s">
        <v>954</v>
      </c>
      <c r="AS91" s="137">
        <v>0</v>
      </c>
      <c r="AT91" s="137">
        <v>0</v>
      </c>
      <c r="AU91" s="137">
        <v>0</v>
      </c>
      <c r="AV91" s="137">
        <v>0</v>
      </c>
      <c r="AW91" s="137">
        <v>0</v>
      </c>
      <c r="AX91" s="137">
        <v>0</v>
      </c>
      <c r="AY91" s="137">
        <v>0</v>
      </c>
      <c r="AZ91" s="137">
        <v>0</v>
      </c>
      <c r="BA91" s="137">
        <v>0</v>
      </c>
      <c r="BB91" s="137">
        <v>0</v>
      </c>
      <c r="BC91" s="137">
        <v>0</v>
      </c>
      <c r="BD91" s="137">
        <v>0</v>
      </c>
      <c r="BE91" s="137">
        <v>0</v>
      </c>
      <c r="BF91" s="137">
        <v>0</v>
      </c>
      <c r="BG91" s="137">
        <v>0</v>
      </c>
      <c r="BH91" s="137">
        <v>0</v>
      </c>
      <c r="BI91" s="137">
        <v>0</v>
      </c>
      <c r="BJ91" s="137">
        <v>0</v>
      </c>
      <c r="BK91" s="137">
        <v>1</v>
      </c>
      <c r="BL91" s="137">
        <v>1</v>
      </c>
      <c r="BM91" s="137">
        <v>0</v>
      </c>
      <c r="BN91" s="137">
        <v>0</v>
      </c>
      <c r="BO91" s="137">
        <v>0</v>
      </c>
      <c r="BP91" s="137">
        <v>0</v>
      </c>
      <c r="BQ91" s="137">
        <v>1</v>
      </c>
      <c r="BR91" s="137">
        <v>0</v>
      </c>
      <c r="BS91" s="137">
        <v>0</v>
      </c>
      <c r="BT91" s="137">
        <v>0</v>
      </c>
      <c r="BU91" s="137">
        <v>0</v>
      </c>
      <c r="BV91" s="137">
        <v>0</v>
      </c>
      <c r="BW91" s="137">
        <v>0</v>
      </c>
      <c r="BX91" s="137">
        <v>0</v>
      </c>
      <c r="BY91" s="137">
        <v>0</v>
      </c>
      <c r="BZ91" s="137">
        <v>1</v>
      </c>
      <c r="CA91" s="137" t="s">
        <v>1210</v>
      </c>
      <c r="CB91" s="137">
        <v>1</v>
      </c>
      <c r="CC91" s="161" t="s">
        <v>1057</v>
      </c>
      <c r="CD91" s="137">
        <v>1</v>
      </c>
      <c r="CE91" s="161" t="s">
        <v>1108</v>
      </c>
      <c r="CF91" s="137" t="s">
        <v>1239</v>
      </c>
      <c r="CG91" s="137">
        <v>1</v>
      </c>
      <c r="CH91" s="137" t="s">
        <v>946</v>
      </c>
      <c r="CI91" s="137">
        <v>0</v>
      </c>
      <c r="CJ91" s="137" t="s">
        <v>947</v>
      </c>
      <c r="CK91" s="137" t="s">
        <v>947</v>
      </c>
      <c r="CL91" s="137">
        <v>1</v>
      </c>
      <c r="CM91" s="137" t="s">
        <v>1167</v>
      </c>
      <c r="CN91" s="161" t="s">
        <v>1127</v>
      </c>
      <c r="CO91" s="161" t="s">
        <v>1060</v>
      </c>
      <c r="CP91" s="137" t="s">
        <v>946</v>
      </c>
      <c r="CQ91" s="161" t="s">
        <v>993</v>
      </c>
      <c r="CR91" s="137">
        <v>0</v>
      </c>
      <c r="CS91" s="137" t="s">
        <v>947</v>
      </c>
      <c r="CT91" s="137" t="s">
        <v>947</v>
      </c>
      <c r="CU91" s="137">
        <v>0</v>
      </c>
      <c r="CV91" s="137" t="s">
        <v>947</v>
      </c>
      <c r="CW91" s="137" t="s">
        <v>947</v>
      </c>
      <c r="CX91" s="137">
        <v>1</v>
      </c>
      <c r="CY91" s="161" t="s">
        <v>1240</v>
      </c>
      <c r="CZ91" s="137">
        <v>2</v>
      </c>
      <c r="DA91" s="137"/>
      <c r="DB91" s="152"/>
    </row>
    <row r="92" spans="1:106" ht="16">
      <c r="A92" s="1" t="s">
        <v>403</v>
      </c>
      <c r="B92" s="137">
        <v>22105890</v>
      </c>
      <c r="C92" s="161" t="s">
        <v>1241</v>
      </c>
      <c r="D92" s="159">
        <v>44474</v>
      </c>
      <c r="E92" s="137">
        <v>65.3</v>
      </c>
      <c r="F92" s="137">
        <v>5.7</v>
      </c>
      <c r="G92" s="137">
        <v>13.37</v>
      </c>
      <c r="H92" s="137">
        <v>40.200000000000003</v>
      </c>
      <c r="I92" s="137">
        <v>25</v>
      </c>
      <c r="J92" s="137">
        <v>1</v>
      </c>
      <c r="K92" s="137">
        <v>1</v>
      </c>
      <c r="L92" s="137">
        <v>2</v>
      </c>
      <c r="M92" s="137">
        <v>0</v>
      </c>
      <c r="N92" s="137">
        <v>6</v>
      </c>
      <c r="O92" s="137">
        <v>8</v>
      </c>
      <c r="P92" s="137">
        <v>540</v>
      </c>
      <c r="Q92" s="137">
        <v>30</v>
      </c>
      <c r="R92" s="137">
        <v>21.5</v>
      </c>
      <c r="S92" s="137">
        <v>17.5</v>
      </c>
      <c r="T92" s="159">
        <v>31479</v>
      </c>
      <c r="U92" s="137">
        <v>34.69</v>
      </c>
      <c r="V92" s="137">
        <v>2</v>
      </c>
      <c r="W92" s="137">
        <v>1</v>
      </c>
      <c r="X92" s="137">
        <v>0</v>
      </c>
      <c r="Y92" s="137">
        <v>3</v>
      </c>
      <c r="Z92" s="137">
        <v>0</v>
      </c>
      <c r="AA92" s="137">
        <v>0</v>
      </c>
      <c r="AB92" s="137">
        <v>0</v>
      </c>
      <c r="AC92" s="137">
        <v>0</v>
      </c>
      <c r="AD92" s="137">
        <v>0</v>
      </c>
      <c r="AE92" s="137">
        <v>0</v>
      </c>
      <c r="AF92" s="137">
        <v>0</v>
      </c>
      <c r="AG92" s="137">
        <v>0</v>
      </c>
      <c r="AH92" s="137">
        <v>0</v>
      </c>
      <c r="AI92" s="137">
        <v>1</v>
      </c>
      <c r="AJ92" s="137">
        <v>0</v>
      </c>
      <c r="AK92" s="137">
        <v>0</v>
      </c>
      <c r="AL92" s="137">
        <v>1</v>
      </c>
      <c r="AM92" s="137">
        <v>20</v>
      </c>
      <c r="AN92" s="137">
        <v>0</v>
      </c>
      <c r="AO92" s="137">
        <v>0</v>
      </c>
      <c r="AP92" s="137">
        <v>0</v>
      </c>
      <c r="AQ92" s="137">
        <v>0</v>
      </c>
      <c r="AR92" s="137" t="s">
        <v>954</v>
      </c>
      <c r="AS92" s="137">
        <v>0</v>
      </c>
      <c r="AT92" s="137">
        <v>0</v>
      </c>
      <c r="AU92" s="137">
        <v>0</v>
      </c>
      <c r="AV92" s="137">
        <v>0</v>
      </c>
      <c r="AW92" s="137">
        <v>0</v>
      </c>
      <c r="AX92" s="137">
        <v>0</v>
      </c>
      <c r="AY92" s="137">
        <v>0</v>
      </c>
      <c r="AZ92" s="137">
        <v>0</v>
      </c>
      <c r="BA92" s="137">
        <v>0</v>
      </c>
      <c r="BB92" s="137">
        <v>0</v>
      </c>
      <c r="BC92" s="137">
        <v>0</v>
      </c>
      <c r="BD92" s="137">
        <v>0</v>
      </c>
      <c r="BE92" s="137">
        <v>0</v>
      </c>
      <c r="BF92" s="137">
        <v>0</v>
      </c>
      <c r="BG92" s="137">
        <v>0</v>
      </c>
      <c r="BH92" s="137">
        <v>0</v>
      </c>
      <c r="BI92" s="137">
        <v>0</v>
      </c>
      <c r="BJ92" s="137">
        <v>0</v>
      </c>
      <c r="BK92" s="137">
        <v>1</v>
      </c>
      <c r="BL92" s="137">
        <v>0</v>
      </c>
      <c r="BM92" s="137">
        <v>1</v>
      </c>
      <c r="BN92" s="137">
        <v>0</v>
      </c>
      <c r="BO92" s="137">
        <v>0</v>
      </c>
      <c r="BP92" s="137">
        <v>0</v>
      </c>
      <c r="BQ92" s="137">
        <v>0</v>
      </c>
      <c r="BR92" s="137">
        <v>0</v>
      </c>
      <c r="BS92" s="137">
        <v>0</v>
      </c>
      <c r="BT92" s="137">
        <v>1</v>
      </c>
      <c r="BU92" s="137">
        <v>0</v>
      </c>
      <c r="BV92" s="137">
        <v>0</v>
      </c>
      <c r="BW92" s="137">
        <v>0</v>
      </c>
      <c r="BX92" s="137">
        <v>0</v>
      </c>
      <c r="BY92" s="137">
        <v>0</v>
      </c>
      <c r="BZ92" s="137">
        <v>1</v>
      </c>
      <c r="CA92" s="137" t="s">
        <v>955</v>
      </c>
      <c r="CB92" s="137">
        <v>0</v>
      </c>
      <c r="CC92" s="137" t="s">
        <v>947</v>
      </c>
      <c r="CD92" s="137">
        <v>1</v>
      </c>
      <c r="CE92" s="137" t="s">
        <v>1242</v>
      </c>
      <c r="CF92" s="161" t="s">
        <v>1035</v>
      </c>
      <c r="CG92" s="137">
        <v>1</v>
      </c>
      <c r="CH92" s="161" t="s">
        <v>1044</v>
      </c>
      <c r="CI92" s="137">
        <v>0</v>
      </c>
      <c r="CJ92" s="137" t="s">
        <v>947</v>
      </c>
      <c r="CK92" s="137" t="s">
        <v>947</v>
      </c>
      <c r="CL92" s="137">
        <v>1</v>
      </c>
      <c r="CM92" s="161" t="s">
        <v>1044</v>
      </c>
      <c r="CN92" s="161" t="s">
        <v>1243</v>
      </c>
      <c r="CO92" s="161" t="s">
        <v>1060</v>
      </c>
      <c r="CP92" s="161" t="s">
        <v>1044</v>
      </c>
      <c r="CQ92" s="161" t="s">
        <v>993</v>
      </c>
      <c r="CR92" s="137">
        <v>0</v>
      </c>
      <c r="CS92" s="137" t="s">
        <v>947</v>
      </c>
      <c r="CT92" s="137" t="s">
        <v>947</v>
      </c>
      <c r="CU92" s="137">
        <v>1</v>
      </c>
      <c r="CV92" s="137" t="s">
        <v>1244</v>
      </c>
      <c r="CW92" s="161" t="s">
        <v>1245</v>
      </c>
      <c r="CX92" s="137">
        <v>1</v>
      </c>
      <c r="CY92" s="161" t="s">
        <v>1246</v>
      </c>
      <c r="CZ92" s="137">
        <v>2</v>
      </c>
      <c r="DA92" s="137"/>
      <c r="DB92" s="152"/>
    </row>
    <row r="93" spans="1:106" s="110" customFormat="1" ht="16">
      <c r="A93" s="107" t="s">
        <v>407</v>
      </c>
      <c r="B93" s="153">
        <v>22108642</v>
      </c>
      <c r="C93" s="157" t="s">
        <v>1247</v>
      </c>
      <c r="D93" s="155">
        <v>44706</v>
      </c>
      <c r="E93" s="153">
        <v>68.2</v>
      </c>
      <c r="F93" s="153">
        <v>8.6</v>
      </c>
      <c r="G93" s="153">
        <v>18.489999999999998</v>
      </c>
      <c r="H93" s="153">
        <v>43.2</v>
      </c>
      <c r="I93" s="153">
        <v>31</v>
      </c>
      <c r="J93" s="153">
        <v>1</v>
      </c>
      <c r="K93" s="153">
        <v>1</v>
      </c>
      <c r="L93" s="153">
        <v>2</v>
      </c>
      <c r="M93" s="153">
        <v>0</v>
      </c>
      <c r="N93" s="153">
        <v>5</v>
      </c>
      <c r="O93" s="153">
        <v>8</v>
      </c>
      <c r="P93" s="153">
        <v>1520</v>
      </c>
      <c r="Q93" s="153">
        <v>40</v>
      </c>
      <c r="R93" s="153">
        <v>29</v>
      </c>
      <c r="S93" s="153">
        <v>25.5</v>
      </c>
      <c r="T93" s="155">
        <v>33347</v>
      </c>
      <c r="U93" s="153">
        <v>30.33</v>
      </c>
      <c r="V93" s="153">
        <v>0</v>
      </c>
      <c r="W93" s="153">
        <v>3</v>
      </c>
      <c r="X93" s="153">
        <v>0</v>
      </c>
      <c r="Y93" s="153">
        <v>3</v>
      </c>
      <c r="Z93" s="153">
        <v>1</v>
      </c>
      <c r="AA93" s="153">
        <v>0</v>
      </c>
      <c r="AB93" s="153">
        <v>0</v>
      </c>
      <c r="AC93" s="153">
        <v>0</v>
      </c>
      <c r="AD93" s="153">
        <v>0</v>
      </c>
      <c r="AE93" s="153">
        <v>1</v>
      </c>
      <c r="AF93" s="153">
        <v>0</v>
      </c>
      <c r="AG93" s="153">
        <v>0</v>
      </c>
      <c r="AH93" s="153">
        <v>0</v>
      </c>
      <c r="AI93" s="153">
        <v>1</v>
      </c>
      <c r="AJ93" s="153">
        <v>0</v>
      </c>
      <c r="AK93" s="153">
        <v>0</v>
      </c>
      <c r="AL93" s="153">
        <v>1</v>
      </c>
      <c r="AM93" s="153">
        <v>20</v>
      </c>
      <c r="AN93" s="153">
        <v>0</v>
      </c>
      <c r="AO93" s="153">
        <v>0</v>
      </c>
      <c r="AP93" s="153">
        <v>0</v>
      </c>
      <c r="AQ93" s="153">
        <v>0</v>
      </c>
      <c r="AR93" s="153">
        <v>1</v>
      </c>
      <c r="AS93" s="153">
        <v>0</v>
      </c>
      <c r="AT93" s="153">
        <v>0</v>
      </c>
      <c r="AU93" s="153">
        <v>0</v>
      </c>
      <c r="AV93" s="153">
        <v>0</v>
      </c>
      <c r="AW93" s="153">
        <v>0</v>
      </c>
      <c r="AX93" s="153">
        <v>0</v>
      </c>
      <c r="AY93" s="153">
        <v>0</v>
      </c>
      <c r="AZ93" s="153">
        <v>0</v>
      </c>
      <c r="BA93" s="153">
        <v>0</v>
      </c>
      <c r="BB93" s="153">
        <v>0</v>
      </c>
      <c r="BC93" s="153">
        <v>0</v>
      </c>
      <c r="BD93" s="153">
        <v>0</v>
      </c>
      <c r="BE93" s="153">
        <v>0</v>
      </c>
      <c r="BF93" s="153">
        <v>0</v>
      </c>
      <c r="BG93" s="153">
        <v>0</v>
      </c>
      <c r="BH93" s="153">
        <v>0</v>
      </c>
      <c r="BI93" s="153">
        <v>0</v>
      </c>
      <c r="BJ93" s="153">
        <v>0</v>
      </c>
      <c r="BK93" s="153">
        <v>1</v>
      </c>
      <c r="BL93" s="153">
        <v>0</v>
      </c>
      <c r="BM93" s="153">
        <v>0</v>
      </c>
      <c r="BN93" s="153">
        <v>0</v>
      </c>
      <c r="BO93" s="153">
        <v>0</v>
      </c>
      <c r="BP93" s="153">
        <v>0</v>
      </c>
      <c r="BQ93" s="153">
        <v>1</v>
      </c>
      <c r="BR93" s="153">
        <v>0</v>
      </c>
      <c r="BS93" s="153">
        <v>0</v>
      </c>
      <c r="BT93" s="153">
        <v>0</v>
      </c>
      <c r="BU93" s="153">
        <v>0</v>
      </c>
      <c r="BV93" s="153">
        <v>0</v>
      </c>
      <c r="BW93" s="153">
        <v>0</v>
      </c>
      <c r="BX93" s="153">
        <v>0</v>
      </c>
      <c r="BY93" s="153">
        <v>0</v>
      </c>
      <c r="BZ93" s="153">
        <v>0</v>
      </c>
      <c r="CA93" s="153" t="s">
        <v>947</v>
      </c>
      <c r="CB93" s="153">
        <v>0</v>
      </c>
      <c r="CC93" s="153" t="s">
        <v>947</v>
      </c>
      <c r="CD93" s="153">
        <v>1</v>
      </c>
      <c r="CE93" s="153" t="s">
        <v>946</v>
      </c>
      <c r="CF93" s="157" t="s">
        <v>1248</v>
      </c>
      <c r="CG93" s="153">
        <v>1</v>
      </c>
      <c r="CH93" s="157" t="s">
        <v>1249</v>
      </c>
      <c r="CI93" s="153">
        <v>1</v>
      </c>
      <c r="CJ93" s="153" t="s">
        <v>1250</v>
      </c>
      <c r="CK93" s="157" t="s">
        <v>1146</v>
      </c>
      <c r="CL93" s="153">
        <v>1</v>
      </c>
      <c r="CM93" s="153" t="s">
        <v>1250</v>
      </c>
      <c r="CN93" s="157" t="s">
        <v>1146</v>
      </c>
      <c r="CO93" s="157" t="s">
        <v>1086</v>
      </c>
      <c r="CP93" s="153" t="s">
        <v>946</v>
      </c>
      <c r="CQ93" s="157" t="s">
        <v>993</v>
      </c>
      <c r="CR93" s="153">
        <v>0</v>
      </c>
      <c r="CS93" s="153" t="s">
        <v>947</v>
      </c>
      <c r="CT93" s="153" t="s">
        <v>947</v>
      </c>
      <c r="CU93" s="153">
        <v>0</v>
      </c>
      <c r="CV93" s="153" t="s">
        <v>947</v>
      </c>
      <c r="CW93" s="153" t="s">
        <v>947</v>
      </c>
      <c r="CX93" s="153">
        <v>1</v>
      </c>
      <c r="CY93" s="157" t="s">
        <v>1149</v>
      </c>
      <c r="CZ93" s="153">
        <v>2</v>
      </c>
      <c r="DA93" s="153"/>
      <c r="DB93" s="158"/>
    </row>
    <row r="94" spans="1:106" s="114" customFormat="1" ht="16">
      <c r="A94" s="112" t="s">
        <v>411</v>
      </c>
      <c r="B94" s="162">
        <v>22102895</v>
      </c>
      <c r="C94" s="163" t="s">
        <v>1251</v>
      </c>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176"/>
      <c r="AY94" s="176"/>
      <c r="AZ94" s="176"/>
      <c r="BA94" s="176"/>
      <c r="BB94" s="176"/>
      <c r="BC94" s="176"/>
      <c r="BD94" s="176"/>
      <c r="BE94" s="176"/>
      <c r="BF94" s="176"/>
      <c r="BG94" s="176"/>
      <c r="BH94" s="176"/>
      <c r="BI94" s="176"/>
      <c r="BJ94" s="176"/>
      <c r="BK94" s="176"/>
      <c r="BL94" s="176"/>
      <c r="BM94" s="176"/>
      <c r="BN94" s="176"/>
      <c r="BO94" s="176"/>
      <c r="BP94" s="176"/>
      <c r="BQ94" s="176"/>
      <c r="BR94" s="176"/>
      <c r="BS94" s="176"/>
      <c r="BT94" s="176"/>
      <c r="BU94" s="176"/>
      <c r="BV94" s="176"/>
      <c r="BW94" s="176"/>
      <c r="BX94" s="176"/>
      <c r="BY94" s="176"/>
      <c r="BZ94" s="176"/>
      <c r="CA94" s="176"/>
      <c r="CB94" s="176"/>
      <c r="CC94" s="176"/>
      <c r="CD94" s="176"/>
      <c r="CE94" s="176"/>
      <c r="CF94" s="176"/>
      <c r="CG94" s="176"/>
      <c r="CH94" s="176"/>
      <c r="CI94" s="176"/>
      <c r="CJ94" s="176"/>
      <c r="CK94" s="176"/>
      <c r="CL94" s="176"/>
      <c r="CM94" s="176"/>
      <c r="CN94" s="176"/>
      <c r="CO94" s="176"/>
      <c r="CP94" s="176"/>
      <c r="CQ94" s="176"/>
      <c r="CR94" s="176"/>
      <c r="CS94" s="176"/>
      <c r="CT94" s="176"/>
      <c r="CU94" s="176"/>
      <c r="CV94" s="176"/>
      <c r="CW94" s="176"/>
      <c r="CX94" s="176"/>
      <c r="CY94" s="176"/>
      <c r="CZ94" s="176"/>
      <c r="DA94" s="176"/>
      <c r="DB94" s="176"/>
    </row>
    <row r="95" spans="1:106" s="114" customFormat="1" ht="16">
      <c r="A95" s="112" t="s">
        <v>415</v>
      </c>
      <c r="B95" s="162">
        <v>22102896</v>
      </c>
      <c r="C95" s="163" t="s">
        <v>1262</v>
      </c>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c r="BA95" s="176"/>
      <c r="BB95" s="176"/>
      <c r="BC95" s="176"/>
      <c r="BD95" s="176"/>
      <c r="BE95" s="176"/>
      <c r="BF95" s="176"/>
      <c r="BG95" s="176"/>
      <c r="BH95" s="176"/>
      <c r="BI95" s="176"/>
      <c r="BJ95" s="176"/>
      <c r="BK95" s="176"/>
      <c r="BL95" s="176"/>
      <c r="BM95" s="176"/>
      <c r="BN95" s="176"/>
      <c r="BO95" s="176"/>
      <c r="BP95" s="176"/>
      <c r="BQ95" s="176"/>
      <c r="BR95" s="176"/>
      <c r="BS95" s="176"/>
      <c r="BT95" s="176"/>
      <c r="BU95" s="176"/>
      <c r="BV95" s="176"/>
      <c r="BW95" s="176"/>
      <c r="BX95" s="176"/>
      <c r="BY95" s="176"/>
      <c r="BZ95" s="176"/>
      <c r="CA95" s="176"/>
      <c r="CB95" s="176"/>
      <c r="CC95" s="176"/>
      <c r="CD95" s="176"/>
      <c r="CE95" s="176"/>
      <c r="CF95" s="176"/>
      <c r="CG95" s="176"/>
      <c r="CH95" s="176"/>
      <c r="CI95" s="176"/>
      <c r="CJ95" s="176"/>
      <c r="CK95" s="176"/>
      <c r="CL95" s="176"/>
      <c r="CM95" s="176"/>
      <c r="CN95" s="176"/>
      <c r="CO95" s="176"/>
      <c r="CP95" s="176"/>
      <c r="CQ95" s="176"/>
      <c r="CR95" s="176"/>
      <c r="CS95" s="176"/>
      <c r="CT95" s="176"/>
      <c r="CU95" s="176"/>
      <c r="CV95" s="176"/>
      <c r="CW95" s="176"/>
      <c r="CX95" s="176"/>
      <c r="CY95" s="176"/>
      <c r="CZ95" s="176"/>
      <c r="DA95" s="176"/>
      <c r="DB95" s="176"/>
    </row>
    <row r="96" spans="1:106" ht="16">
      <c r="A96" s="1" t="s">
        <v>418</v>
      </c>
      <c r="B96" s="1">
        <v>22104599</v>
      </c>
      <c r="C96" s="1" t="s">
        <v>419</v>
      </c>
      <c r="D96" s="5">
        <v>44483</v>
      </c>
      <c r="E96" s="1">
        <v>70.5</v>
      </c>
      <c r="F96" s="1">
        <v>7.8</v>
      </c>
      <c r="G96" s="1">
        <f>F96/(E96/100)^2</f>
        <v>15.693375584729139</v>
      </c>
      <c r="H96" s="1">
        <v>43</v>
      </c>
      <c r="I96" s="1">
        <v>30</v>
      </c>
      <c r="J96" s="1">
        <v>2</v>
      </c>
      <c r="K96" s="1">
        <v>1</v>
      </c>
      <c r="L96" s="1">
        <v>2</v>
      </c>
      <c r="M96" s="1">
        <v>0</v>
      </c>
      <c r="N96" s="1">
        <v>8</v>
      </c>
      <c r="O96" s="1">
        <v>9</v>
      </c>
      <c r="P96" s="1">
        <v>910</v>
      </c>
      <c r="Q96" s="1">
        <v>35</v>
      </c>
      <c r="R96" s="1">
        <v>25</v>
      </c>
      <c r="S96" s="1">
        <v>22.3</v>
      </c>
      <c r="T96" s="5">
        <v>30690</v>
      </c>
      <c r="U96" s="1">
        <v>36.51</v>
      </c>
      <c r="V96" s="1">
        <v>0</v>
      </c>
      <c r="W96" s="1">
        <v>1</v>
      </c>
      <c r="X96" s="1">
        <v>3</v>
      </c>
      <c r="Y96" s="1">
        <v>1</v>
      </c>
      <c r="Z96" s="1">
        <v>1</v>
      </c>
      <c r="AA96" s="1">
        <v>1</v>
      </c>
      <c r="AB96" s="1">
        <v>0</v>
      </c>
      <c r="AC96" s="1">
        <v>0</v>
      </c>
      <c r="AD96" s="1">
        <v>0</v>
      </c>
      <c r="AE96" s="1">
        <v>0</v>
      </c>
      <c r="AF96" s="1">
        <v>0</v>
      </c>
      <c r="AG96" s="1">
        <v>0</v>
      </c>
      <c r="AH96" s="1">
        <v>1</v>
      </c>
      <c r="AI96" s="1">
        <v>0</v>
      </c>
      <c r="AJ96" s="1">
        <v>0</v>
      </c>
      <c r="AK96" s="1">
        <v>0</v>
      </c>
      <c r="AL96" s="1">
        <v>0</v>
      </c>
      <c r="AM96" s="1">
        <v>0</v>
      </c>
      <c r="AN96" s="1">
        <v>0</v>
      </c>
      <c r="AO96" s="1">
        <v>0</v>
      </c>
      <c r="AP96" s="1">
        <v>0</v>
      </c>
      <c r="AQ96" s="1">
        <v>0</v>
      </c>
      <c r="AR96" s="1">
        <v>1</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1</v>
      </c>
      <c r="BL96" s="1">
        <v>1</v>
      </c>
      <c r="BM96" s="1">
        <v>0</v>
      </c>
      <c r="BN96" s="1">
        <v>0</v>
      </c>
      <c r="BO96" s="1">
        <v>1</v>
      </c>
      <c r="BP96" s="1">
        <v>0</v>
      </c>
      <c r="BQ96" s="1">
        <v>1</v>
      </c>
      <c r="BR96" s="1">
        <v>0</v>
      </c>
      <c r="BS96" s="1">
        <v>1</v>
      </c>
      <c r="BT96" s="1">
        <v>1</v>
      </c>
      <c r="BU96" s="1">
        <v>0</v>
      </c>
      <c r="BV96" s="1">
        <v>0</v>
      </c>
      <c r="BW96" s="1">
        <v>0</v>
      </c>
      <c r="BX96" s="1">
        <v>0</v>
      </c>
      <c r="BY96" s="1">
        <v>0</v>
      </c>
      <c r="BZ96" s="1">
        <v>1</v>
      </c>
      <c r="CA96" s="1" t="s">
        <v>2087</v>
      </c>
      <c r="CB96" s="1">
        <v>0</v>
      </c>
      <c r="CC96" s="1" t="s">
        <v>18</v>
      </c>
      <c r="CD96" s="1">
        <v>1</v>
      </c>
      <c r="CE96" s="1" t="s">
        <v>2088</v>
      </c>
      <c r="CF96" s="1" t="s">
        <v>1909</v>
      </c>
      <c r="CG96" s="1">
        <v>1</v>
      </c>
      <c r="CH96" s="1" t="s">
        <v>2089</v>
      </c>
      <c r="CI96" s="1">
        <v>1</v>
      </c>
      <c r="CJ96" s="1" t="s">
        <v>1887</v>
      </c>
      <c r="CK96" s="1" t="s">
        <v>2007</v>
      </c>
      <c r="CL96" s="1">
        <v>1</v>
      </c>
      <c r="CM96" s="1" t="s">
        <v>2090</v>
      </c>
      <c r="CN96" s="1" t="s">
        <v>2091</v>
      </c>
      <c r="CO96" s="1">
        <v>0</v>
      </c>
      <c r="CP96" s="1" t="s">
        <v>18</v>
      </c>
      <c r="CQ96" s="1" t="s">
        <v>18</v>
      </c>
      <c r="CR96" s="1">
        <v>0</v>
      </c>
      <c r="CS96" s="1" t="s">
        <v>18</v>
      </c>
      <c r="CT96" s="1" t="s">
        <v>18</v>
      </c>
      <c r="CU96" s="1">
        <v>1</v>
      </c>
      <c r="CV96" s="1" t="s">
        <v>2092</v>
      </c>
      <c r="CW96" s="179"/>
      <c r="CX96" s="1">
        <v>1</v>
      </c>
      <c r="CY96" s="1" t="s">
        <v>2093</v>
      </c>
      <c r="CZ96" s="1">
        <v>2</v>
      </c>
      <c r="DA96" s="1"/>
    </row>
    <row r="97" spans="1:107" ht="16">
      <c r="A97" s="1" t="s">
        <v>422</v>
      </c>
      <c r="B97" s="1">
        <v>5085718</v>
      </c>
      <c r="C97" s="1" t="s">
        <v>423</v>
      </c>
      <c r="D97" s="5">
        <v>44505</v>
      </c>
      <c r="E97" s="1">
        <v>69</v>
      </c>
      <c r="F97" s="1">
        <v>7.6</v>
      </c>
      <c r="G97" s="1">
        <f>F97/(E97/100)^2</f>
        <v>15.963032976265493</v>
      </c>
      <c r="H97" s="1">
        <v>44</v>
      </c>
      <c r="I97" s="1">
        <v>40</v>
      </c>
      <c r="J97" s="1">
        <v>1</v>
      </c>
      <c r="K97" s="1">
        <v>1</v>
      </c>
      <c r="L97" s="1">
        <v>1</v>
      </c>
      <c r="M97" s="1">
        <v>0</v>
      </c>
      <c r="N97" s="1">
        <v>9</v>
      </c>
      <c r="O97" s="1">
        <v>10</v>
      </c>
      <c r="P97" s="1">
        <v>2570</v>
      </c>
      <c r="Q97" s="1">
        <v>45</v>
      </c>
      <c r="R97" s="1">
        <v>32.5</v>
      </c>
      <c r="S97" s="1">
        <v>31</v>
      </c>
      <c r="T97" s="5">
        <v>29875</v>
      </c>
      <c r="U97" s="1">
        <v>39.19</v>
      </c>
      <c r="V97" s="1">
        <v>2</v>
      </c>
      <c r="W97" s="1">
        <v>0</v>
      </c>
      <c r="X97" s="1">
        <v>1</v>
      </c>
      <c r="Y97" s="1">
        <v>2</v>
      </c>
      <c r="Z97" s="1">
        <v>0</v>
      </c>
      <c r="AA97" s="1">
        <v>0</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1</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1</v>
      </c>
      <c r="CA97" s="1" t="s">
        <v>1887</v>
      </c>
      <c r="CB97" s="1">
        <v>0</v>
      </c>
      <c r="CC97" s="1" t="s">
        <v>18</v>
      </c>
      <c r="CD97" s="1">
        <v>1</v>
      </c>
      <c r="CE97" s="1" t="s">
        <v>1887</v>
      </c>
      <c r="CF97" s="1" t="s">
        <v>2094</v>
      </c>
      <c r="CG97" s="1">
        <v>0</v>
      </c>
      <c r="CH97" s="1" t="s">
        <v>18</v>
      </c>
      <c r="CI97" s="1">
        <v>0</v>
      </c>
      <c r="CJ97" s="1" t="s">
        <v>18</v>
      </c>
      <c r="CK97" s="1" t="s">
        <v>18</v>
      </c>
      <c r="CL97" s="1">
        <v>0</v>
      </c>
      <c r="CM97" s="1" t="s">
        <v>18</v>
      </c>
      <c r="CN97" s="1" t="s">
        <v>18</v>
      </c>
      <c r="CO97" s="1">
        <v>0</v>
      </c>
      <c r="CP97" s="1" t="s">
        <v>18</v>
      </c>
      <c r="CQ97" s="1" t="s">
        <v>18</v>
      </c>
      <c r="CR97" s="1">
        <v>0</v>
      </c>
      <c r="CS97" s="1" t="s">
        <v>18</v>
      </c>
      <c r="CT97" s="1" t="s">
        <v>18</v>
      </c>
      <c r="CU97" s="1">
        <v>1</v>
      </c>
      <c r="CV97" s="1" t="s">
        <v>2095</v>
      </c>
      <c r="CW97" s="1" t="s">
        <v>2096</v>
      </c>
      <c r="CX97" s="1">
        <v>1</v>
      </c>
      <c r="CY97" s="5">
        <v>44281</v>
      </c>
      <c r="CZ97" s="1">
        <v>2</v>
      </c>
      <c r="DA97" s="1"/>
    </row>
    <row r="98" spans="1:107" ht="16">
      <c r="A98" s="1" t="s">
        <v>426</v>
      </c>
      <c r="B98" s="1">
        <v>22107919</v>
      </c>
      <c r="C98" s="1" t="s">
        <v>427</v>
      </c>
      <c r="D98" s="5">
        <v>44600</v>
      </c>
      <c r="E98" s="1">
        <v>68.900000000000006</v>
      </c>
      <c r="F98" s="1">
        <v>9.4</v>
      </c>
      <c r="G98" s="1">
        <f>F98/(E98/100)^2</f>
        <v>19.801104227535752</v>
      </c>
      <c r="H98" s="1">
        <v>44.1</v>
      </c>
      <c r="I98" s="1">
        <v>31</v>
      </c>
      <c r="J98" s="1">
        <v>2</v>
      </c>
      <c r="K98" s="1">
        <v>1</v>
      </c>
      <c r="L98" s="1">
        <v>2</v>
      </c>
      <c r="M98" s="1">
        <v>0</v>
      </c>
      <c r="N98" s="1">
        <v>8</v>
      </c>
      <c r="O98" s="1">
        <v>9</v>
      </c>
      <c r="P98" s="1">
        <v>1880</v>
      </c>
      <c r="Q98" s="1">
        <v>42</v>
      </c>
      <c r="R98" s="1">
        <v>31</v>
      </c>
      <c r="S98" s="1">
        <v>28</v>
      </c>
      <c r="T98" s="5">
        <v>35550</v>
      </c>
      <c r="U98" s="1">
        <v>24.09</v>
      </c>
      <c r="V98" s="1">
        <v>0</v>
      </c>
      <c r="W98" s="1">
        <v>1</v>
      </c>
      <c r="X98" s="1">
        <v>0</v>
      </c>
      <c r="Y98" s="1">
        <v>1</v>
      </c>
      <c r="Z98" s="1">
        <v>0</v>
      </c>
      <c r="AA98" s="1">
        <v>0</v>
      </c>
      <c r="AB98" s="1">
        <v>0</v>
      </c>
      <c r="AC98" s="1">
        <v>1</v>
      </c>
      <c r="AD98" s="1">
        <v>0</v>
      </c>
      <c r="AE98" s="1">
        <v>0</v>
      </c>
      <c r="AF98" s="1">
        <v>0</v>
      </c>
      <c r="AG98" s="1">
        <v>0</v>
      </c>
      <c r="AH98" s="1">
        <v>0</v>
      </c>
      <c r="AI98" s="1">
        <v>0</v>
      </c>
      <c r="AJ98" s="1">
        <v>0</v>
      </c>
      <c r="AK98" s="1">
        <v>0</v>
      </c>
      <c r="AL98" s="1">
        <v>0</v>
      </c>
      <c r="AM98" s="1">
        <v>0</v>
      </c>
      <c r="AN98" s="1">
        <v>0</v>
      </c>
      <c r="AO98" s="1">
        <v>0</v>
      </c>
      <c r="AP98" s="1">
        <v>0</v>
      </c>
      <c r="AQ98" s="1">
        <v>0</v>
      </c>
      <c r="AR98" s="1" t="s">
        <v>1910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1</v>
      </c>
      <c r="BL98" s="1">
        <v>0</v>
      </c>
      <c r="BM98" s="1">
        <v>0</v>
      </c>
      <c r="BN98" s="1">
        <v>0</v>
      </c>
      <c r="BO98" s="1">
        <v>0</v>
      </c>
      <c r="BP98" s="1">
        <v>0</v>
      </c>
      <c r="BQ98" s="1">
        <v>1</v>
      </c>
      <c r="BR98" s="1">
        <v>0</v>
      </c>
      <c r="BS98" s="1">
        <v>0</v>
      </c>
      <c r="BT98" s="1">
        <v>0</v>
      </c>
      <c r="BU98" s="1">
        <v>0</v>
      </c>
      <c r="BV98" s="1">
        <v>0</v>
      </c>
      <c r="BW98" s="1">
        <v>0</v>
      </c>
      <c r="BX98" s="1">
        <v>0</v>
      </c>
      <c r="BY98" s="1">
        <v>0</v>
      </c>
      <c r="BZ98" s="1">
        <v>1</v>
      </c>
      <c r="CA98" s="1" t="s">
        <v>2097</v>
      </c>
      <c r="CB98" s="1">
        <v>1</v>
      </c>
      <c r="CC98" s="1" t="s">
        <v>1899</v>
      </c>
      <c r="CD98" s="1">
        <v>1</v>
      </c>
      <c r="CE98" s="1" t="s">
        <v>2098</v>
      </c>
      <c r="CF98" s="1" t="s">
        <v>2099</v>
      </c>
      <c r="CG98" s="1">
        <v>1</v>
      </c>
      <c r="CH98" s="1" t="s">
        <v>1887</v>
      </c>
      <c r="CI98" s="1">
        <v>0</v>
      </c>
      <c r="CJ98" s="1" t="s">
        <v>18</v>
      </c>
      <c r="CK98" s="1" t="s">
        <v>18</v>
      </c>
      <c r="CL98" s="1">
        <v>1</v>
      </c>
      <c r="CM98" s="1" t="s">
        <v>1887</v>
      </c>
      <c r="CN98" s="1" t="s">
        <v>2100</v>
      </c>
      <c r="CO98" s="1" t="s">
        <v>1902</v>
      </c>
      <c r="CP98" s="1" t="s">
        <v>1887</v>
      </c>
      <c r="CQ98" s="1" t="s">
        <v>2007</v>
      </c>
      <c r="CR98" s="1">
        <v>0</v>
      </c>
      <c r="CS98" s="1" t="s">
        <v>18</v>
      </c>
      <c r="CT98" s="1" t="s">
        <v>18</v>
      </c>
      <c r="CU98" s="1">
        <v>1</v>
      </c>
      <c r="CV98" s="1" t="s">
        <v>2101</v>
      </c>
      <c r="CW98" s="1" t="s">
        <v>2102</v>
      </c>
      <c r="CX98" s="1">
        <v>1</v>
      </c>
      <c r="CY98" s="1" t="s">
        <v>2103</v>
      </c>
      <c r="CZ98" s="1">
        <v>2</v>
      </c>
      <c r="DA98" s="1"/>
    </row>
    <row r="99" spans="1:107" ht="16">
      <c r="A99" s="1" t="s">
        <v>429</v>
      </c>
      <c r="B99" s="1">
        <v>22108733</v>
      </c>
      <c r="C99" s="1" t="s">
        <v>430</v>
      </c>
      <c r="D99" s="5">
        <v>44686</v>
      </c>
      <c r="E99" s="1">
        <v>68.8</v>
      </c>
      <c r="F99" s="1">
        <v>8.3000000000000007</v>
      </c>
      <c r="G99" s="1">
        <f>F99/(E99/100)^2</f>
        <v>17.534816116819908</v>
      </c>
      <c r="H99" s="1">
        <v>45</v>
      </c>
      <c r="I99" s="1">
        <v>32</v>
      </c>
      <c r="J99" s="1">
        <v>2</v>
      </c>
      <c r="K99" s="1">
        <v>1</v>
      </c>
      <c r="L99" s="1">
        <v>2</v>
      </c>
      <c r="M99" s="1">
        <v>0</v>
      </c>
      <c r="N99" s="1">
        <v>5</v>
      </c>
      <c r="O99" s="1">
        <v>8</v>
      </c>
      <c r="P99" s="1">
        <v>1500</v>
      </c>
      <c r="Q99" s="1">
        <v>39.5</v>
      </c>
      <c r="R99" s="1">
        <v>28.5</v>
      </c>
      <c r="S99" s="1">
        <v>26</v>
      </c>
      <c r="T99" s="5">
        <v>33447</v>
      </c>
      <c r="U99" s="1">
        <v>30.09</v>
      </c>
      <c r="V99" s="1">
        <v>0</v>
      </c>
      <c r="W99" s="1">
        <v>1</v>
      </c>
      <c r="X99" s="1">
        <v>0</v>
      </c>
      <c r="Y99" s="1">
        <v>1</v>
      </c>
      <c r="Z99" s="1">
        <v>1</v>
      </c>
      <c r="AA99" s="1">
        <v>1</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t="s">
        <v>1910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1</v>
      </c>
      <c r="BL99" s="1">
        <v>0</v>
      </c>
      <c r="BM99" s="1">
        <v>0</v>
      </c>
      <c r="BN99" s="1">
        <v>0</v>
      </c>
      <c r="BO99" s="1">
        <v>0</v>
      </c>
      <c r="BP99" s="1">
        <v>0</v>
      </c>
      <c r="BQ99" s="1">
        <v>1</v>
      </c>
      <c r="BR99" s="1">
        <v>0</v>
      </c>
      <c r="BS99" s="1">
        <v>0</v>
      </c>
      <c r="BT99" s="1">
        <v>0</v>
      </c>
      <c r="BU99" s="1">
        <v>0</v>
      </c>
      <c r="BV99" s="1">
        <v>0</v>
      </c>
      <c r="BW99" s="1">
        <v>0</v>
      </c>
      <c r="BX99" s="1">
        <v>0</v>
      </c>
      <c r="BY99" s="1">
        <v>0</v>
      </c>
      <c r="BZ99" s="1">
        <v>1</v>
      </c>
      <c r="CA99" s="1" t="s">
        <v>2104</v>
      </c>
      <c r="CB99" s="1">
        <v>0</v>
      </c>
      <c r="CC99" s="1" t="s">
        <v>18</v>
      </c>
      <c r="CD99" s="1">
        <v>1</v>
      </c>
      <c r="CE99" s="1" t="s">
        <v>2105</v>
      </c>
      <c r="CF99" s="1" t="s">
        <v>1921</v>
      </c>
      <c r="CG99" s="1">
        <v>1</v>
      </c>
      <c r="CH99" s="1" t="s">
        <v>1887</v>
      </c>
      <c r="CI99" s="1">
        <v>0</v>
      </c>
      <c r="CJ99" s="1" t="s">
        <v>18</v>
      </c>
      <c r="CK99" s="1" t="s">
        <v>18</v>
      </c>
      <c r="CL99" s="1">
        <v>0</v>
      </c>
      <c r="CM99" s="1" t="s">
        <v>18</v>
      </c>
      <c r="CN99" s="1" t="s">
        <v>18</v>
      </c>
      <c r="CO99" s="1" t="s">
        <v>1902</v>
      </c>
      <c r="CP99" s="1" t="s">
        <v>1887</v>
      </c>
      <c r="CQ99" s="1" t="s">
        <v>2007</v>
      </c>
      <c r="CR99" s="1">
        <v>0</v>
      </c>
      <c r="CS99" s="1" t="s">
        <v>18</v>
      </c>
      <c r="CT99" s="1" t="s">
        <v>18</v>
      </c>
      <c r="CU99" s="1">
        <v>1</v>
      </c>
      <c r="CV99" s="1" t="s">
        <v>2106</v>
      </c>
      <c r="CW99" s="14" t="s">
        <v>2107</v>
      </c>
      <c r="CX99" s="1">
        <v>1</v>
      </c>
      <c r="CY99" s="1" t="s">
        <v>2108</v>
      </c>
      <c r="CZ99" s="1">
        <v>2</v>
      </c>
      <c r="DA99" s="1"/>
    </row>
    <row r="100" spans="1:107" s="114" customFormat="1" ht="16">
      <c r="A100" s="112" t="s">
        <v>433</v>
      </c>
      <c r="B100" s="162">
        <v>22139029</v>
      </c>
      <c r="C100" s="163" t="s">
        <v>1266</v>
      </c>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c r="AA100" s="176"/>
      <c r="AB100" s="176"/>
      <c r="AC100" s="176"/>
      <c r="AD100" s="176"/>
      <c r="AE100" s="176"/>
      <c r="AF100" s="176"/>
      <c r="AG100" s="176"/>
      <c r="AH100" s="176"/>
      <c r="AI100" s="176"/>
      <c r="AJ100" s="176"/>
      <c r="AK100" s="176"/>
      <c r="AL100" s="176"/>
      <c r="AM100" s="176"/>
      <c r="AN100" s="176"/>
      <c r="AO100" s="176"/>
      <c r="AP100" s="176"/>
      <c r="AQ100" s="176"/>
      <c r="AR100" s="176"/>
      <c r="AS100" s="176"/>
      <c r="AT100" s="176"/>
      <c r="AU100" s="176"/>
      <c r="AV100" s="176"/>
      <c r="AW100" s="176"/>
      <c r="AX100" s="176"/>
      <c r="AY100" s="176"/>
      <c r="AZ100" s="176"/>
      <c r="BA100" s="176"/>
      <c r="BB100" s="176"/>
      <c r="BC100" s="176"/>
      <c r="BD100" s="176"/>
      <c r="BE100" s="176"/>
      <c r="BF100" s="176"/>
      <c r="BG100" s="176"/>
      <c r="BH100" s="176"/>
      <c r="BI100" s="176"/>
      <c r="BJ100" s="176"/>
      <c r="BK100" s="176"/>
      <c r="BL100" s="176"/>
      <c r="BM100" s="176"/>
      <c r="BN100" s="176"/>
      <c r="BO100" s="176"/>
      <c r="BP100" s="176"/>
      <c r="BQ100" s="176"/>
      <c r="BR100" s="176"/>
      <c r="BS100" s="176"/>
      <c r="BT100" s="176"/>
      <c r="BU100" s="176"/>
      <c r="BV100" s="176"/>
      <c r="BW100" s="176"/>
      <c r="BX100" s="176"/>
      <c r="BY100" s="176"/>
      <c r="BZ100" s="176"/>
      <c r="CA100" s="176"/>
      <c r="CB100" s="176"/>
      <c r="CC100" s="176"/>
      <c r="CD100" s="176"/>
      <c r="CE100" s="176"/>
      <c r="CF100" s="176"/>
      <c r="CG100" s="176"/>
      <c r="CH100" s="176"/>
      <c r="CI100" s="176"/>
      <c r="CJ100" s="176"/>
      <c r="CK100" s="176"/>
      <c r="CL100" s="176"/>
      <c r="CM100" s="176"/>
      <c r="CN100" s="176"/>
      <c r="CO100" s="176"/>
      <c r="CP100" s="176"/>
      <c r="CQ100" s="176"/>
      <c r="CR100" s="176"/>
      <c r="CS100" s="176"/>
      <c r="CT100" s="176"/>
      <c r="CU100" s="176"/>
      <c r="CV100" s="176"/>
      <c r="CW100" s="176"/>
      <c r="CX100" s="176"/>
      <c r="CY100" s="176"/>
      <c r="CZ100" s="176"/>
      <c r="DA100" s="176"/>
      <c r="DB100" s="176"/>
    </row>
    <row r="101" spans="1:107" ht="16">
      <c r="A101" s="1" t="s">
        <v>437</v>
      </c>
      <c r="B101" s="1">
        <v>22107875</v>
      </c>
      <c r="C101" s="1" t="s">
        <v>438</v>
      </c>
      <c r="D101" s="5">
        <v>44558</v>
      </c>
      <c r="E101" s="1">
        <v>66</v>
      </c>
      <c r="F101" s="1">
        <v>7.3</v>
      </c>
      <c r="G101" s="1">
        <f>F101/(E101/100)^2</f>
        <v>16.758494031221304</v>
      </c>
      <c r="H101" s="1">
        <v>41.6</v>
      </c>
      <c r="I101" s="1">
        <v>38</v>
      </c>
      <c r="J101" s="1">
        <v>6</v>
      </c>
      <c r="K101" s="1">
        <v>0</v>
      </c>
      <c r="L101" s="1">
        <v>1</v>
      </c>
      <c r="M101" s="1">
        <v>0</v>
      </c>
      <c r="N101" s="1">
        <v>9</v>
      </c>
      <c r="O101" s="1">
        <v>10</v>
      </c>
      <c r="P101" s="1">
        <v>3540</v>
      </c>
      <c r="Q101" s="1">
        <v>50</v>
      </c>
      <c r="R101" s="1">
        <v>33.5</v>
      </c>
      <c r="S101" s="1">
        <v>35</v>
      </c>
      <c r="T101" s="5">
        <v>34935</v>
      </c>
      <c r="U101" s="1">
        <v>25.76</v>
      </c>
      <c r="V101" s="1">
        <v>2</v>
      </c>
      <c r="W101" s="1">
        <v>0</v>
      </c>
      <c r="X101" s="1">
        <v>1</v>
      </c>
      <c r="Y101" s="1">
        <v>2</v>
      </c>
      <c r="Z101" s="1">
        <v>0</v>
      </c>
      <c r="AA101" s="1">
        <v>1</v>
      </c>
      <c r="AB101" s="1">
        <v>1</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1</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1</v>
      </c>
      <c r="CA101" s="1" t="s">
        <v>2109</v>
      </c>
      <c r="CB101" s="1">
        <v>0</v>
      </c>
      <c r="CC101" s="1" t="s">
        <v>18</v>
      </c>
      <c r="CD101" s="1">
        <v>1</v>
      </c>
      <c r="CE101" s="1" t="s">
        <v>2089</v>
      </c>
      <c r="CF101" s="1" t="s">
        <v>2110</v>
      </c>
      <c r="CG101" s="1">
        <v>0</v>
      </c>
      <c r="CH101" s="1" t="s">
        <v>18</v>
      </c>
      <c r="CI101" s="1">
        <v>0</v>
      </c>
      <c r="CJ101" s="1" t="s">
        <v>18</v>
      </c>
      <c r="CK101" s="1" t="s">
        <v>18</v>
      </c>
      <c r="CL101" s="1">
        <v>1</v>
      </c>
      <c r="CM101" s="1" t="s">
        <v>2032</v>
      </c>
      <c r="CN101" s="1" t="s">
        <v>2111</v>
      </c>
      <c r="CO101" s="1">
        <v>0</v>
      </c>
      <c r="CP101" s="1" t="s">
        <v>18</v>
      </c>
      <c r="CQ101" s="1" t="s">
        <v>18</v>
      </c>
      <c r="CR101" s="1">
        <v>0</v>
      </c>
      <c r="CS101" s="1" t="s">
        <v>18</v>
      </c>
      <c r="CT101" s="1" t="s">
        <v>18</v>
      </c>
      <c r="CU101" s="1">
        <v>0</v>
      </c>
      <c r="CV101" s="1" t="s">
        <v>18</v>
      </c>
      <c r="CW101" s="1" t="s">
        <v>18</v>
      </c>
      <c r="CX101" s="1">
        <v>1</v>
      </c>
      <c r="CY101" s="1" t="s">
        <v>841</v>
      </c>
      <c r="CZ101" s="1">
        <v>2</v>
      </c>
      <c r="DA101" s="1"/>
    </row>
    <row r="102" spans="1:107" ht="16">
      <c r="A102" s="1" t="s">
        <v>441</v>
      </c>
      <c r="B102" s="1">
        <v>22105502</v>
      </c>
      <c r="C102" s="1" t="s">
        <v>442</v>
      </c>
      <c r="D102" s="5">
        <v>44482</v>
      </c>
      <c r="E102" s="1">
        <v>70.2</v>
      </c>
      <c r="F102" s="1">
        <v>10</v>
      </c>
      <c r="G102" s="1">
        <f>F102/(E102/100)^2</f>
        <v>20.292043084065874</v>
      </c>
      <c r="H102" s="1">
        <v>43.5</v>
      </c>
      <c r="I102" s="1">
        <v>27</v>
      </c>
      <c r="J102" s="1">
        <v>6</v>
      </c>
      <c r="K102" s="1">
        <v>1</v>
      </c>
      <c r="L102" s="1">
        <v>2</v>
      </c>
      <c r="M102" s="1">
        <v>0</v>
      </c>
      <c r="N102" s="1">
        <v>5</v>
      </c>
      <c r="O102" s="1">
        <v>8</v>
      </c>
      <c r="P102" s="1">
        <v>1314</v>
      </c>
      <c r="Q102" s="1">
        <v>37</v>
      </c>
      <c r="R102" s="1">
        <v>26</v>
      </c>
      <c r="S102" s="1">
        <v>24.5</v>
      </c>
      <c r="T102" s="5">
        <v>33959</v>
      </c>
      <c r="U102" s="1">
        <v>27.8</v>
      </c>
      <c r="V102" s="1">
        <v>0</v>
      </c>
      <c r="W102" s="1">
        <v>1</v>
      </c>
      <c r="X102" s="1">
        <v>0</v>
      </c>
      <c r="Y102" s="1">
        <v>1</v>
      </c>
      <c r="Z102" s="1">
        <v>0</v>
      </c>
      <c r="AA102" s="1">
        <v>0</v>
      </c>
      <c r="AB102" s="1">
        <v>0</v>
      </c>
      <c r="AC102" s="1">
        <v>1</v>
      </c>
      <c r="AD102" s="1">
        <v>0</v>
      </c>
      <c r="AE102" s="1">
        <v>0</v>
      </c>
      <c r="AF102" s="1">
        <v>0</v>
      </c>
      <c r="AG102" s="1">
        <v>0</v>
      </c>
      <c r="AH102" s="1">
        <v>0</v>
      </c>
      <c r="AI102" s="1">
        <v>1</v>
      </c>
      <c r="AJ102" s="1">
        <v>0</v>
      </c>
      <c r="AK102" s="1">
        <v>0</v>
      </c>
      <c r="AL102" s="1">
        <v>1</v>
      </c>
      <c r="AM102" s="1">
        <v>20</v>
      </c>
      <c r="AN102" s="1">
        <v>0</v>
      </c>
      <c r="AO102" s="1">
        <v>0</v>
      </c>
      <c r="AP102" s="1">
        <v>0</v>
      </c>
      <c r="AQ102" s="1">
        <v>0</v>
      </c>
      <c r="AR102" s="1">
        <v>2</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1</v>
      </c>
      <c r="BL102" s="1">
        <v>0</v>
      </c>
      <c r="BM102" s="1">
        <v>1</v>
      </c>
      <c r="BN102" s="1">
        <v>0</v>
      </c>
      <c r="BO102" s="1">
        <v>0</v>
      </c>
      <c r="BP102" s="1">
        <v>0</v>
      </c>
      <c r="BQ102" s="1">
        <v>0</v>
      </c>
      <c r="BR102" s="1">
        <v>1</v>
      </c>
      <c r="BS102" s="1">
        <v>1</v>
      </c>
      <c r="BT102" s="1">
        <v>0</v>
      </c>
      <c r="BU102" s="1">
        <v>0</v>
      </c>
      <c r="BV102" s="1">
        <v>0</v>
      </c>
      <c r="BW102" s="1">
        <v>0</v>
      </c>
      <c r="BX102" s="1">
        <v>0</v>
      </c>
      <c r="BY102" s="1">
        <v>0</v>
      </c>
      <c r="BZ102" s="1">
        <v>0</v>
      </c>
      <c r="CA102" s="1" t="s">
        <v>18</v>
      </c>
      <c r="CB102" s="1">
        <v>0</v>
      </c>
      <c r="CC102" s="1" t="s">
        <v>18</v>
      </c>
      <c r="CD102" s="1">
        <v>1</v>
      </c>
      <c r="CE102" s="1" t="s">
        <v>1887</v>
      </c>
      <c r="CF102" s="1" t="s">
        <v>2112</v>
      </c>
      <c r="CG102" s="1">
        <v>1</v>
      </c>
      <c r="CH102" s="1" t="s">
        <v>2030</v>
      </c>
      <c r="CI102" s="1">
        <v>1</v>
      </c>
      <c r="CJ102" s="1" t="s">
        <v>1886</v>
      </c>
      <c r="CK102" s="1" t="s">
        <v>2113</v>
      </c>
      <c r="CL102" s="1">
        <v>1</v>
      </c>
      <c r="CM102" s="1" t="s">
        <v>1886</v>
      </c>
      <c r="CN102" s="1" t="s">
        <v>1981</v>
      </c>
      <c r="CO102" s="1">
        <v>0</v>
      </c>
      <c r="CP102" s="1" t="s">
        <v>18</v>
      </c>
      <c r="CQ102" s="1" t="s">
        <v>18</v>
      </c>
      <c r="CR102" s="1">
        <v>0</v>
      </c>
      <c r="CS102" s="1" t="s">
        <v>18</v>
      </c>
      <c r="CT102" s="1" t="s">
        <v>18</v>
      </c>
      <c r="CU102" s="1">
        <v>0</v>
      </c>
      <c r="CV102" s="1" t="s">
        <v>18</v>
      </c>
      <c r="CW102" s="1" t="s">
        <v>18</v>
      </c>
      <c r="CX102" s="1">
        <v>1</v>
      </c>
      <c r="CY102" s="1" t="s">
        <v>74</v>
      </c>
      <c r="CZ102" s="1">
        <v>2</v>
      </c>
      <c r="DA102" s="1"/>
    </row>
    <row r="103" spans="1:107" s="114" customFormat="1" ht="16">
      <c r="A103" s="112" t="s">
        <v>445</v>
      </c>
      <c r="B103" s="162">
        <v>22103078</v>
      </c>
      <c r="C103" s="163" t="s">
        <v>1280</v>
      </c>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c r="AA103" s="176"/>
      <c r="AB103" s="176"/>
      <c r="AC103" s="176"/>
      <c r="AD103" s="176"/>
      <c r="AE103" s="176"/>
      <c r="AF103" s="176"/>
      <c r="AG103" s="176"/>
      <c r="AH103" s="176"/>
      <c r="AI103" s="176"/>
      <c r="AJ103" s="176"/>
      <c r="AK103" s="176"/>
      <c r="AL103" s="176"/>
      <c r="AM103" s="176"/>
      <c r="AN103" s="176"/>
      <c r="AO103" s="176"/>
      <c r="AP103" s="176"/>
      <c r="AQ103" s="176"/>
      <c r="AR103" s="176"/>
      <c r="AS103" s="176"/>
      <c r="AT103" s="176"/>
      <c r="AU103" s="176"/>
      <c r="AV103" s="176"/>
      <c r="AW103" s="176"/>
      <c r="AX103" s="176"/>
      <c r="AY103" s="176"/>
      <c r="AZ103" s="176"/>
      <c r="BA103" s="162"/>
      <c r="BB103" s="162"/>
      <c r="BC103" s="162"/>
      <c r="BD103" s="162"/>
      <c r="BE103" s="162"/>
      <c r="BF103" s="162"/>
      <c r="BG103" s="162"/>
      <c r="BH103" s="162"/>
      <c r="BI103" s="162"/>
      <c r="BJ103" s="162"/>
      <c r="BK103" s="162"/>
      <c r="BL103" s="162"/>
      <c r="BM103" s="162"/>
      <c r="BN103" s="162"/>
      <c r="BO103" s="162"/>
      <c r="BP103" s="162"/>
      <c r="BQ103" s="162"/>
      <c r="BR103" s="162"/>
      <c r="BS103" s="162"/>
      <c r="BT103" s="162"/>
      <c r="BU103" s="162"/>
      <c r="BV103" s="162"/>
      <c r="BW103" s="162"/>
      <c r="BX103" s="162"/>
      <c r="BY103" s="162"/>
      <c r="BZ103" s="162"/>
      <c r="CA103" s="162"/>
      <c r="CB103" s="162"/>
      <c r="CC103" s="162"/>
      <c r="CD103" s="162"/>
      <c r="CE103" s="162"/>
      <c r="CF103" s="162"/>
      <c r="CG103" s="162"/>
      <c r="CH103" s="162"/>
      <c r="CI103" s="162"/>
      <c r="CJ103" s="162"/>
      <c r="CK103" s="162"/>
      <c r="CL103" s="162"/>
      <c r="CM103" s="162"/>
      <c r="CN103" s="162"/>
      <c r="CO103" s="162"/>
      <c r="CP103" s="162"/>
      <c r="CQ103" s="162"/>
      <c r="CR103" s="162"/>
      <c r="CS103" s="162"/>
      <c r="CT103" s="162"/>
      <c r="CU103" s="162"/>
      <c r="CV103" s="162"/>
      <c r="CW103" s="162"/>
      <c r="CX103" s="162"/>
      <c r="CY103" s="162"/>
      <c r="CZ103" s="162"/>
      <c r="DA103" s="162"/>
      <c r="DB103" s="162"/>
      <c r="DC103" s="176"/>
    </row>
    <row r="104" spans="1:107" ht="16">
      <c r="A104" s="1" t="s">
        <v>449</v>
      </c>
      <c r="B104" s="1">
        <v>22105498</v>
      </c>
      <c r="C104" s="1" t="s">
        <v>450</v>
      </c>
      <c r="D104" s="5">
        <v>44494</v>
      </c>
      <c r="E104" s="1">
        <v>73</v>
      </c>
      <c r="F104" s="1">
        <v>9.6</v>
      </c>
      <c r="G104" s="1">
        <f>F104/(E104/100)^2</f>
        <v>18.014636892475139</v>
      </c>
      <c r="H104" s="1">
        <v>46</v>
      </c>
      <c r="I104" s="1">
        <v>39</v>
      </c>
      <c r="J104" s="1">
        <v>2</v>
      </c>
      <c r="K104" s="1">
        <v>0</v>
      </c>
      <c r="L104" s="1">
        <v>1</v>
      </c>
      <c r="M104" s="1">
        <v>0</v>
      </c>
      <c r="N104" s="1">
        <v>9</v>
      </c>
      <c r="O104" s="1">
        <v>10</v>
      </c>
      <c r="P104" s="1">
        <v>2850</v>
      </c>
      <c r="Q104" s="1">
        <v>51</v>
      </c>
      <c r="R104" s="1">
        <v>33</v>
      </c>
      <c r="S104" s="1">
        <v>33</v>
      </c>
      <c r="T104" s="5">
        <v>33467</v>
      </c>
      <c r="U104" s="1">
        <v>29.14</v>
      </c>
      <c r="V104" s="1">
        <v>1</v>
      </c>
      <c r="W104" s="1">
        <v>0</v>
      </c>
      <c r="X104" s="1">
        <v>1</v>
      </c>
      <c r="Y104" s="1">
        <v>1</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1</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1</v>
      </c>
      <c r="CA104" s="1" t="s">
        <v>1900</v>
      </c>
      <c r="CB104" s="1">
        <v>0</v>
      </c>
      <c r="CC104" s="1" t="s">
        <v>18</v>
      </c>
      <c r="CD104" s="1">
        <v>1</v>
      </c>
      <c r="CE104" s="1" t="s">
        <v>2114</v>
      </c>
      <c r="CF104" s="1" t="s">
        <v>2115</v>
      </c>
      <c r="CG104" s="1">
        <v>0</v>
      </c>
      <c r="CH104" s="1" t="s">
        <v>18</v>
      </c>
      <c r="CI104" s="1">
        <v>0</v>
      </c>
      <c r="CJ104" s="1" t="s">
        <v>18</v>
      </c>
      <c r="CK104" s="1" t="s">
        <v>18</v>
      </c>
      <c r="CL104" s="1">
        <v>1</v>
      </c>
      <c r="CM104" s="1" t="s">
        <v>1900</v>
      </c>
      <c r="CN104" s="1" t="s">
        <v>2116</v>
      </c>
      <c r="CO104" s="1">
        <v>0</v>
      </c>
      <c r="CP104" s="1" t="s">
        <v>18</v>
      </c>
      <c r="CQ104" s="1" t="s">
        <v>18</v>
      </c>
      <c r="CR104" s="1">
        <v>0</v>
      </c>
      <c r="CS104" s="1" t="s">
        <v>18</v>
      </c>
      <c r="CT104" s="1" t="s">
        <v>18</v>
      </c>
      <c r="CU104" s="1">
        <v>0</v>
      </c>
      <c r="CV104" s="1" t="s">
        <v>18</v>
      </c>
      <c r="CW104" s="1" t="s">
        <v>18</v>
      </c>
      <c r="CX104" s="1">
        <v>1</v>
      </c>
      <c r="CY104" s="1" t="s">
        <v>1702</v>
      </c>
      <c r="CZ104" s="1">
        <v>2</v>
      </c>
      <c r="DA104" s="1"/>
    </row>
    <row r="105" spans="1:107" s="110" customFormat="1" ht="16">
      <c r="A105" s="107" t="s">
        <v>454</v>
      </c>
      <c r="B105" s="107">
        <v>22107550</v>
      </c>
      <c r="C105" s="107" t="s">
        <v>455</v>
      </c>
      <c r="D105" s="108">
        <v>44609</v>
      </c>
      <c r="E105" s="107">
        <v>60.7</v>
      </c>
      <c r="F105" s="107">
        <v>7.6</v>
      </c>
      <c r="G105" s="107">
        <f>F105/(E105/100)^2</f>
        <v>20.627006722775743</v>
      </c>
      <c r="H105" s="107">
        <v>42.7</v>
      </c>
      <c r="I105" s="107">
        <v>24</v>
      </c>
      <c r="J105" s="107">
        <v>2</v>
      </c>
      <c r="K105" s="107">
        <v>1</v>
      </c>
      <c r="L105" s="107">
        <v>1</v>
      </c>
      <c r="M105" s="107">
        <v>0</v>
      </c>
      <c r="N105" s="107">
        <v>5</v>
      </c>
      <c r="O105" s="107">
        <v>5</v>
      </c>
      <c r="P105" s="107">
        <v>814</v>
      </c>
      <c r="Q105" s="107">
        <v>31</v>
      </c>
      <c r="R105" s="107">
        <v>23.5</v>
      </c>
      <c r="S105" s="107">
        <v>19.5</v>
      </c>
      <c r="T105" s="108">
        <v>29090</v>
      </c>
      <c r="U105" s="107">
        <v>41.67</v>
      </c>
      <c r="V105" s="107">
        <v>1</v>
      </c>
      <c r="W105" s="107">
        <v>1</v>
      </c>
      <c r="X105" s="107">
        <v>0</v>
      </c>
      <c r="Y105" s="107">
        <v>2</v>
      </c>
      <c r="Z105" s="107">
        <v>0</v>
      </c>
      <c r="AA105" s="107">
        <v>0</v>
      </c>
      <c r="AB105" s="107">
        <v>0</v>
      </c>
      <c r="AC105" s="107">
        <v>0</v>
      </c>
      <c r="AD105" s="107">
        <v>0</v>
      </c>
      <c r="AE105" s="107">
        <v>0</v>
      </c>
      <c r="AF105" s="107">
        <v>0</v>
      </c>
      <c r="AG105" s="107">
        <v>0</v>
      </c>
      <c r="AH105" s="107">
        <v>0</v>
      </c>
      <c r="AI105" s="107">
        <v>1</v>
      </c>
      <c r="AJ105" s="107">
        <v>0</v>
      </c>
      <c r="AK105" s="107">
        <v>0</v>
      </c>
      <c r="AL105" s="107">
        <v>1</v>
      </c>
      <c r="AM105" s="107">
        <v>10</v>
      </c>
      <c r="AN105" s="107">
        <v>0</v>
      </c>
      <c r="AO105" s="107">
        <v>0</v>
      </c>
      <c r="AP105" s="107">
        <v>0</v>
      </c>
      <c r="AQ105" s="107">
        <v>0</v>
      </c>
      <c r="AR105" s="107">
        <v>2</v>
      </c>
      <c r="AS105" s="107">
        <v>0</v>
      </c>
      <c r="AT105" s="107">
        <v>0</v>
      </c>
      <c r="AU105" s="107">
        <v>0</v>
      </c>
      <c r="AV105" s="107">
        <v>0</v>
      </c>
      <c r="AW105" s="107">
        <v>0</v>
      </c>
      <c r="AX105" s="107">
        <v>0</v>
      </c>
      <c r="AY105" s="107">
        <v>1</v>
      </c>
      <c r="AZ105" s="107">
        <v>0</v>
      </c>
      <c r="BA105" s="107">
        <v>0</v>
      </c>
      <c r="BB105" s="107">
        <v>0</v>
      </c>
      <c r="BC105" s="107">
        <v>0</v>
      </c>
      <c r="BD105" s="107">
        <v>0</v>
      </c>
      <c r="BE105" s="107">
        <v>0</v>
      </c>
      <c r="BF105" s="107">
        <v>0</v>
      </c>
      <c r="BG105" s="107">
        <v>0</v>
      </c>
      <c r="BH105" s="107">
        <v>1</v>
      </c>
      <c r="BI105" s="107">
        <v>0</v>
      </c>
      <c r="BJ105" s="107">
        <v>0</v>
      </c>
      <c r="BK105" s="107">
        <v>1</v>
      </c>
      <c r="BL105" s="107">
        <v>1</v>
      </c>
      <c r="BM105" s="107">
        <v>1</v>
      </c>
      <c r="BN105" s="107">
        <v>0</v>
      </c>
      <c r="BO105" s="107">
        <v>0</v>
      </c>
      <c r="BP105" s="107">
        <v>0</v>
      </c>
      <c r="BQ105" s="107">
        <v>1</v>
      </c>
      <c r="BR105" s="107">
        <v>0</v>
      </c>
      <c r="BS105" s="107">
        <v>0</v>
      </c>
      <c r="BT105" s="107">
        <v>1</v>
      </c>
      <c r="BU105" s="107">
        <v>0</v>
      </c>
      <c r="BV105" s="107">
        <v>0</v>
      </c>
      <c r="BW105" s="107">
        <v>0</v>
      </c>
      <c r="BX105" s="107">
        <v>0</v>
      </c>
      <c r="BY105" s="107">
        <v>0</v>
      </c>
      <c r="BZ105" s="107">
        <v>1</v>
      </c>
      <c r="CA105" s="107" t="s">
        <v>1887</v>
      </c>
      <c r="CB105" s="107">
        <v>1</v>
      </c>
      <c r="CC105" s="107" t="s">
        <v>1899</v>
      </c>
      <c r="CD105" s="107">
        <v>1</v>
      </c>
      <c r="CE105" s="107" t="s">
        <v>1887</v>
      </c>
      <c r="CF105" s="107" t="s">
        <v>2117</v>
      </c>
      <c r="CG105" s="107">
        <v>1</v>
      </c>
      <c r="CH105" s="107" t="s">
        <v>2021</v>
      </c>
      <c r="CI105" s="107">
        <v>0</v>
      </c>
      <c r="CJ105" s="107" t="s">
        <v>18</v>
      </c>
      <c r="CK105" s="107" t="s">
        <v>18</v>
      </c>
      <c r="CL105" s="107">
        <v>1</v>
      </c>
      <c r="CM105" s="107" t="s">
        <v>2021</v>
      </c>
      <c r="CN105" s="107" t="s">
        <v>1981</v>
      </c>
      <c r="CO105" s="107" t="s">
        <v>1902</v>
      </c>
      <c r="CP105" s="107" t="s">
        <v>2021</v>
      </c>
      <c r="CQ105" s="107" t="s">
        <v>2007</v>
      </c>
      <c r="CR105" s="107">
        <v>0</v>
      </c>
      <c r="CS105" s="107" t="s">
        <v>18</v>
      </c>
      <c r="CT105" s="107" t="s">
        <v>18</v>
      </c>
      <c r="CU105" s="107">
        <v>0</v>
      </c>
      <c r="CV105" s="107" t="s">
        <v>18</v>
      </c>
      <c r="CW105" s="107" t="s">
        <v>18</v>
      </c>
      <c r="CX105" s="107">
        <v>1</v>
      </c>
      <c r="CY105" s="107" t="s">
        <v>1919</v>
      </c>
      <c r="CZ105" s="107">
        <v>2</v>
      </c>
      <c r="DA105" s="107"/>
    </row>
    <row r="106" spans="1:107" ht="16">
      <c r="A106" s="1" t="s">
        <v>458</v>
      </c>
      <c r="B106" s="1">
        <v>22107191</v>
      </c>
      <c r="C106" s="1" t="s">
        <v>459</v>
      </c>
      <c r="D106" s="5">
        <v>44540</v>
      </c>
      <c r="E106" s="1">
        <v>57.3</v>
      </c>
      <c r="F106" s="1">
        <v>5.3</v>
      </c>
      <c r="G106" s="1">
        <f>F106/(E106/100)^2</f>
        <v>16.142345025873443</v>
      </c>
      <c r="H106" s="1">
        <v>38</v>
      </c>
      <c r="I106" s="1">
        <v>27</v>
      </c>
      <c r="J106" s="1">
        <v>3</v>
      </c>
      <c r="K106" s="1">
        <v>1</v>
      </c>
      <c r="L106" s="1">
        <v>2</v>
      </c>
      <c r="M106" s="1">
        <v>0</v>
      </c>
      <c r="N106" s="1">
        <v>6</v>
      </c>
      <c r="O106" s="1">
        <v>8</v>
      </c>
      <c r="P106" s="1">
        <v>580</v>
      </c>
      <c r="Q106" s="1">
        <v>31</v>
      </c>
      <c r="R106" s="1">
        <v>22</v>
      </c>
      <c r="S106" s="1">
        <v>18</v>
      </c>
      <c r="T106" s="5">
        <v>31076</v>
      </c>
      <c r="U106" s="1">
        <v>36.14</v>
      </c>
      <c r="V106" s="1">
        <v>1</v>
      </c>
      <c r="W106" s="1">
        <v>1</v>
      </c>
      <c r="X106" s="1">
        <v>0</v>
      </c>
      <c r="Y106" s="1">
        <v>2</v>
      </c>
      <c r="Z106" s="1">
        <v>0</v>
      </c>
      <c r="AA106" s="1">
        <v>0</v>
      </c>
      <c r="AB106" s="1">
        <v>0</v>
      </c>
      <c r="AC106" s="1">
        <v>1</v>
      </c>
      <c r="AD106" s="1">
        <v>0</v>
      </c>
      <c r="AE106" s="1">
        <v>0</v>
      </c>
      <c r="AF106" s="1">
        <v>0</v>
      </c>
      <c r="AG106" s="1">
        <v>0</v>
      </c>
      <c r="AH106" s="1">
        <v>0</v>
      </c>
      <c r="AI106" s="1">
        <v>0</v>
      </c>
      <c r="AJ106" s="1">
        <v>0</v>
      </c>
      <c r="AK106" s="1">
        <v>0</v>
      </c>
      <c r="AL106" s="1">
        <v>0</v>
      </c>
      <c r="AM106" s="1">
        <v>0</v>
      </c>
      <c r="AN106" s="1">
        <v>0</v>
      </c>
      <c r="AO106" s="1">
        <v>0</v>
      </c>
      <c r="AP106" s="1">
        <v>0</v>
      </c>
      <c r="AQ106" s="1">
        <v>0</v>
      </c>
      <c r="AR106" s="1">
        <v>1</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1</v>
      </c>
      <c r="BL106" s="1">
        <v>0</v>
      </c>
      <c r="BM106" s="1">
        <v>0</v>
      </c>
      <c r="BN106" s="1">
        <v>0</v>
      </c>
      <c r="BO106" s="1">
        <v>1</v>
      </c>
      <c r="BP106" s="1">
        <v>0</v>
      </c>
      <c r="BQ106" s="1">
        <v>0</v>
      </c>
      <c r="BR106" s="1">
        <v>0</v>
      </c>
      <c r="BS106" s="1">
        <v>0</v>
      </c>
      <c r="BT106" s="1">
        <v>1</v>
      </c>
      <c r="BU106" s="1">
        <v>0</v>
      </c>
      <c r="BV106" s="1">
        <v>0</v>
      </c>
      <c r="BW106" s="1">
        <v>0</v>
      </c>
      <c r="BX106" s="1">
        <v>0</v>
      </c>
      <c r="BY106" s="1">
        <v>0</v>
      </c>
      <c r="BZ106" s="1">
        <v>1</v>
      </c>
      <c r="CA106" s="1" t="s">
        <v>2118</v>
      </c>
      <c r="CB106" s="1">
        <v>1</v>
      </c>
      <c r="CC106" s="1" t="s">
        <v>1909</v>
      </c>
      <c r="CD106" s="1">
        <v>1</v>
      </c>
      <c r="CE106" s="1" t="s">
        <v>2119</v>
      </c>
      <c r="CF106" s="1" t="s">
        <v>2120</v>
      </c>
      <c r="CG106" s="1">
        <v>1</v>
      </c>
      <c r="CH106" s="1" t="s">
        <v>2068</v>
      </c>
      <c r="CI106" s="1">
        <v>0</v>
      </c>
      <c r="CJ106" s="1" t="s">
        <v>18</v>
      </c>
      <c r="CK106" s="1" t="s">
        <v>18</v>
      </c>
      <c r="CL106" s="1">
        <v>0</v>
      </c>
      <c r="CM106" s="1" t="s">
        <v>18</v>
      </c>
      <c r="CN106" s="1" t="s">
        <v>18</v>
      </c>
      <c r="CO106" s="1" t="s">
        <v>1902</v>
      </c>
      <c r="CP106" s="1" t="s">
        <v>2068</v>
      </c>
      <c r="CQ106" s="1" t="s">
        <v>2007</v>
      </c>
      <c r="CR106" s="1">
        <v>0</v>
      </c>
      <c r="CS106" s="1" t="s">
        <v>18</v>
      </c>
      <c r="CT106" s="1" t="s">
        <v>18</v>
      </c>
      <c r="CU106" s="1">
        <v>1</v>
      </c>
      <c r="CV106" s="1" t="s">
        <v>2121</v>
      </c>
      <c r="CW106" s="1" t="s">
        <v>2122</v>
      </c>
      <c r="CX106" s="1">
        <v>1</v>
      </c>
      <c r="CY106" s="1" t="s">
        <v>1919</v>
      </c>
      <c r="CZ106" s="1">
        <v>2</v>
      </c>
      <c r="DA106" s="1"/>
    </row>
    <row r="107" spans="1:107" ht="16">
      <c r="A107" s="1" t="s">
        <v>463</v>
      </c>
      <c r="B107" s="1">
        <v>22107192</v>
      </c>
      <c r="C107" s="1" t="s">
        <v>464</v>
      </c>
      <c r="D107" s="5">
        <v>44540</v>
      </c>
      <c r="E107" s="1">
        <v>61.1</v>
      </c>
      <c r="F107" s="1">
        <v>6.5</v>
      </c>
      <c r="G107" s="1">
        <f>F107/(E107/100)^2</f>
        <v>17.411289480098898</v>
      </c>
      <c r="H107" s="1">
        <v>39.1</v>
      </c>
      <c r="I107" s="1">
        <v>27</v>
      </c>
      <c r="J107" s="1">
        <v>3</v>
      </c>
      <c r="K107" s="1">
        <v>1</v>
      </c>
      <c r="L107" s="1">
        <v>2</v>
      </c>
      <c r="M107" s="1">
        <v>0</v>
      </c>
      <c r="N107" s="1">
        <v>8</v>
      </c>
      <c r="O107" s="1">
        <v>9</v>
      </c>
      <c r="P107" s="1">
        <v>766</v>
      </c>
      <c r="Q107" s="1">
        <v>30.5</v>
      </c>
      <c r="R107" s="1">
        <v>23.5</v>
      </c>
      <c r="S107" s="1">
        <v>21</v>
      </c>
      <c r="T107" s="5">
        <v>31076</v>
      </c>
      <c r="U107" s="1">
        <v>36.14</v>
      </c>
      <c r="V107" s="1">
        <v>1</v>
      </c>
      <c r="W107" s="1">
        <v>1</v>
      </c>
      <c r="X107" s="1">
        <v>0</v>
      </c>
      <c r="Y107" s="1">
        <v>2</v>
      </c>
      <c r="Z107" s="1">
        <v>0</v>
      </c>
      <c r="AA107" s="1">
        <v>0</v>
      </c>
      <c r="AB107" s="1">
        <v>0</v>
      </c>
      <c r="AC107" s="1">
        <v>1</v>
      </c>
      <c r="AD107" s="1">
        <v>0</v>
      </c>
      <c r="AE107" s="1">
        <v>0</v>
      </c>
      <c r="AF107" s="1">
        <v>0</v>
      </c>
      <c r="AG107" s="1">
        <v>0</v>
      </c>
      <c r="AH107" s="1">
        <v>0</v>
      </c>
      <c r="AI107" s="1">
        <v>0</v>
      </c>
      <c r="AJ107" s="1">
        <v>0</v>
      </c>
      <c r="AK107" s="1">
        <v>0</v>
      </c>
      <c r="AL107" s="1">
        <v>0</v>
      </c>
      <c r="AM107" s="1">
        <v>0</v>
      </c>
      <c r="AN107" s="1">
        <v>0</v>
      </c>
      <c r="AO107" s="1">
        <v>0</v>
      </c>
      <c r="AP107" s="1">
        <v>0</v>
      </c>
      <c r="AQ107" s="1">
        <v>0</v>
      </c>
      <c r="AR107" s="1">
        <v>1</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1</v>
      </c>
      <c r="BL107" s="1">
        <v>0</v>
      </c>
      <c r="BM107" s="1">
        <v>0</v>
      </c>
      <c r="BN107" s="1">
        <v>0</v>
      </c>
      <c r="BO107" s="1">
        <v>0</v>
      </c>
      <c r="BP107" s="1">
        <v>1</v>
      </c>
      <c r="BQ107" s="1">
        <v>0</v>
      </c>
      <c r="BR107" s="1">
        <v>0</v>
      </c>
      <c r="BS107" s="1">
        <v>0</v>
      </c>
      <c r="BT107" s="1">
        <v>1</v>
      </c>
      <c r="BU107" s="1">
        <v>0</v>
      </c>
      <c r="BV107" s="1">
        <v>0</v>
      </c>
      <c r="BW107" s="1">
        <v>0</v>
      </c>
      <c r="BX107" s="1">
        <v>0</v>
      </c>
      <c r="BY107" s="1">
        <v>0</v>
      </c>
      <c r="BZ107" s="1">
        <v>1</v>
      </c>
      <c r="CA107" s="1" t="s">
        <v>1887</v>
      </c>
      <c r="CB107" s="1">
        <v>1</v>
      </c>
      <c r="CC107" s="1" t="s">
        <v>1909</v>
      </c>
      <c r="CD107" s="1">
        <v>1</v>
      </c>
      <c r="CE107" s="1" t="s">
        <v>2119</v>
      </c>
      <c r="CF107" s="1" t="s">
        <v>2120</v>
      </c>
      <c r="CG107" s="1">
        <v>1</v>
      </c>
      <c r="CH107" s="1" t="s">
        <v>2068</v>
      </c>
      <c r="CI107" s="1">
        <v>0</v>
      </c>
      <c r="CJ107" s="1" t="s">
        <v>18</v>
      </c>
      <c r="CK107" s="1" t="s">
        <v>18</v>
      </c>
      <c r="CL107" s="1">
        <v>0</v>
      </c>
      <c r="CM107" s="1" t="s">
        <v>18</v>
      </c>
      <c r="CN107" s="1" t="s">
        <v>18</v>
      </c>
      <c r="CO107" s="1" t="s">
        <v>1902</v>
      </c>
      <c r="CP107" s="1" t="s">
        <v>2068</v>
      </c>
      <c r="CQ107" s="1" t="s">
        <v>2007</v>
      </c>
      <c r="CR107" s="1">
        <v>0</v>
      </c>
      <c r="CS107" s="1" t="s">
        <v>18</v>
      </c>
      <c r="CT107" s="1" t="s">
        <v>18</v>
      </c>
      <c r="CU107" s="1">
        <v>1</v>
      </c>
      <c r="CV107" s="1" t="s">
        <v>2121</v>
      </c>
      <c r="CW107" s="1" t="s">
        <v>2122</v>
      </c>
      <c r="CX107" s="1">
        <v>1</v>
      </c>
      <c r="CY107" s="1" t="s">
        <v>1919</v>
      </c>
      <c r="CZ107" s="1">
        <v>2</v>
      </c>
      <c r="DA107" s="1"/>
    </row>
    <row r="108" spans="1:107" s="127" customFormat="1" ht="16">
      <c r="A108" s="125" t="s">
        <v>466</v>
      </c>
      <c r="B108" s="167">
        <v>22108569</v>
      </c>
      <c r="C108" s="175" t="s">
        <v>1291</v>
      </c>
      <c r="D108" s="167"/>
      <c r="E108" s="167"/>
      <c r="F108" s="167"/>
      <c r="G108" s="167" t="s">
        <v>1067</v>
      </c>
      <c r="H108" s="167"/>
      <c r="I108" s="167"/>
      <c r="J108" s="167"/>
      <c r="K108" s="167"/>
      <c r="L108" s="167"/>
      <c r="M108" s="167"/>
      <c r="N108" s="167"/>
      <c r="O108" s="167"/>
      <c r="P108" s="167"/>
      <c r="Q108" s="167"/>
      <c r="R108" s="167"/>
      <c r="S108" s="167"/>
      <c r="T108" s="167"/>
      <c r="U108" s="167">
        <v>121.61</v>
      </c>
      <c r="V108" s="167"/>
      <c r="W108" s="167"/>
      <c r="X108" s="167"/>
      <c r="Y108" s="167"/>
      <c r="Z108" s="167"/>
      <c r="AA108" s="167"/>
      <c r="AB108" s="167"/>
      <c r="AC108" s="167"/>
      <c r="AD108" s="167"/>
      <c r="AE108" s="167"/>
      <c r="AF108" s="167"/>
      <c r="AG108" s="167"/>
      <c r="AH108" s="167"/>
      <c r="AI108" s="167"/>
      <c r="AJ108" s="167"/>
      <c r="AK108" s="167"/>
      <c r="AL108" s="167"/>
      <c r="AM108" s="167"/>
      <c r="AN108" s="167"/>
      <c r="AO108" s="167"/>
      <c r="AP108" s="167"/>
      <c r="AQ108" s="167"/>
      <c r="AR108" s="167"/>
      <c r="AS108" s="167"/>
      <c r="AT108" s="167"/>
      <c r="AU108" s="167"/>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c r="BP108" s="167"/>
      <c r="BQ108" s="167"/>
      <c r="BR108" s="167"/>
      <c r="BS108" s="167"/>
      <c r="BT108" s="167"/>
      <c r="BU108" s="167"/>
      <c r="BV108" s="167"/>
      <c r="BW108" s="167"/>
      <c r="BX108" s="167"/>
      <c r="BY108" s="167"/>
      <c r="BZ108" s="167"/>
      <c r="CA108" s="167"/>
      <c r="CB108" s="167"/>
      <c r="CC108" s="167"/>
      <c r="CD108" s="167"/>
      <c r="CE108" s="167"/>
      <c r="CF108" s="167"/>
      <c r="CG108" s="167"/>
      <c r="CH108" s="167"/>
      <c r="CI108" s="167"/>
      <c r="CJ108" s="167"/>
      <c r="CK108" s="167"/>
      <c r="CL108" s="167"/>
      <c r="CM108" s="167"/>
      <c r="CN108" s="167"/>
      <c r="CO108" s="167"/>
      <c r="CP108" s="167"/>
      <c r="CQ108" s="167"/>
      <c r="CR108" s="167"/>
      <c r="CS108" s="167"/>
      <c r="CT108" s="167"/>
      <c r="CU108" s="167"/>
      <c r="CV108" s="167"/>
      <c r="CW108" s="167"/>
      <c r="CX108" s="167"/>
      <c r="CY108" s="167"/>
      <c r="CZ108" s="167"/>
      <c r="DA108" s="167"/>
      <c r="DB108" s="169"/>
    </row>
    <row r="109" spans="1:107" s="114" customFormat="1" ht="16">
      <c r="A109" s="112" t="s">
        <v>470</v>
      </c>
      <c r="B109" s="162">
        <v>22103283</v>
      </c>
      <c r="C109" s="163" t="s">
        <v>1292</v>
      </c>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c r="AA109" s="176"/>
      <c r="AB109" s="176"/>
      <c r="AC109" s="176"/>
      <c r="AD109" s="176"/>
      <c r="AE109" s="176"/>
      <c r="AF109" s="176"/>
      <c r="AG109" s="176"/>
      <c r="AH109" s="176"/>
      <c r="AI109" s="176"/>
      <c r="AJ109" s="176"/>
      <c r="AK109" s="176"/>
      <c r="AL109" s="176"/>
      <c r="AM109" s="176"/>
      <c r="AN109" s="176"/>
      <c r="AO109" s="176"/>
      <c r="AP109" s="176"/>
      <c r="AQ109" s="176"/>
      <c r="AR109" s="176"/>
      <c r="AS109" s="176"/>
      <c r="AT109" s="176"/>
      <c r="AU109" s="176"/>
      <c r="AV109" s="176"/>
      <c r="AW109" s="176"/>
      <c r="AX109" s="176"/>
      <c r="AY109" s="176"/>
      <c r="AZ109" s="176"/>
      <c r="BA109" s="176"/>
      <c r="BB109" s="176"/>
      <c r="BC109" s="176"/>
      <c r="BD109" s="176"/>
      <c r="BE109" s="176"/>
      <c r="BF109" s="176"/>
      <c r="BG109" s="176"/>
      <c r="BH109" s="176"/>
      <c r="BI109" s="176"/>
      <c r="BJ109" s="176"/>
      <c r="BK109" s="176"/>
      <c r="BL109" s="176"/>
      <c r="BM109" s="176"/>
      <c r="BN109" s="176"/>
      <c r="BO109" s="176"/>
      <c r="BP109" s="176"/>
      <c r="BQ109" s="176"/>
      <c r="BR109" s="176"/>
      <c r="BS109" s="176"/>
      <c r="BT109" s="176"/>
      <c r="BU109" s="176"/>
      <c r="BV109" s="176"/>
      <c r="BW109" s="176"/>
      <c r="BX109" s="176"/>
      <c r="BY109" s="176"/>
      <c r="BZ109" s="176"/>
      <c r="CA109" s="176"/>
      <c r="CB109" s="176"/>
      <c r="CC109" s="176"/>
      <c r="CD109" s="176"/>
      <c r="CE109" s="176"/>
      <c r="CF109" s="176"/>
      <c r="CG109" s="176"/>
      <c r="CH109" s="176"/>
      <c r="CI109" s="176"/>
      <c r="CJ109" s="176"/>
      <c r="CK109" s="176"/>
      <c r="CL109" s="176"/>
      <c r="CM109" s="176"/>
      <c r="CN109" s="176"/>
      <c r="CO109" s="176"/>
      <c r="CP109" s="176"/>
      <c r="CQ109" s="176"/>
      <c r="CR109" s="176"/>
      <c r="CS109" s="176"/>
      <c r="CT109" s="176"/>
      <c r="CU109" s="176"/>
      <c r="CV109" s="176"/>
      <c r="CW109" s="176"/>
      <c r="CX109" s="176"/>
      <c r="CY109" s="176"/>
      <c r="CZ109" s="176"/>
      <c r="DA109" s="176"/>
      <c r="DB109" s="176"/>
    </row>
    <row r="110" spans="1:107" ht="16">
      <c r="A110" s="1" t="s">
        <v>474</v>
      </c>
      <c r="B110" s="1">
        <v>22107215</v>
      </c>
      <c r="C110" s="1" t="s">
        <v>475</v>
      </c>
      <c r="D110" s="5">
        <v>44568</v>
      </c>
      <c r="E110" s="1">
        <v>68.900000000000006</v>
      </c>
      <c r="F110" s="1">
        <v>8.8000000000000007</v>
      </c>
      <c r="G110" s="1">
        <f>F110/(E110/100)^2</f>
        <v>18.537203957693045</v>
      </c>
      <c r="H110" s="1">
        <v>42.7</v>
      </c>
      <c r="I110" s="1">
        <v>24</v>
      </c>
      <c r="J110" s="1">
        <v>0</v>
      </c>
      <c r="K110" s="1">
        <v>1</v>
      </c>
      <c r="L110" s="1">
        <v>2</v>
      </c>
      <c r="M110" s="1">
        <v>0</v>
      </c>
      <c r="N110" s="1">
        <v>2</v>
      </c>
      <c r="O110" s="1">
        <v>5</v>
      </c>
      <c r="P110" s="1">
        <v>712</v>
      </c>
      <c r="Q110" s="1">
        <v>30</v>
      </c>
      <c r="R110" s="1">
        <v>22.5</v>
      </c>
      <c r="S110" s="1">
        <v>19.5</v>
      </c>
      <c r="T110" s="5">
        <v>32090</v>
      </c>
      <c r="U110" s="1">
        <v>33.36</v>
      </c>
      <c r="V110" s="1">
        <v>0</v>
      </c>
      <c r="W110" s="1">
        <v>2</v>
      </c>
      <c r="X110" s="1">
        <v>1</v>
      </c>
      <c r="Y110" s="1">
        <v>2</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c r="AQ110" s="1">
        <v>0</v>
      </c>
      <c r="AR110" s="1" t="s">
        <v>1910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1</v>
      </c>
      <c r="BL110" s="1">
        <v>0</v>
      </c>
      <c r="BM110" s="1">
        <v>1</v>
      </c>
      <c r="BN110" s="1">
        <v>0</v>
      </c>
      <c r="BO110" s="1">
        <v>0</v>
      </c>
      <c r="BP110" s="1">
        <v>0</v>
      </c>
      <c r="BQ110" s="1">
        <v>1</v>
      </c>
      <c r="BR110" s="1">
        <v>0</v>
      </c>
      <c r="BS110" s="1">
        <v>0</v>
      </c>
      <c r="BT110" s="1">
        <v>0</v>
      </c>
      <c r="BU110" s="1">
        <v>0</v>
      </c>
      <c r="BV110" s="1">
        <v>0</v>
      </c>
      <c r="BW110" s="1">
        <v>0</v>
      </c>
      <c r="BX110" s="1">
        <v>0</v>
      </c>
      <c r="BY110" s="1">
        <v>0</v>
      </c>
      <c r="BZ110" s="1">
        <v>1</v>
      </c>
      <c r="CA110" s="1" t="s">
        <v>1887</v>
      </c>
      <c r="CB110" s="1">
        <v>1</v>
      </c>
      <c r="CC110" s="1" t="s">
        <v>1899</v>
      </c>
      <c r="CD110" s="1">
        <v>1</v>
      </c>
      <c r="CE110" s="1" t="s">
        <v>1887</v>
      </c>
      <c r="CF110" s="1" t="s">
        <v>2123</v>
      </c>
      <c r="CG110" s="1">
        <v>1</v>
      </c>
      <c r="CH110" s="1" t="s">
        <v>2021</v>
      </c>
      <c r="CI110" s="1">
        <v>0</v>
      </c>
      <c r="CJ110" s="1" t="s">
        <v>18</v>
      </c>
      <c r="CK110" s="1" t="s">
        <v>18</v>
      </c>
      <c r="CL110" s="1">
        <v>1</v>
      </c>
      <c r="CM110" s="1" t="s">
        <v>2124</v>
      </c>
      <c r="CN110" s="1" t="s">
        <v>1981</v>
      </c>
      <c r="CO110" s="1">
        <v>0</v>
      </c>
      <c r="CP110" s="1" t="s">
        <v>18</v>
      </c>
      <c r="CQ110" s="1" t="s">
        <v>18</v>
      </c>
      <c r="CR110" s="1">
        <v>0</v>
      </c>
      <c r="CS110" s="1" t="s">
        <v>18</v>
      </c>
      <c r="CT110" s="1" t="s">
        <v>18</v>
      </c>
      <c r="CU110" s="1">
        <v>1</v>
      </c>
      <c r="CV110" s="1" t="s">
        <v>2125</v>
      </c>
      <c r="CW110" s="1" t="s">
        <v>2126</v>
      </c>
      <c r="CX110" s="1">
        <v>1</v>
      </c>
      <c r="CY110" s="1" t="s">
        <v>2127</v>
      </c>
      <c r="CZ110" s="1">
        <v>2</v>
      </c>
      <c r="DA110" s="1"/>
    </row>
    <row r="111" spans="1:107" s="110" customFormat="1" ht="16">
      <c r="A111" s="107" t="s">
        <v>478</v>
      </c>
      <c r="B111" s="107">
        <v>22106269</v>
      </c>
      <c r="C111" s="107" t="s">
        <v>479</v>
      </c>
      <c r="D111" s="108">
        <v>44508</v>
      </c>
      <c r="E111" s="107">
        <v>60</v>
      </c>
      <c r="F111" s="107">
        <v>5.5</v>
      </c>
      <c r="G111" s="107">
        <f>F111/(E111/100)^2</f>
        <v>15.277777777777779</v>
      </c>
      <c r="H111" s="107">
        <v>36</v>
      </c>
      <c r="I111" s="107">
        <v>24</v>
      </c>
      <c r="J111" s="107">
        <v>3</v>
      </c>
      <c r="K111" s="107">
        <v>1</v>
      </c>
      <c r="L111" s="107">
        <v>2</v>
      </c>
      <c r="M111" s="107">
        <v>0</v>
      </c>
      <c r="N111" s="107">
        <v>6</v>
      </c>
      <c r="O111" s="107">
        <v>8</v>
      </c>
      <c r="P111" s="107">
        <v>470</v>
      </c>
      <c r="Q111" s="107">
        <v>27</v>
      </c>
      <c r="R111" s="107">
        <v>21</v>
      </c>
      <c r="S111" s="107">
        <v>17</v>
      </c>
      <c r="T111" s="108">
        <v>32024</v>
      </c>
      <c r="U111" s="107">
        <v>33.299999999999997</v>
      </c>
      <c r="V111" s="107">
        <v>0</v>
      </c>
      <c r="W111" s="107">
        <v>1</v>
      </c>
      <c r="X111" s="107">
        <v>0</v>
      </c>
      <c r="Y111" s="107">
        <v>1</v>
      </c>
      <c r="Z111" s="107">
        <v>1</v>
      </c>
      <c r="AA111" s="107">
        <v>1</v>
      </c>
      <c r="AB111" s="107">
        <v>1</v>
      </c>
      <c r="AC111" s="107">
        <v>0</v>
      </c>
      <c r="AD111" s="107">
        <v>0</v>
      </c>
      <c r="AE111" s="107">
        <v>0</v>
      </c>
      <c r="AF111" s="107">
        <v>1</v>
      </c>
      <c r="AG111" s="107">
        <v>0</v>
      </c>
      <c r="AH111" s="107">
        <v>0</v>
      </c>
      <c r="AI111" s="107">
        <v>0</v>
      </c>
      <c r="AJ111" s="107">
        <v>0</v>
      </c>
      <c r="AK111" s="107">
        <v>0</v>
      </c>
      <c r="AL111" s="107">
        <v>0</v>
      </c>
      <c r="AM111" s="107">
        <v>0</v>
      </c>
      <c r="AN111" s="107">
        <v>0</v>
      </c>
      <c r="AO111" s="107">
        <v>0</v>
      </c>
      <c r="AP111" s="107">
        <v>0</v>
      </c>
      <c r="AQ111" s="107">
        <v>0</v>
      </c>
      <c r="AR111" s="107">
        <v>1</v>
      </c>
      <c r="AS111" s="107">
        <v>0</v>
      </c>
      <c r="AT111" s="107">
        <v>0</v>
      </c>
      <c r="AU111" s="107">
        <v>0</v>
      </c>
      <c r="AV111" s="107">
        <v>0</v>
      </c>
      <c r="AW111" s="107">
        <v>0</v>
      </c>
      <c r="AX111" s="107">
        <v>0</v>
      </c>
      <c r="AY111" s="107">
        <v>0</v>
      </c>
      <c r="AZ111" s="107">
        <v>0</v>
      </c>
      <c r="BA111" s="107">
        <v>0</v>
      </c>
      <c r="BB111" s="107">
        <v>0</v>
      </c>
      <c r="BC111" s="107">
        <v>0</v>
      </c>
      <c r="BD111" s="107">
        <v>0</v>
      </c>
      <c r="BE111" s="107">
        <v>0</v>
      </c>
      <c r="BF111" s="107">
        <v>0</v>
      </c>
      <c r="BG111" s="107">
        <v>0</v>
      </c>
      <c r="BH111" s="107">
        <v>0</v>
      </c>
      <c r="BI111" s="107">
        <v>0</v>
      </c>
      <c r="BJ111" s="107">
        <v>0</v>
      </c>
      <c r="BK111" s="107">
        <v>1</v>
      </c>
      <c r="BL111" s="107">
        <v>0</v>
      </c>
      <c r="BM111" s="107">
        <v>1</v>
      </c>
      <c r="BN111" s="107">
        <v>0</v>
      </c>
      <c r="BO111" s="107">
        <v>0</v>
      </c>
      <c r="BP111" s="107">
        <v>0</v>
      </c>
      <c r="BQ111" s="107">
        <v>0</v>
      </c>
      <c r="BR111" s="107">
        <v>0</v>
      </c>
      <c r="BS111" s="107">
        <v>0</v>
      </c>
      <c r="BT111" s="107">
        <v>1</v>
      </c>
      <c r="BU111" s="107">
        <v>0</v>
      </c>
      <c r="BV111" s="107">
        <v>0</v>
      </c>
      <c r="BW111" s="107">
        <v>1</v>
      </c>
      <c r="BX111" s="107">
        <v>2</v>
      </c>
      <c r="BY111" s="107">
        <v>0</v>
      </c>
      <c r="BZ111" s="107">
        <v>0</v>
      </c>
      <c r="CA111" s="107" t="s">
        <v>2128</v>
      </c>
      <c r="CB111" s="107">
        <v>0</v>
      </c>
      <c r="CC111" s="107" t="s">
        <v>18</v>
      </c>
      <c r="CD111" s="107">
        <v>1</v>
      </c>
      <c r="CE111" s="107" t="s">
        <v>2129</v>
      </c>
      <c r="CF111" s="107" t="s">
        <v>2130</v>
      </c>
      <c r="CG111" s="107">
        <v>1</v>
      </c>
      <c r="CH111" s="107" t="s">
        <v>1887</v>
      </c>
      <c r="CI111" s="107">
        <v>0</v>
      </c>
      <c r="CJ111" s="107" t="s">
        <v>18</v>
      </c>
      <c r="CK111" s="107" t="s">
        <v>18</v>
      </c>
      <c r="CL111" s="107">
        <v>1</v>
      </c>
      <c r="CM111" s="107" t="s">
        <v>2131</v>
      </c>
      <c r="CN111" s="107" t="s">
        <v>2022</v>
      </c>
      <c r="CO111" s="107" t="s">
        <v>2040</v>
      </c>
      <c r="CP111" s="107" t="s">
        <v>1887</v>
      </c>
      <c r="CQ111" s="107" t="s">
        <v>2007</v>
      </c>
      <c r="CR111" s="107">
        <v>0</v>
      </c>
      <c r="CS111" s="107" t="s">
        <v>18</v>
      </c>
      <c r="CT111" s="107" t="s">
        <v>18</v>
      </c>
      <c r="CU111" s="107">
        <v>1</v>
      </c>
      <c r="CV111" s="107" t="s">
        <v>1887</v>
      </c>
      <c r="CW111" s="107" t="s">
        <v>2132</v>
      </c>
      <c r="CX111" s="107">
        <v>0</v>
      </c>
      <c r="CY111" s="107" t="s">
        <v>18</v>
      </c>
      <c r="CZ111" s="107">
        <v>2</v>
      </c>
      <c r="DA111" s="107"/>
    </row>
    <row r="112" spans="1:107" s="114" customFormat="1" ht="16">
      <c r="A112" s="112" t="s">
        <v>482</v>
      </c>
      <c r="B112" s="162">
        <v>21928733</v>
      </c>
      <c r="C112" s="163" t="s">
        <v>1302</v>
      </c>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c r="AA112" s="176"/>
      <c r="AB112" s="176"/>
      <c r="AC112" s="176"/>
      <c r="AD112" s="176"/>
      <c r="AE112" s="176"/>
      <c r="AF112" s="176"/>
      <c r="AG112" s="176"/>
      <c r="AH112" s="176"/>
      <c r="AI112" s="176"/>
      <c r="AJ112" s="176"/>
      <c r="AK112" s="176"/>
      <c r="AL112" s="176"/>
      <c r="AM112" s="176"/>
      <c r="AN112" s="176"/>
      <c r="AO112" s="176"/>
      <c r="AP112" s="176"/>
      <c r="AQ112" s="176"/>
      <c r="AR112" s="176"/>
      <c r="AS112" s="176"/>
      <c r="AT112" s="176"/>
      <c r="AU112" s="176"/>
      <c r="AV112" s="176"/>
      <c r="AW112" s="176"/>
      <c r="AX112" s="176"/>
      <c r="AY112" s="176"/>
      <c r="AZ112" s="176"/>
      <c r="BA112" s="176"/>
      <c r="BB112" s="176"/>
      <c r="BC112" s="176"/>
      <c r="BD112" s="176"/>
      <c r="BE112" s="176"/>
      <c r="BF112" s="176"/>
      <c r="BG112" s="176"/>
      <c r="BH112" s="176"/>
      <c r="BI112" s="176"/>
      <c r="BJ112" s="176"/>
      <c r="BK112" s="176"/>
      <c r="BL112" s="176"/>
      <c r="BM112" s="176"/>
      <c r="BN112" s="176"/>
      <c r="BO112" s="176"/>
      <c r="BP112" s="176"/>
      <c r="BQ112" s="176"/>
      <c r="BR112" s="176"/>
      <c r="BS112" s="176"/>
      <c r="BT112" s="176"/>
      <c r="BU112" s="176"/>
      <c r="BV112" s="176"/>
      <c r="BW112" s="176"/>
      <c r="BX112" s="176"/>
      <c r="BY112" s="176"/>
      <c r="BZ112" s="176"/>
      <c r="CA112" s="176"/>
      <c r="CB112" s="176"/>
      <c r="CC112" s="176"/>
      <c r="CD112" s="176"/>
      <c r="CE112" s="176"/>
      <c r="CF112" s="176"/>
      <c r="CG112" s="176"/>
      <c r="CH112" s="176"/>
      <c r="CI112" s="176"/>
      <c r="CJ112" s="176"/>
      <c r="CK112" s="176"/>
      <c r="CL112" s="176"/>
      <c r="CM112" s="176"/>
      <c r="CN112" s="176"/>
      <c r="CO112" s="176"/>
      <c r="CP112" s="176"/>
      <c r="CQ112" s="176"/>
      <c r="CR112" s="176"/>
      <c r="CS112" s="176"/>
      <c r="CT112" s="176"/>
      <c r="CU112" s="176"/>
      <c r="CV112" s="176"/>
      <c r="CW112" s="176"/>
      <c r="CX112" s="176"/>
      <c r="CY112" s="176"/>
      <c r="CZ112" s="176"/>
      <c r="DA112" s="176"/>
      <c r="DB112" s="176"/>
    </row>
    <row r="113" spans="1:106" s="127" customFormat="1" ht="16">
      <c r="A113" s="125" t="s">
        <v>486</v>
      </c>
      <c r="B113" s="167">
        <v>22104710</v>
      </c>
      <c r="C113" s="175" t="s">
        <v>1308</v>
      </c>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c r="AB113" s="168"/>
      <c r="AC113" s="168"/>
      <c r="AD113" s="168"/>
      <c r="AE113" s="168"/>
      <c r="AF113" s="168"/>
      <c r="AG113" s="168"/>
      <c r="AH113" s="168"/>
      <c r="AI113" s="168"/>
      <c r="AJ113" s="168"/>
      <c r="AK113" s="168"/>
      <c r="AL113" s="168"/>
      <c r="AM113" s="168"/>
      <c r="AN113" s="168"/>
      <c r="AO113" s="168"/>
      <c r="AP113" s="168"/>
      <c r="AQ113" s="168"/>
      <c r="AR113" s="168"/>
      <c r="AS113" s="168"/>
      <c r="AT113" s="168"/>
      <c r="AU113" s="168"/>
      <c r="AV113" s="168"/>
      <c r="AW113" s="168"/>
      <c r="AX113" s="168"/>
      <c r="AY113" s="168"/>
      <c r="AZ113" s="168"/>
      <c r="BA113" s="168"/>
      <c r="BB113" s="168"/>
      <c r="BC113" s="168"/>
      <c r="BD113" s="168"/>
      <c r="BE113" s="168"/>
      <c r="BF113" s="168"/>
      <c r="BG113" s="168"/>
      <c r="BH113" s="168"/>
      <c r="BI113" s="168"/>
      <c r="BJ113" s="168"/>
      <c r="BK113" s="168"/>
      <c r="BL113" s="168"/>
      <c r="BM113" s="168"/>
      <c r="BN113" s="168"/>
      <c r="BO113" s="168"/>
      <c r="BP113" s="168"/>
      <c r="BQ113" s="168"/>
      <c r="BR113" s="168"/>
      <c r="BS113" s="168"/>
      <c r="BT113" s="168"/>
      <c r="BU113" s="168"/>
      <c r="BV113" s="168"/>
      <c r="BW113" s="168"/>
      <c r="BX113" s="168"/>
      <c r="BY113" s="168"/>
      <c r="BZ113" s="168"/>
      <c r="CA113" s="168"/>
      <c r="CB113" s="168"/>
      <c r="CC113" s="168"/>
      <c r="CD113" s="168"/>
      <c r="CE113" s="168"/>
      <c r="CF113" s="168"/>
      <c r="CG113" s="168"/>
      <c r="CH113" s="168"/>
      <c r="CI113" s="168"/>
      <c r="CJ113" s="168"/>
      <c r="CK113" s="168"/>
      <c r="CL113" s="168"/>
      <c r="CM113" s="168"/>
      <c r="CN113" s="168"/>
      <c r="CO113" s="168"/>
      <c r="CP113" s="168"/>
      <c r="CQ113" s="168"/>
      <c r="CR113" s="168"/>
      <c r="CS113" s="168"/>
      <c r="CT113" s="168"/>
      <c r="CU113" s="168"/>
      <c r="CV113" s="168"/>
      <c r="CW113" s="168"/>
      <c r="CX113" s="168"/>
      <c r="CY113" s="168"/>
      <c r="CZ113" s="168"/>
      <c r="DA113" s="168"/>
      <c r="DB113" s="168"/>
    </row>
    <row r="114" spans="1:106" ht="16">
      <c r="A114" s="1" t="s">
        <v>490</v>
      </c>
      <c r="B114" s="1">
        <v>22105636</v>
      </c>
      <c r="C114" s="1" t="s">
        <v>491</v>
      </c>
      <c r="D114" s="5">
        <v>44495</v>
      </c>
      <c r="E114" s="1">
        <v>68.8</v>
      </c>
      <c r="F114" s="1">
        <v>7.9</v>
      </c>
      <c r="G114" s="1">
        <f>F114/(E114/100)^2</f>
        <v>16.689764737696056</v>
      </c>
      <c r="H114" s="1">
        <v>42.5</v>
      </c>
      <c r="I114" s="1">
        <v>27</v>
      </c>
      <c r="J114" s="1">
        <v>0</v>
      </c>
      <c r="K114" s="1">
        <v>1</v>
      </c>
      <c r="L114" s="1">
        <v>2</v>
      </c>
      <c r="M114" s="1">
        <v>0</v>
      </c>
      <c r="N114" s="1">
        <v>5</v>
      </c>
      <c r="O114" s="1">
        <v>8</v>
      </c>
      <c r="P114" s="1">
        <v>955</v>
      </c>
      <c r="Q114" s="1">
        <v>36</v>
      </c>
      <c r="R114" s="1">
        <v>24</v>
      </c>
      <c r="S114" s="1">
        <v>22</v>
      </c>
      <c r="T114" s="5">
        <v>32164</v>
      </c>
      <c r="U114" s="1">
        <v>32.75</v>
      </c>
      <c r="V114" s="1">
        <v>0</v>
      </c>
      <c r="W114" s="1">
        <v>1</v>
      </c>
      <c r="X114" s="1">
        <v>0</v>
      </c>
      <c r="Y114" s="1">
        <v>1</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t="s">
        <v>1910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1</v>
      </c>
      <c r="BL114" s="1">
        <v>0</v>
      </c>
      <c r="BM114" s="1">
        <v>0</v>
      </c>
      <c r="BN114" s="1">
        <v>0</v>
      </c>
      <c r="BO114" s="1">
        <v>0</v>
      </c>
      <c r="BP114" s="1">
        <v>0</v>
      </c>
      <c r="BQ114" s="1">
        <v>0</v>
      </c>
      <c r="BR114" s="1">
        <v>1</v>
      </c>
      <c r="BS114" s="1">
        <v>0</v>
      </c>
      <c r="BT114" s="1">
        <v>0</v>
      </c>
      <c r="BU114" s="1">
        <v>0</v>
      </c>
      <c r="BV114" s="1">
        <v>0</v>
      </c>
      <c r="BW114" s="1">
        <v>0</v>
      </c>
      <c r="BX114" s="1">
        <v>0</v>
      </c>
      <c r="BY114" s="1">
        <v>0</v>
      </c>
      <c r="BZ114" s="1">
        <v>1</v>
      </c>
      <c r="CA114" s="1" t="s">
        <v>2013</v>
      </c>
      <c r="CB114" s="1">
        <v>0</v>
      </c>
      <c r="CC114" s="1" t="s">
        <v>18</v>
      </c>
      <c r="CD114" s="1">
        <v>1</v>
      </c>
      <c r="CE114" s="1" t="s">
        <v>2133</v>
      </c>
      <c r="CF114" s="1" t="s">
        <v>2058</v>
      </c>
      <c r="CG114" s="1">
        <v>1</v>
      </c>
      <c r="CH114" s="1" t="s">
        <v>2134</v>
      </c>
      <c r="CI114" s="1">
        <v>0</v>
      </c>
      <c r="CJ114" s="1" t="s">
        <v>18</v>
      </c>
      <c r="CK114" s="1" t="s">
        <v>18</v>
      </c>
      <c r="CL114" s="1">
        <v>1</v>
      </c>
      <c r="CM114" s="1" t="s">
        <v>2135</v>
      </c>
      <c r="CN114" s="1" t="s">
        <v>2111</v>
      </c>
      <c r="CO114" s="1" t="s">
        <v>1902</v>
      </c>
      <c r="CP114" s="1" t="s">
        <v>2084</v>
      </c>
      <c r="CQ114" s="1" t="s">
        <v>2007</v>
      </c>
      <c r="CR114" s="1">
        <v>0</v>
      </c>
      <c r="CS114" s="1" t="s">
        <v>18</v>
      </c>
      <c r="CT114" s="1" t="s">
        <v>18</v>
      </c>
      <c r="CU114" s="1">
        <v>0</v>
      </c>
      <c r="CV114" s="1" t="s">
        <v>18</v>
      </c>
      <c r="CW114" s="1" t="s">
        <v>18</v>
      </c>
      <c r="CX114" s="1">
        <v>1</v>
      </c>
      <c r="CY114" s="1" t="s">
        <v>2136</v>
      </c>
      <c r="CZ114" s="1">
        <v>2</v>
      </c>
      <c r="DA114" s="1"/>
    </row>
    <row r="115" spans="1:106" s="114" customFormat="1" ht="16">
      <c r="A115" s="112" t="s">
        <v>494</v>
      </c>
      <c r="B115" s="162">
        <v>22104579</v>
      </c>
      <c r="C115" s="163" t="s">
        <v>1310</v>
      </c>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c r="AA115" s="176"/>
      <c r="AB115" s="176"/>
      <c r="AC115" s="176"/>
      <c r="AD115" s="176"/>
      <c r="AE115" s="176"/>
      <c r="AF115" s="176"/>
      <c r="AG115" s="176"/>
      <c r="AH115" s="176"/>
      <c r="AI115" s="176"/>
      <c r="AJ115" s="176"/>
      <c r="AK115" s="176"/>
      <c r="AL115" s="176"/>
      <c r="AM115" s="176"/>
      <c r="AN115" s="176"/>
      <c r="AO115" s="176"/>
      <c r="AP115" s="176"/>
      <c r="AQ115" s="176"/>
      <c r="AR115" s="176"/>
      <c r="AS115" s="176"/>
      <c r="AT115" s="176"/>
      <c r="AU115" s="176"/>
      <c r="AV115" s="176"/>
      <c r="AW115" s="176"/>
      <c r="AX115" s="176"/>
      <c r="AY115" s="176"/>
      <c r="AZ115" s="176"/>
      <c r="BA115" s="162"/>
      <c r="BB115" s="162"/>
      <c r="BC115" s="162"/>
      <c r="BD115" s="162"/>
      <c r="BE115" s="162"/>
      <c r="BF115" s="162"/>
      <c r="BG115" s="162"/>
      <c r="BH115" s="162"/>
      <c r="BI115" s="162"/>
      <c r="BJ115" s="162"/>
      <c r="BK115" s="162"/>
      <c r="BL115" s="162"/>
      <c r="BM115" s="162"/>
      <c r="BN115" s="162"/>
      <c r="BO115" s="162"/>
      <c r="BP115" s="162"/>
      <c r="BQ115" s="162"/>
      <c r="BR115" s="162"/>
      <c r="BS115" s="162"/>
      <c r="BT115" s="162"/>
      <c r="BU115" s="162"/>
      <c r="BV115" s="162"/>
      <c r="BW115" s="162"/>
      <c r="BX115" s="162"/>
      <c r="BY115" s="162"/>
      <c r="BZ115" s="162"/>
      <c r="CA115" s="162"/>
      <c r="CB115" s="162"/>
      <c r="CC115" s="162"/>
      <c r="CD115" s="162"/>
      <c r="CE115" s="162"/>
      <c r="CF115" s="162"/>
      <c r="CG115" s="162"/>
      <c r="CH115" s="162"/>
      <c r="CI115" s="162"/>
      <c r="CJ115" s="162"/>
      <c r="CK115" s="162"/>
      <c r="CL115" s="162"/>
      <c r="CM115" s="162"/>
      <c r="CN115" s="162"/>
      <c r="CO115" s="162"/>
      <c r="CP115" s="162"/>
      <c r="CQ115" s="162"/>
      <c r="CR115" s="162"/>
      <c r="CS115" s="162"/>
      <c r="CT115" s="162"/>
      <c r="CU115" s="162"/>
      <c r="CV115" s="162"/>
      <c r="CW115" s="162"/>
      <c r="CX115" s="162"/>
      <c r="CY115" s="162"/>
      <c r="CZ115" s="162"/>
      <c r="DA115" s="162"/>
      <c r="DB115" s="162"/>
    </row>
    <row r="116" spans="1:106" ht="16">
      <c r="A116" s="1" t="s">
        <v>499</v>
      </c>
      <c r="B116" s="1">
        <v>22108091</v>
      </c>
      <c r="C116" s="1" t="s">
        <v>500</v>
      </c>
      <c r="D116" s="5">
        <v>44558</v>
      </c>
      <c r="E116" s="1">
        <v>61.4</v>
      </c>
      <c r="F116" s="1">
        <v>6.7</v>
      </c>
      <c r="G116" s="1">
        <f>F116/(E116/100)^2</f>
        <v>17.772071852221245</v>
      </c>
      <c r="H116" s="1">
        <v>43</v>
      </c>
      <c r="I116" s="1">
        <v>39</v>
      </c>
      <c r="J116" s="1">
        <v>0</v>
      </c>
      <c r="K116" s="1">
        <v>0</v>
      </c>
      <c r="L116" s="1">
        <v>1</v>
      </c>
      <c r="M116" s="1">
        <v>0</v>
      </c>
      <c r="N116" s="1"/>
      <c r="O116" s="1"/>
      <c r="P116" s="1">
        <v>3230</v>
      </c>
      <c r="Q116" s="1">
        <v>50</v>
      </c>
      <c r="R116" s="1">
        <v>35.5</v>
      </c>
      <c r="S116" s="1">
        <v>34</v>
      </c>
      <c r="T116" s="5">
        <v>34077</v>
      </c>
      <c r="U116" s="1">
        <v>28.17</v>
      </c>
      <c r="V116" s="1">
        <v>2</v>
      </c>
      <c r="W116" s="1">
        <v>0</v>
      </c>
      <c r="X116" s="1">
        <v>1</v>
      </c>
      <c r="Y116" s="1">
        <v>2</v>
      </c>
      <c r="Z116" s="1">
        <v>0</v>
      </c>
      <c r="AA116" s="1">
        <v>0</v>
      </c>
      <c r="AB116" s="1">
        <v>0</v>
      </c>
      <c r="AC116" s="1">
        <v>0</v>
      </c>
      <c r="AD116" s="1">
        <v>0</v>
      </c>
      <c r="AE116" s="1">
        <v>0</v>
      </c>
      <c r="AF116" s="1">
        <v>0</v>
      </c>
      <c r="AG116" s="1">
        <v>0</v>
      </c>
      <c r="AH116" s="1">
        <v>0</v>
      </c>
      <c r="AI116" s="1">
        <v>0</v>
      </c>
      <c r="AJ116" s="1">
        <v>0</v>
      </c>
      <c r="AK116" s="1">
        <v>0</v>
      </c>
      <c r="AL116" s="1">
        <v>0</v>
      </c>
      <c r="AM116" s="1">
        <v>0</v>
      </c>
      <c r="AN116" s="1">
        <v>0</v>
      </c>
      <c r="AO116" s="1">
        <v>0</v>
      </c>
      <c r="AP116" s="1">
        <v>0</v>
      </c>
      <c r="AQ116" s="1">
        <v>0</v>
      </c>
      <c r="AR116" s="1" t="s">
        <v>1910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1</v>
      </c>
      <c r="CA116" s="1" t="s">
        <v>1975</v>
      </c>
      <c r="CB116" s="1">
        <v>0</v>
      </c>
      <c r="CC116" s="1" t="s">
        <v>18</v>
      </c>
      <c r="CD116" s="1">
        <v>1</v>
      </c>
      <c r="CE116" s="1" t="s">
        <v>2137</v>
      </c>
      <c r="CF116" s="1" t="s">
        <v>2138</v>
      </c>
      <c r="CG116" s="1">
        <v>0</v>
      </c>
      <c r="CH116" s="1" t="s">
        <v>18</v>
      </c>
      <c r="CI116" s="1">
        <v>0</v>
      </c>
      <c r="CJ116" s="1" t="s">
        <v>18</v>
      </c>
      <c r="CK116" s="1" t="s">
        <v>18</v>
      </c>
      <c r="CL116" s="1">
        <v>0</v>
      </c>
      <c r="CM116" s="1" t="s">
        <v>18</v>
      </c>
      <c r="CN116" s="1" t="s">
        <v>18</v>
      </c>
      <c r="CO116" s="1">
        <v>0</v>
      </c>
      <c r="CP116" s="1" t="s">
        <v>18</v>
      </c>
      <c r="CQ116" s="1" t="s">
        <v>18</v>
      </c>
      <c r="CR116" s="1">
        <v>0</v>
      </c>
      <c r="CS116" s="1" t="s">
        <v>18</v>
      </c>
      <c r="CT116" s="1" t="s">
        <v>18</v>
      </c>
      <c r="CU116" s="1">
        <v>1</v>
      </c>
      <c r="CV116" s="1" t="s">
        <v>2139</v>
      </c>
      <c r="CW116" s="1" t="s">
        <v>2140</v>
      </c>
      <c r="CX116" s="1">
        <v>1</v>
      </c>
      <c r="CY116" s="5">
        <v>44525</v>
      </c>
      <c r="CZ116" s="1">
        <v>2</v>
      </c>
      <c r="DA116" s="1"/>
    </row>
    <row r="117" spans="1:106" ht="16">
      <c r="A117" s="1" t="s">
        <v>503</v>
      </c>
      <c r="B117" s="1">
        <v>22108353</v>
      </c>
      <c r="C117" s="1" t="s">
        <v>504</v>
      </c>
      <c r="D117" s="5">
        <v>44659</v>
      </c>
      <c r="E117" s="1">
        <v>62.5</v>
      </c>
      <c r="F117" s="1">
        <v>6.8</v>
      </c>
      <c r="G117" s="1">
        <f>F117/(E117/100)^2</f>
        <v>17.408000000000001</v>
      </c>
      <c r="H117" s="1">
        <v>40</v>
      </c>
      <c r="I117" s="1">
        <v>29</v>
      </c>
      <c r="J117" s="1">
        <v>6</v>
      </c>
      <c r="K117" s="1">
        <v>1</v>
      </c>
      <c r="L117" s="1">
        <v>2</v>
      </c>
      <c r="M117" s="1">
        <v>0</v>
      </c>
      <c r="N117" s="1">
        <v>6</v>
      </c>
      <c r="O117" s="1">
        <v>9</v>
      </c>
      <c r="P117" s="1">
        <v>900</v>
      </c>
      <c r="Q117" s="1">
        <v>35</v>
      </c>
      <c r="R117" s="1">
        <v>25</v>
      </c>
      <c r="S117" s="1">
        <v>21.5</v>
      </c>
      <c r="T117" s="5">
        <v>33189</v>
      </c>
      <c r="U117" s="1">
        <v>30.68</v>
      </c>
      <c r="V117" s="1">
        <v>1</v>
      </c>
      <c r="W117" s="1">
        <v>1</v>
      </c>
      <c r="X117" s="1">
        <v>1</v>
      </c>
      <c r="Y117" s="1">
        <v>2</v>
      </c>
      <c r="Z117" s="1">
        <v>1</v>
      </c>
      <c r="AA117" s="1">
        <v>1</v>
      </c>
      <c r="AB117" s="1">
        <v>1</v>
      </c>
      <c r="AC117" s="1">
        <v>0</v>
      </c>
      <c r="AD117" s="1">
        <v>0</v>
      </c>
      <c r="AE117" s="1">
        <v>0</v>
      </c>
      <c r="AF117" s="1">
        <v>0</v>
      </c>
      <c r="AG117" s="1">
        <v>0</v>
      </c>
      <c r="AH117" s="1">
        <v>0</v>
      </c>
      <c r="AI117" s="1">
        <v>1</v>
      </c>
      <c r="AJ117" s="1">
        <v>0</v>
      </c>
      <c r="AK117" s="1">
        <v>0</v>
      </c>
      <c r="AL117" s="1">
        <v>1</v>
      </c>
      <c r="AM117" s="1">
        <v>20</v>
      </c>
      <c r="AN117" s="1">
        <v>0</v>
      </c>
      <c r="AO117" s="1">
        <v>0</v>
      </c>
      <c r="AP117" s="1">
        <v>1</v>
      </c>
      <c r="AQ117" s="1">
        <v>2</v>
      </c>
      <c r="AR117" s="1" t="s">
        <v>1910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1</v>
      </c>
      <c r="BL117" s="1">
        <v>0</v>
      </c>
      <c r="BM117" s="1">
        <v>0</v>
      </c>
      <c r="BN117" s="1">
        <v>0</v>
      </c>
      <c r="BO117" s="1">
        <v>0</v>
      </c>
      <c r="BP117" s="1">
        <v>0</v>
      </c>
      <c r="BQ117" s="1">
        <v>1</v>
      </c>
      <c r="BR117" s="1">
        <v>0</v>
      </c>
      <c r="BS117" s="1">
        <v>1</v>
      </c>
      <c r="BT117" s="1">
        <v>1</v>
      </c>
      <c r="BU117" s="1">
        <v>0</v>
      </c>
      <c r="BV117" s="1">
        <v>0</v>
      </c>
      <c r="BW117" s="1">
        <v>0</v>
      </c>
      <c r="BX117" s="1">
        <v>0</v>
      </c>
      <c r="BY117" s="1">
        <v>0</v>
      </c>
      <c r="BZ117" s="1">
        <v>1</v>
      </c>
      <c r="CA117" s="14" t="s">
        <v>2141</v>
      </c>
      <c r="CB117" s="1">
        <v>0</v>
      </c>
      <c r="CC117" s="1" t="s">
        <v>18</v>
      </c>
      <c r="CD117" s="1">
        <v>1</v>
      </c>
      <c r="CE117" s="14" t="s">
        <v>2142</v>
      </c>
      <c r="CF117" s="14" t="s">
        <v>2143</v>
      </c>
      <c r="CG117" s="1">
        <v>1</v>
      </c>
      <c r="CH117" s="14" t="s">
        <v>2144</v>
      </c>
      <c r="CI117" s="1">
        <v>1</v>
      </c>
      <c r="CJ117" s="14" t="s">
        <v>2145</v>
      </c>
      <c r="CK117" s="1" t="s">
        <v>2146</v>
      </c>
      <c r="CL117" s="1">
        <v>1</v>
      </c>
      <c r="CM117" s="14" t="s">
        <v>2145</v>
      </c>
      <c r="CN117" s="1" t="s">
        <v>2146</v>
      </c>
      <c r="CO117" s="14" t="s">
        <v>2075</v>
      </c>
      <c r="CP117" s="14" t="s">
        <v>2144</v>
      </c>
      <c r="CQ117" s="14" t="s">
        <v>2147</v>
      </c>
      <c r="CR117" s="1">
        <v>0</v>
      </c>
      <c r="CS117" s="1" t="s">
        <v>18</v>
      </c>
      <c r="CT117" s="1" t="s">
        <v>18</v>
      </c>
      <c r="CU117" s="1">
        <v>0</v>
      </c>
      <c r="CV117" s="1" t="s">
        <v>18</v>
      </c>
      <c r="CW117" s="1" t="s">
        <v>18</v>
      </c>
      <c r="CX117" s="1">
        <v>1</v>
      </c>
      <c r="CY117" s="5">
        <v>44650</v>
      </c>
      <c r="CZ117" s="1">
        <v>2</v>
      </c>
      <c r="DA117" s="1"/>
    </row>
    <row r="118" spans="1:106" s="114" customFormat="1" ht="16">
      <c r="A118" s="112" t="s">
        <v>507</v>
      </c>
      <c r="B118" s="162">
        <v>22102665</v>
      </c>
      <c r="C118" s="163" t="s">
        <v>1315</v>
      </c>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c r="AA118" s="176"/>
      <c r="AB118" s="176"/>
      <c r="AC118" s="176"/>
      <c r="AD118" s="176"/>
      <c r="AE118" s="176"/>
      <c r="AF118" s="176"/>
      <c r="AG118" s="176"/>
      <c r="AH118" s="176"/>
      <c r="AI118" s="176"/>
      <c r="AJ118" s="176"/>
      <c r="AK118" s="176"/>
      <c r="AL118" s="176"/>
      <c r="AM118" s="176"/>
      <c r="AN118" s="176"/>
      <c r="AO118" s="176"/>
      <c r="AP118" s="176"/>
      <c r="AQ118" s="176"/>
      <c r="AR118" s="176"/>
      <c r="AS118" s="176"/>
      <c r="AT118" s="176"/>
      <c r="AU118" s="176"/>
      <c r="AV118" s="176"/>
      <c r="AW118" s="176"/>
      <c r="AX118" s="176"/>
      <c r="AY118" s="176"/>
      <c r="AZ118" s="176"/>
      <c r="BA118" s="176"/>
      <c r="BB118" s="176"/>
      <c r="BC118" s="176"/>
      <c r="BD118" s="176"/>
      <c r="BE118" s="176"/>
      <c r="BF118" s="176"/>
      <c r="BG118" s="176"/>
      <c r="BH118" s="176"/>
      <c r="BI118" s="176"/>
      <c r="BJ118" s="176"/>
      <c r="BK118" s="176"/>
      <c r="BL118" s="176"/>
      <c r="BM118" s="176"/>
      <c r="BN118" s="176"/>
      <c r="BO118" s="176"/>
      <c r="BP118" s="176"/>
      <c r="BQ118" s="176"/>
      <c r="BR118" s="176"/>
      <c r="BS118" s="176"/>
      <c r="BT118" s="176"/>
      <c r="BU118" s="176"/>
      <c r="BV118" s="176"/>
      <c r="BW118" s="176"/>
      <c r="BX118" s="176"/>
      <c r="BY118" s="176"/>
      <c r="BZ118" s="176"/>
      <c r="CA118" s="176"/>
      <c r="CB118" s="176"/>
      <c r="CC118" s="176"/>
      <c r="CD118" s="176"/>
      <c r="CE118" s="176"/>
      <c r="CF118" s="176"/>
      <c r="CG118" s="176"/>
      <c r="CH118" s="176"/>
      <c r="CI118" s="176"/>
      <c r="CJ118" s="176"/>
      <c r="CK118" s="176"/>
      <c r="CL118" s="176"/>
      <c r="CM118" s="176"/>
      <c r="CN118" s="176"/>
      <c r="CO118" s="176"/>
      <c r="CP118" s="176"/>
      <c r="CQ118" s="176"/>
      <c r="CR118" s="176"/>
      <c r="CS118" s="176"/>
      <c r="CT118" s="176"/>
      <c r="CU118" s="176"/>
      <c r="CV118" s="176"/>
      <c r="CW118" s="176"/>
      <c r="CX118" s="176"/>
      <c r="CY118" s="176"/>
      <c r="CZ118" s="176"/>
      <c r="DA118" s="176"/>
      <c r="DB118" s="176"/>
    </row>
    <row r="119" spans="1:106" ht="16">
      <c r="A119" s="1" t="s">
        <v>510</v>
      </c>
      <c r="B119" s="1">
        <v>22108869</v>
      </c>
      <c r="C119" s="1" t="s">
        <v>511</v>
      </c>
      <c r="D119" s="5">
        <v>44689</v>
      </c>
      <c r="E119" s="1">
        <v>62.5</v>
      </c>
      <c r="F119" s="1">
        <v>8.3000000000000007</v>
      </c>
      <c r="G119" s="1">
        <f>F119/(E119/100)^2</f>
        <v>21.248000000000001</v>
      </c>
      <c r="H119" s="1">
        <v>43.3</v>
      </c>
      <c r="I119" s="1">
        <v>31</v>
      </c>
      <c r="J119" s="1">
        <v>6</v>
      </c>
      <c r="K119" s="1">
        <v>1</v>
      </c>
      <c r="L119" s="1">
        <v>1</v>
      </c>
      <c r="M119" s="1">
        <v>0</v>
      </c>
      <c r="N119" s="1">
        <v>9</v>
      </c>
      <c r="O119" s="1">
        <v>10</v>
      </c>
      <c r="P119" s="1">
        <v>1660</v>
      </c>
      <c r="Q119" s="1">
        <v>39</v>
      </c>
      <c r="R119" s="1">
        <v>29.5</v>
      </c>
      <c r="S119" s="1">
        <v>25</v>
      </c>
      <c r="T119" s="5">
        <v>32967</v>
      </c>
      <c r="U119" s="1">
        <v>31.45</v>
      </c>
      <c r="V119" s="1">
        <v>0</v>
      </c>
      <c r="W119" s="1">
        <v>2</v>
      </c>
      <c r="X119" s="1">
        <v>2</v>
      </c>
      <c r="Y119" s="1">
        <v>2</v>
      </c>
      <c r="Z119" s="1">
        <v>0</v>
      </c>
      <c r="AA119" s="1">
        <v>0</v>
      </c>
      <c r="AB119" s="1">
        <v>0</v>
      </c>
      <c r="AC119" s="1">
        <v>1</v>
      </c>
      <c r="AD119" s="1">
        <v>0</v>
      </c>
      <c r="AE119" s="1">
        <v>0</v>
      </c>
      <c r="AF119" s="1">
        <v>0</v>
      </c>
      <c r="AG119" s="1">
        <v>0</v>
      </c>
      <c r="AH119" s="1">
        <v>0</v>
      </c>
      <c r="AI119" s="1">
        <v>0</v>
      </c>
      <c r="AJ119" s="1">
        <v>0</v>
      </c>
      <c r="AK119" s="1">
        <v>0</v>
      </c>
      <c r="AL119" s="1">
        <v>0</v>
      </c>
      <c r="AM119" s="1">
        <v>0</v>
      </c>
      <c r="AN119" s="1">
        <v>0</v>
      </c>
      <c r="AO119" s="1">
        <v>0</v>
      </c>
      <c r="AP119" s="1">
        <v>0</v>
      </c>
      <c r="AQ119" s="1">
        <v>0</v>
      </c>
      <c r="AR119" s="1">
        <v>1</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1</v>
      </c>
      <c r="CA119" s="1" t="s">
        <v>2148</v>
      </c>
      <c r="CB119" s="1">
        <v>0</v>
      </c>
      <c r="CC119" s="1" t="s">
        <v>18</v>
      </c>
      <c r="CD119" s="1">
        <v>1</v>
      </c>
      <c r="CE119" s="14" t="s">
        <v>1887</v>
      </c>
      <c r="CF119" s="14" t="s">
        <v>2149</v>
      </c>
      <c r="CG119" s="1">
        <v>1</v>
      </c>
      <c r="CH119" s="1" t="s">
        <v>1887</v>
      </c>
      <c r="CI119" s="1">
        <v>0</v>
      </c>
      <c r="CJ119" s="1" t="s">
        <v>18</v>
      </c>
      <c r="CK119" s="1" t="s">
        <v>18</v>
      </c>
      <c r="CL119" s="1">
        <v>0</v>
      </c>
      <c r="CM119" s="1" t="s">
        <v>18</v>
      </c>
      <c r="CN119" s="1" t="s">
        <v>18</v>
      </c>
      <c r="CO119" s="14" t="s">
        <v>2075</v>
      </c>
      <c r="CP119" s="1" t="s">
        <v>1887</v>
      </c>
      <c r="CQ119" s="14" t="s">
        <v>2077</v>
      </c>
      <c r="CR119" s="1">
        <v>0</v>
      </c>
      <c r="CS119" s="1" t="s">
        <v>18</v>
      </c>
      <c r="CT119" s="1" t="s">
        <v>18</v>
      </c>
      <c r="CU119" s="1">
        <v>1</v>
      </c>
      <c r="CV119" s="1" t="s">
        <v>1887</v>
      </c>
      <c r="CW119" s="14" t="s">
        <v>2150</v>
      </c>
      <c r="CX119" s="1">
        <v>0</v>
      </c>
      <c r="CY119" s="1" t="s">
        <v>18</v>
      </c>
      <c r="CZ119" s="1">
        <v>2</v>
      </c>
      <c r="DA119" s="1"/>
    </row>
    <row r="120" spans="1:106" ht="16">
      <c r="A120" s="1" t="s">
        <v>514</v>
      </c>
      <c r="B120" s="1">
        <v>22107197</v>
      </c>
      <c r="C120" s="1" t="s">
        <v>515</v>
      </c>
      <c r="D120" s="5">
        <v>44526</v>
      </c>
      <c r="E120" s="1"/>
      <c r="F120" s="1">
        <v>6.7</v>
      </c>
      <c r="G120" s="1"/>
      <c r="H120" s="1"/>
      <c r="I120" s="1">
        <v>29</v>
      </c>
      <c r="J120" s="1">
        <v>1</v>
      </c>
      <c r="K120" s="1">
        <v>1</v>
      </c>
      <c r="L120" s="1">
        <v>2</v>
      </c>
      <c r="M120" s="1">
        <v>0</v>
      </c>
      <c r="N120" s="1">
        <v>8</v>
      </c>
      <c r="O120" s="1">
        <v>9</v>
      </c>
      <c r="P120" s="1">
        <v>1480</v>
      </c>
      <c r="Q120" s="1">
        <v>38</v>
      </c>
      <c r="R120" s="1">
        <v>28.5</v>
      </c>
      <c r="S120" s="1">
        <v>27</v>
      </c>
      <c r="T120" s="5">
        <v>30904</v>
      </c>
      <c r="U120" s="1">
        <v>36.61</v>
      </c>
      <c r="V120" s="1">
        <v>1</v>
      </c>
      <c r="W120" s="1">
        <v>1</v>
      </c>
      <c r="X120" s="1">
        <v>1</v>
      </c>
      <c r="Y120" s="1">
        <v>2</v>
      </c>
      <c r="Z120" s="1">
        <v>0</v>
      </c>
      <c r="AA120" s="1">
        <v>0</v>
      </c>
      <c r="AB120" s="1">
        <v>0</v>
      </c>
      <c r="AC120" s="1">
        <v>0</v>
      </c>
      <c r="AD120" s="1">
        <v>0</v>
      </c>
      <c r="AE120" s="1">
        <v>0</v>
      </c>
      <c r="AF120" s="1">
        <v>0</v>
      </c>
      <c r="AG120" s="1">
        <v>0</v>
      </c>
      <c r="AH120" s="1">
        <v>0</v>
      </c>
      <c r="AI120" s="1">
        <v>1</v>
      </c>
      <c r="AJ120" s="1">
        <v>0</v>
      </c>
      <c r="AK120" s="1">
        <v>0</v>
      </c>
      <c r="AL120" s="1">
        <v>1</v>
      </c>
      <c r="AM120" s="1">
        <v>5</v>
      </c>
      <c r="AN120" s="1">
        <v>0</v>
      </c>
      <c r="AO120" s="1">
        <v>0</v>
      </c>
      <c r="AP120" s="1">
        <v>0</v>
      </c>
      <c r="AQ120" s="1">
        <v>0</v>
      </c>
      <c r="AR120" s="1">
        <v>1</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1</v>
      </c>
      <c r="BL120" s="1">
        <v>0</v>
      </c>
      <c r="BM120" s="1">
        <v>0</v>
      </c>
      <c r="BN120" s="1">
        <v>0</v>
      </c>
      <c r="BO120" s="1">
        <v>0</v>
      </c>
      <c r="BP120" s="1">
        <v>0</v>
      </c>
      <c r="BQ120" s="1">
        <v>1</v>
      </c>
      <c r="BR120" s="1">
        <v>0</v>
      </c>
      <c r="BS120" s="1">
        <v>0</v>
      </c>
      <c r="BT120" s="1">
        <v>0</v>
      </c>
      <c r="BU120" s="1">
        <v>0</v>
      </c>
      <c r="BV120" s="1">
        <v>0</v>
      </c>
      <c r="BW120" s="1">
        <v>0</v>
      </c>
      <c r="BX120" s="1">
        <v>0</v>
      </c>
      <c r="BY120" s="1">
        <v>0</v>
      </c>
      <c r="BZ120" s="1">
        <v>1</v>
      </c>
      <c r="CA120" s="1" t="s">
        <v>2151</v>
      </c>
      <c r="CB120" s="1">
        <v>1</v>
      </c>
      <c r="CC120" s="1" t="s">
        <v>1899</v>
      </c>
      <c r="CD120" s="1">
        <v>1</v>
      </c>
      <c r="CE120" s="1" t="s">
        <v>2084</v>
      </c>
      <c r="CF120" s="1" t="s">
        <v>2152</v>
      </c>
      <c r="CG120" s="1">
        <v>1</v>
      </c>
      <c r="CH120" s="1" t="s">
        <v>2068</v>
      </c>
      <c r="CI120" s="1">
        <v>0</v>
      </c>
      <c r="CJ120" s="1" t="s">
        <v>18</v>
      </c>
      <c r="CK120" s="1" t="s">
        <v>18</v>
      </c>
      <c r="CL120" s="1">
        <v>1</v>
      </c>
      <c r="CM120" s="1" t="s">
        <v>2068</v>
      </c>
      <c r="CN120" s="1" t="s">
        <v>1981</v>
      </c>
      <c r="CO120" s="1" t="s">
        <v>1902</v>
      </c>
      <c r="CP120" s="1" t="s">
        <v>2068</v>
      </c>
      <c r="CQ120" s="1" t="s">
        <v>2153</v>
      </c>
      <c r="CR120" s="1">
        <v>0</v>
      </c>
      <c r="CS120" s="1" t="s">
        <v>18</v>
      </c>
      <c r="CT120" s="1" t="s">
        <v>18</v>
      </c>
      <c r="CU120" s="1">
        <v>0</v>
      </c>
      <c r="CV120" s="1" t="s">
        <v>18</v>
      </c>
      <c r="CW120" s="1" t="s">
        <v>18</v>
      </c>
      <c r="CX120" s="1">
        <v>1</v>
      </c>
      <c r="CY120" s="5">
        <v>44462</v>
      </c>
      <c r="CZ120" s="1">
        <v>2</v>
      </c>
      <c r="DA120" s="1"/>
    </row>
    <row r="121" spans="1:106" ht="16">
      <c r="A121" s="1" t="s">
        <v>517</v>
      </c>
      <c r="B121" s="1">
        <v>5085978</v>
      </c>
      <c r="C121" s="1" t="s">
        <v>518</v>
      </c>
      <c r="D121" s="5">
        <v>44554</v>
      </c>
      <c r="E121" s="1">
        <v>63.4</v>
      </c>
      <c r="F121" s="1">
        <v>6.2</v>
      </c>
      <c r="G121" s="1">
        <f>F121/(E121/100)^2</f>
        <v>15.424573833951975</v>
      </c>
      <c r="H121" s="1">
        <v>42</v>
      </c>
      <c r="I121" s="1">
        <v>23</v>
      </c>
      <c r="J121" s="1">
        <v>3</v>
      </c>
      <c r="K121" s="1">
        <v>1</v>
      </c>
      <c r="L121" s="1">
        <v>1</v>
      </c>
      <c r="M121" s="1">
        <v>0</v>
      </c>
      <c r="N121" s="1">
        <v>1</v>
      </c>
      <c r="O121" s="1">
        <v>1</v>
      </c>
      <c r="P121" s="1">
        <v>650</v>
      </c>
      <c r="Q121" s="1">
        <v>31</v>
      </c>
      <c r="R121" s="1">
        <v>21.1</v>
      </c>
      <c r="S121" s="1">
        <v>19</v>
      </c>
      <c r="T121" s="5">
        <v>30758</v>
      </c>
      <c r="U121" s="1">
        <v>36.93</v>
      </c>
      <c r="V121" s="1">
        <v>1</v>
      </c>
      <c r="W121" s="1">
        <v>1</v>
      </c>
      <c r="X121" s="1">
        <v>2</v>
      </c>
      <c r="Y121" s="1">
        <v>2</v>
      </c>
      <c r="Z121" s="1">
        <v>0</v>
      </c>
      <c r="AA121" s="1">
        <v>0</v>
      </c>
      <c r="AB121" s="1">
        <v>0</v>
      </c>
      <c r="AC121" s="1">
        <v>1</v>
      </c>
      <c r="AD121" s="1">
        <v>0</v>
      </c>
      <c r="AE121" s="1">
        <v>0</v>
      </c>
      <c r="AF121" s="1">
        <v>0</v>
      </c>
      <c r="AG121" s="1">
        <v>0</v>
      </c>
      <c r="AH121" s="1">
        <v>0</v>
      </c>
      <c r="AI121" s="1">
        <v>0</v>
      </c>
      <c r="AJ121" s="1">
        <v>0</v>
      </c>
      <c r="AK121" s="1">
        <v>0</v>
      </c>
      <c r="AL121" s="1">
        <v>0</v>
      </c>
      <c r="AM121" s="1">
        <v>0</v>
      </c>
      <c r="AN121" s="1">
        <v>0</v>
      </c>
      <c r="AO121" s="1">
        <v>0</v>
      </c>
      <c r="AP121" s="1">
        <v>0</v>
      </c>
      <c r="AQ121" s="1">
        <v>0</v>
      </c>
      <c r="AR121" s="1" t="s">
        <v>1910</v>
      </c>
      <c r="AS121" s="1">
        <v>0</v>
      </c>
      <c r="AT121" s="1">
        <v>0</v>
      </c>
      <c r="AU121" s="1">
        <v>0</v>
      </c>
      <c r="AV121" s="1">
        <v>0</v>
      </c>
      <c r="AW121" s="1">
        <v>0</v>
      </c>
      <c r="AX121" s="1">
        <v>0</v>
      </c>
      <c r="AY121" s="1">
        <v>1</v>
      </c>
      <c r="AZ121" s="1">
        <v>0</v>
      </c>
      <c r="BA121" s="1">
        <v>0</v>
      </c>
      <c r="BB121" s="1">
        <v>0</v>
      </c>
      <c r="BC121" s="1">
        <v>0</v>
      </c>
      <c r="BD121" s="1">
        <v>0</v>
      </c>
      <c r="BE121" s="1">
        <v>0</v>
      </c>
      <c r="BF121" s="1">
        <v>0</v>
      </c>
      <c r="BG121" s="1">
        <v>0</v>
      </c>
      <c r="BH121" s="1">
        <v>1</v>
      </c>
      <c r="BI121" s="1">
        <v>0</v>
      </c>
      <c r="BJ121" s="1" t="s">
        <v>2154</v>
      </c>
      <c r="BK121" s="1">
        <v>1</v>
      </c>
      <c r="BL121" s="1">
        <v>0</v>
      </c>
      <c r="BM121" s="1">
        <v>1</v>
      </c>
      <c r="BN121" s="1">
        <v>0</v>
      </c>
      <c r="BO121" s="1">
        <v>0</v>
      </c>
      <c r="BP121" s="1">
        <v>0</v>
      </c>
      <c r="BQ121" s="1">
        <v>0</v>
      </c>
      <c r="BR121" s="1">
        <v>0</v>
      </c>
      <c r="BS121" s="1">
        <v>0</v>
      </c>
      <c r="BT121" s="1">
        <v>0</v>
      </c>
      <c r="BU121" s="1">
        <v>0</v>
      </c>
      <c r="BV121" s="1">
        <v>0</v>
      </c>
      <c r="BW121" s="1">
        <v>0</v>
      </c>
      <c r="BX121" s="1">
        <v>0</v>
      </c>
      <c r="BY121" s="1">
        <v>0</v>
      </c>
      <c r="BZ121" s="1">
        <v>1</v>
      </c>
      <c r="CA121" s="1" t="s">
        <v>1887</v>
      </c>
      <c r="CB121" s="1">
        <v>0</v>
      </c>
      <c r="CC121" s="1" t="s">
        <v>18</v>
      </c>
      <c r="CD121" s="1">
        <v>1</v>
      </c>
      <c r="CE121" s="1" t="s">
        <v>1887</v>
      </c>
      <c r="CF121" s="1" t="s">
        <v>2155</v>
      </c>
      <c r="CG121" s="1">
        <v>1</v>
      </c>
      <c r="CH121" s="1" t="s">
        <v>2021</v>
      </c>
      <c r="CI121" s="1">
        <v>1</v>
      </c>
      <c r="CJ121" s="1" t="s">
        <v>2021</v>
      </c>
      <c r="CK121" s="1" t="s">
        <v>2146</v>
      </c>
      <c r="CL121" s="1">
        <v>1</v>
      </c>
      <c r="CM121" s="1" t="s">
        <v>2021</v>
      </c>
      <c r="CN121" s="1" t="s">
        <v>2156</v>
      </c>
      <c r="CO121" s="1" t="s">
        <v>1902</v>
      </c>
      <c r="CP121" s="1" t="s">
        <v>2157</v>
      </c>
      <c r="CQ121" s="1" t="s">
        <v>2007</v>
      </c>
      <c r="CR121" s="1">
        <v>0</v>
      </c>
      <c r="CS121" s="1" t="s">
        <v>18</v>
      </c>
      <c r="CT121" s="1" t="s">
        <v>18</v>
      </c>
      <c r="CU121" s="1">
        <v>0</v>
      </c>
      <c r="CV121" s="1" t="s">
        <v>2158</v>
      </c>
      <c r="CW121" s="1" t="s">
        <v>2159</v>
      </c>
      <c r="CX121" s="1">
        <v>1</v>
      </c>
      <c r="CY121" s="1" t="s">
        <v>1919</v>
      </c>
      <c r="CZ121" s="1">
        <v>2</v>
      </c>
      <c r="DA121" s="1"/>
    </row>
    <row r="122" spans="1:106" s="110" customFormat="1" ht="16">
      <c r="A122" s="107" t="s">
        <v>522</v>
      </c>
      <c r="B122" s="107">
        <v>22107708</v>
      </c>
      <c r="C122" s="107" t="s">
        <v>523</v>
      </c>
      <c r="D122" s="108">
        <v>44575</v>
      </c>
      <c r="E122" s="107">
        <v>66.3</v>
      </c>
      <c r="F122" s="107">
        <v>11</v>
      </c>
      <c r="G122" s="107">
        <f>F122/(E122/100)^2</f>
        <v>25.024512647616195</v>
      </c>
      <c r="H122" s="107">
        <v>43.5</v>
      </c>
      <c r="I122" s="107">
        <v>29</v>
      </c>
      <c r="J122" s="107">
        <v>4</v>
      </c>
      <c r="K122" s="107">
        <v>1</v>
      </c>
      <c r="L122" s="107">
        <v>1</v>
      </c>
      <c r="M122" s="107">
        <v>0</v>
      </c>
      <c r="N122" s="107">
        <v>8</v>
      </c>
      <c r="O122" s="107">
        <v>9</v>
      </c>
      <c r="P122" s="107">
        <v>1140</v>
      </c>
      <c r="Q122" s="107">
        <v>37.5</v>
      </c>
      <c r="R122" s="107">
        <v>25.5</v>
      </c>
      <c r="S122" s="107">
        <v>24</v>
      </c>
      <c r="T122" s="108">
        <v>31086</v>
      </c>
      <c r="U122" s="107">
        <v>36.26</v>
      </c>
      <c r="V122" s="107">
        <v>2</v>
      </c>
      <c r="W122" s="107">
        <v>1</v>
      </c>
      <c r="X122" s="107">
        <v>0</v>
      </c>
      <c r="Y122" s="107">
        <v>3</v>
      </c>
      <c r="Z122" s="107">
        <v>0</v>
      </c>
      <c r="AA122" s="107">
        <v>0</v>
      </c>
      <c r="AB122" s="107">
        <v>0</v>
      </c>
      <c r="AC122" s="107">
        <v>0</v>
      </c>
      <c r="AD122" s="107">
        <v>0</v>
      </c>
      <c r="AE122" s="107">
        <v>0</v>
      </c>
      <c r="AF122" s="107">
        <v>1</v>
      </c>
      <c r="AG122" s="107">
        <v>1</v>
      </c>
      <c r="AH122" s="107">
        <v>0</v>
      </c>
      <c r="AI122" s="107">
        <v>0</v>
      </c>
      <c r="AJ122" s="107">
        <v>0</v>
      </c>
      <c r="AK122" s="107">
        <v>0</v>
      </c>
      <c r="AL122" s="107">
        <v>0</v>
      </c>
      <c r="AM122" s="107">
        <v>0</v>
      </c>
      <c r="AN122" s="107">
        <v>0</v>
      </c>
      <c r="AO122" s="107">
        <v>0</v>
      </c>
      <c r="AP122" s="107">
        <v>0</v>
      </c>
      <c r="AQ122" s="107">
        <v>0</v>
      </c>
      <c r="AR122" s="107">
        <v>1</v>
      </c>
      <c r="AS122" s="107">
        <v>0</v>
      </c>
      <c r="AT122" s="107">
        <v>0</v>
      </c>
      <c r="AU122" s="107">
        <v>0</v>
      </c>
      <c r="AV122" s="107">
        <v>0</v>
      </c>
      <c r="AW122" s="107">
        <v>0</v>
      </c>
      <c r="AX122" s="107">
        <v>0</v>
      </c>
      <c r="AY122" s="107">
        <v>0</v>
      </c>
      <c r="AZ122" s="107">
        <v>0</v>
      </c>
      <c r="BA122" s="107">
        <v>0</v>
      </c>
      <c r="BB122" s="107">
        <v>0</v>
      </c>
      <c r="BC122" s="107">
        <v>0</v>
      </c>
      <c r="BD122" s="107">
        <v>0</v>
      </c>
      <c r="BE122" s="107">
        <v>0</v>
      </c>
      <c r="BF122" s="107">
        <v>0</v>
      </c>
      <c r="BG122" s="107">
        <v>0</v>
      </c>
      <c r="BH122" s="107">
        <v>0</v>
      </c>
      <c r="BI122" s="107">
        <v>0</v>
      </c>
      <c r="BJ122" s="107">
        <v>0</v>
      </c>
      <c r="BK122" s="107">
        <v>1</v>
      </c>
      <c r="BL122" s="107">
        <v>0</v>
      </c>
      <c r="BM122" s="107">
        <v>0</v>
      </c>
      <c r="BN122" s="107">
        <v>0</v>
      </c>
      <c r="BO122" s="107">
        <v>0</v>
      </c>
      <c r="BP122" s="107">
        <v>0</v>
      </c>
      <c r="BQ122" s="107">
        <v>0</v>
      </c>
      <c r="BR122" s="107">
        <v>0</v>
      </c>
      <c r="BS122" s="107">
        <v>0</v>
      </c>
      <c r="BT122" s="107">
        <v>0</v>
      </c>
      <c r="BU122" s="107">
        <v>0</v>
      </c>
      <c r="BV122" s="107" t="s">
        <v>2160</v>
      </c>
      <c r="BW122" s="107">
        <v>0</v>
      </c>
      <c r="BX122" s="107">
        <v>0</v>
      </c>
      <c r="BY122" s="107">
        <v>0</v>
      </c>
      <c r="BZ122" s="107">
        <v>1</v>
      </c>
      <c r="CA122" s="107" t="s">
        <v>1887</v>
      </c>
      <c r="CB122" s="107">
        <v>1</v>
      </c>
      <c r="CC122" s="107" t="s">
        <v>1909</v>
      </c>
      <c r="CD122" s="107">
        <v>1</v>
      </c>
      <c r="CE122" s="107" t="s">
        <v>2161</v>
      </c>
      <c r="CF122" s="107" t="s">
        <v>2162</v>
      </c>
      <c r="CG122" s="107">
        <v>0</v>
      </c>
      <c r="CH122" s="107" t="s">
        <v>18</v>
      </c>
      <c r="CI122" s="107">
        <v>0</v>
      </c>
      <c r="CJ122" s="107" t="s">
        <v>18</v>
      </c>
      <c r="CK122" s="107" t="s">
        <v>18</v>
      </c>
      <c r="CL122" s="107">
        <v>0</v>
      </c>
      <c r="CM122" s="107" t="s">
        <v>18</v>
      </c>
      <c r="CN122" s="107" t="s">
        <v>18</v>
      </c>
      <c r="CO122" s="107" t="s">
        <v>1902</v>
      </c>
      <c r="CP122" s="107" t="s">
        <v>2163</v>
      </c>
      <c r="CQ122" s="107" t="s">
        <v>2007</v>
      </c>
      <c r="CR122" s="107">
        <v>0</v>
      </c>
      <c r="CS122" s="107" t="s">
        <v>18</v>
      </c>
      <c r="CT122" s="107" t="s">
        <v>18</v>
      </c>
      <c r="CU122" s="107">
        <v>0</v>
      </c>
      <c r="CV122" s="107" t="s">
        <v>18</v>
      </c>
      <c r="CW122" s="107" t="s">
        <v>18</v>
      </c>
      <c r="CX122" s="107">
        <v>1</v>
      </c>
      <c r="CY122" s="107" t="s">
        <v>2103</v>
      </c>
      <c r="CZ122" s="107">
        <v>2</v>
      </c>
      <c r="DA122" s="107"/>
    </row>
    <row r="123" spans="1:106" ht="16">
      <c r="A123" s="1" t="s">
        <v>527</v>
      </c>
      <c r="B123" s="1">
        <v>22107105</v>
      </c>
      <c r="C123" s="1" t="s">
        <v>528</v>
      </c>
      <c r="D123" s="5">
        <v>44550</v>
      </c>
      <c r="E123" s="1">
        <v>63.8</v>
      </c>
      <c r="F123" s="1">
        <v>7</v>
      </c>
      <c r="G123" s="1">
        <f>F123/(E123/100)^2</f>
        <v>17.197158046795924</v>
      </c>
      <c r="H123" s="1">
        <v>41</v>
      </c>
      <c r="I123" s="1">
        <v>25</v>
      </c>
      <c r="J123" s="1">
        <v>0</v>
      </c>
      <c r="K123" s="1">
        <v>1</v>
      </c>
      <c r="L123" s="1">
        <v>2</v>
      </c>
      <c r="M123" s="1">
        <v>0</v>
      </c>
      <c r="N123" s="1">
        <v>5</v>
      </c>
      <c r="O123" s="1">
        <v>6</v>
      </c>
      <c r="P123" s="1">
        <v>594</v>
      </c>
      <c r="Q123" s="1"/>
      <c r="R123" s="1"/>
      <c r="S123" s="1"/>
      <c r="T123" s="5">
        <v>30997</v>
      </c>
      <c r="U123" s="1">
        <v>36.33</v>
      </c>
      <c r="V123" s="1">
        <v>1</v>
      </c>
      <c r="W123" s="1">
        <v>1</v>
      </c>
      <c r="X123" s="1">
        <v>1</v>
      </c>
      <c r="Y123" s="1">
        <v>3</v>
      </c>
      <c r="Z123" s="1">
        <v>0</v>
      </c>
      <c r="AA123" s="1">
        <v>0</v>
      </c>
      <c r="AB123" s="1">
        <v>0</v>
      </c>
      <c r="AC123" s="1">
        <v>1</v>
      </c>
      <c r="AD123" s="1">
        <v>0</v>
      </c>
      <c r="AE123" s="1">
        <v>0</v>
      </c>
      <c r="AF123" s="1">
        <v>0</v>
      </c>
      <c r="AG123" s="1">
        <v>0</v>
      </c>
      <c r="AH123" s="1">
        <v>1</v>
      </c>
      <c r="AI123" s="1">
        <v>1</v>
      </c>
      <c r="AJ123" s="1">
        <v>0</v>
      </c>
      <c r="AK123" s="1">
        <v>0</v>
      </c>
      <c r="AL123" s="1">
        <v>1</v>
      </c>
      <c r="AM123" s="1">
        <v>5</v>
      </c>
      <c r="AN123" s="1">
        <v>1</v>
      </c>
      <c r="AO123" s="1">
        <v>5</v>
      </c>
      <c r="AP123" s="1">
        <v>0</v>
      </c>
      <c r="AQ123" s="1">
        <v>0</v>
      </c>
      <c r="AR123" s="1">
        <v>1</v>
      </c>
      <c r="AS123" s="1">
        <v>1</v>
      </c>
      <c r="AT123" s="1">
        <v>0</v>
      </c>
      <c r="AU123" s="1">
        <v>0</v>
      </c>
      <c r="AV123" s="1">
        <v>0</v>
      </c>
      <c r="AW123" s="1">
        <v>0</v>
      </c>
      <c r="AX123" s="1" t="s">
        <v>2164</v>
      </c>
      <c r="AY123" s="1">
        <v>0</v>
      </c>
      <c r="AZ123" s="1">
        <v>0</v>
      </c>
      <c r="BA123" s="1">
        <v>0</v>
      </c>
      <c r="BB123" s="1">
        <v>0</v>
      </c>
      <c r="BC123" s="1">
        <v>0</v>
      </c>
      <c r="BD123" s="1">
        <v>0</v>
      </c>
      <c r="BE123" s="1">
        <v>0</v>
      </c>
      <c r="BF123" s="1">
        <v>0</v>
      </c>
      <c r="BG123" s="1">
        <v>0</v>
      </c>
      <c r="BH123" s="1">
        <v>0</v>
      </c>
      <c r="BI123" s="1">
        <v>0</v>
      </c>
      <c r="BJ123" s="1">
        <v>0</v>
      </c>
      <c r="BK123" s="1">
        <v>1</v>
      </c>
      <c r="BL123" s="1">
        <v>0</v>
      </c>
      <c r="BM123" s="1">
        <v>1</v>
      </c>
      <c r="BN123" s="1">
        <v>0</v>
      </c>
      <c r="BO123" s="1">
        <v>0</v>
      </c>
      <c r="BP123" s="1">
        <v>0</v>
      </c>
      <c r="BQ123" s="1">
        <v>0</v>
      </c>
      <c r="BR123" s="1">
        <v>0</v>
      </c>
      <c r="BS123" s="1">
        <v>0</v>
      </c>
      <c r="BT123" s="1">
        <v>1</v>
      </c>
      <c r="BU123" s="1">
        <v>0</v>
      </c>
      <c r="BV123" s="1">
        <v>0</v>
      </c>
      <c r="BW123" s="1">
        <v>0</v>
      </c>
      <c r="BX123" s="1">
        <v>0</v>
      </c>
      <c r="BY123" s="1">
        <v>0</v>
      </c>
      <c r="BZ123" s="1">
        <v>1</v>
      </c>
      <c r="CA123" s="1" t="s">
        <v>2097</v>
      </c>
      <c r="CB123" s="1">
        <v>0</v>
      </c>
      <c r="CC123" s="1" t="s">
        <v>18</v>
      </c>
      <c r="CD123" s="1">
        <v>1</v>
      </c>
      <c r="CE123" s="1" t="s">
        <v>2098</v>
      </c>
      <c r="CF123" s="1" t="s">
        <v>2165</v>
      </c>
      <c r="CG123" s="1">
        <v>1</v>
      </c>
      <c r="CH123" s="1" t="s">
        <v>2021</v>
      </c>
      <c r="CI123" s="1">
        <v>0</v>
      </c>
      <c r="CJ123" s="1" t="s">
        <v>18</v>
      </c>
      <c r="CK123" s="1" t="s">
        <v>18</v>
      </c>
      <c r="CL123" s="1">
        <v>1</v>
      </c>
      <c r="CM123" s="1" t="s">
        <v>2021</v>
      </c>
      <c r="CN123" s="1" t="s">
        <v>2022</v>
      </c>
      <c r="CO123" s="1" t="s">
        <v>1902</v>
      </c>
      <c r="CP123" s="1" t="s">
        <v>2021</v>
      </c>
      <c r="CQ123" s="1" t="s">
        <v>2007</v>
      </c>
      <c r="CR123" s="1">
        <v>0</v>
      </c>
      <c r="CS123" s="1" t="s">
        <v>18</v>
      </c>
      <c r="CT123" s="1" t="s">
        <v>18</v>
      </c>
      <c r="CU123" s="1">
        <v>1</v>
      </c>
      <c r="CV123" s="1" t="s">
        <v>2021</v>
      </c>
      <c r="CW123" s="1" t="s">
        <v>2166</v>
      </c>
      <c r="CX123" s="1">
        <v>1</v>
      </c>
      <c r="CY123" s="1" t="s">
        <v>2103</v>
      </c>
      <c r="CZ123" s="1">
        <v>2</v>
      </c>
      <c r="DA123" s="1"/>
    </row>
    <row r="124" spans="1:106" ht="16">
      <c r="A124" s="1" t="s">
        <v>531</v>
      </c>
      <c r="B124" s="1">
        <v>22107106</v>
      </c>
      <c r="C124" s="1" t="s">
        <v>532</v>
      </c>
      <c r="D124" s="5">
        <v>44550</v>
      </c>
      <c r="E124" s="1">
        <v>64.5</v>
      </c>
      <c r="F124" s="1">
        <v>6.9</v>
      </c>
      <c r="G124" s="1">
        <f>F124/(E124/100)^2</f>
        <v>16.585541734270777</v>
      </c>
      <c r="H124" s="1">
        <v>41.2</v>
      </c>
      <c r="I124" s="1">
        <v>25</v>
      </c>
      <c r="J124" s="1">
        <v>0</v>
      </c>
      <c r="K124" s="1">
        <v>1</v>
      </c>
      <c r="L124" s="1">
        <v>2</v>
      </c>
      <c r="M124" s="1">
        <v>0</v>
      </c>
      <c r="N124" s="1">
        <v>5</v>
      </c>
      <c r="O124" s="1">
        <v>7</v>
      </c>
      <c r="P124" s="1">
        <v>560</v>
      </c>
      <c r="Q124" s="1">
        <v>31</v>
      </c>
      <c r="R124" s="1">
        <v>22</v>
      </c>
      <c r="S124" s="1">
        <v>19.5</v>
      </c>
      <c r="T124" s="5">
        <v>30997</v>
      </c>
      <c r="U124" s="1">
        <v>36.33</v>
      </c>
      <c r="V124" s="1">
        <v>1</v>
      </c>
      <c r="W124" s="1">
        <v>1</v>
      </c>
      <c r="X124" s="1">
        <v>1</v>
      </c>
      <c r="Y124" s="1">
        <v>3</v>
      </c>
      <c r="Z124" s="1">
        <v>0</v>
      </c>
      <c r="AA124" s="1">
        <v>0</v>
      </c>
      <c r="AB124" s="1">
        <v>0</v>
      </c>
      <c r="AC124" s="1">
        <v>1</v>
      </c>
      <c r="AD124" s="1">
        <v>0</v>
      </c>
      <c r="AE124" s="1">
        <v>0</v>
      </c>
      <c r="AF124" s="1">
        <v>0</v>
      </c>
      <c r="AG124" s="1">
        <v>0</v>
      </c>
      <c r="AH124" s="1">
        <v>1</v>
      </c>
      <c r="AI124" s="1">
        <v>1</v>
      </c>
      <c r="AJ124" s="1">
        <v>0</v>
      </c>
      <c r="AK124" s="1">
        <v>0</v>
      </c>
      <c r="AL124" s="1">
        <v>1</v>
      </c>
      <c r="AM124" s="1">
        <v>5</v>
      </c>
      <c r="AN124" s="1">
        <v>1</v>
      </c>
      <c r="AO124" s="1">
        <v>5</v>
      </c>
      <c r="AP124" s="1">
        <v>0</v>
      </c>
      <c r="AQ124" s="1">
        <v>0</v>
      </c>
      <c r="AR124" s="1">
        <v>1</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1</v>
      </c>
      <c r="BL124" s="1">
        <v>0</v>
      </c>
      <c r="BM124" s="1">
        <v>1</v>
      </c>
      <c r="BN124" s="1">
        <v>0</v>
      </c>
      <c r="BO124" s="1">
        <v>0</v>
      </c>
      <c r="BP124" s="1">
        <v>0</v>
      </c>
      <c r="BQ124" s="1">
        <v>0</v>
      </c>
      <c r="BR124" s="1">
        <v>0</v>
      </c>
      <c r="BS124" s="1">
        <v>0</v>
      </c>
      <c r="BT124" s="1">
        <v>1</v>
      </c>
      <c r="BU124" s="1">
        <v>0</v>
      </c>
      <c r="BV124" s="1">
        <v>0</v>
      </c>
      <c r="BW124" s="1">
        <v>0</v>
      </c>
      <c r="BX124" s="1">
        <v>0</v>
      </c>
      <c r="BY124" s="1">
        <v>0</v>
      </c>
      <c r="BZ124" s="1">
        <v>1</v>
      </c>
      <c r="CA124" s="1" t="s">
        <v>2097</v>
      </c>
      <c r="CB124" s="1">
        <v>0</v>
      </c>
      <c r="CC124" s="1" t="s">
        <v>18</v>
      </c>
      <c r="CD124" s="1">
        <v>1</v>
      </c>
      <c r="CE124" s="1" t="s">
        <v>2098</v>
      </c>
      <c r="CF124" s="1" t="s">
        <v>2165</v>
      </c>
      <c r="CG124" s="1">
        <v>1</v>
      </c>
      <c r="CH124" s="1" t="s">
        <v>2021</v>
      </c>
      <c r="CI124" s="1">
        <v>0</v>
      </c>
      <c r="CJ124" s="1" t="s">
        <v>18</v>
      </c>
      <c r="CK124" s="1" t="s">
        <v>18</v>
      </c>
      <c r="CL124" s="1">
        <v>1</v>
      </c>
      <c r="CM124" s="1" t="s">
        <v>2021</v>
      </c>
      <c r="CN124" s="1" t="s">
        <v>2022</v>
      </c>
      <c r="CO124" s="1" t="s">
        <v>1902</v>
      </c>
      <c r="CP124" s="1" t="s">
        <v>2021</v>
      </c>
      <c r="CQ124" s="1" t="s">
        <v>2007</v>
      </c>
      <c r="CR124" s="1">
        <v>0</v>
      </c>
      <c r="CS124" s="1" t="s">
        <v>18</v>
      </c>
      <c r="CT124" s="1" t="s">
        <v>18</v>
      </c>
      <c r="CU124" s="1">
        <v>1</v>
      </c>
      <c r="CV124" s="1" t="s">
        <v>2021</v>
      </c>
      <c r="CW124" s="1" t="s">
        <v>2167</v>
      </c>
      <c r="CX124" s="1">
        <v>1</v>
      </c>
      <c r="CY124" s="1" t="s">
        <v>2103</v>
      </c>
      <c r="CZ124" s="1">
        <v>2</v>
      </c>
      <c r="DA124" s="1"/>
    </row>
    <row r="125" spans="1:106" s="114" customFormat="1" ht="16">
      <c r="A125" s="112" t="s">
        <v>533</v>
      </c>
      <c r="B125" s="162">
        <v>22100078</v>
      </c>
      <c r="C125" s="163" t="s">
        <v>1328</v>
      </c>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176"/>
      <c r="AE125" s="176"/>
      <c r="AF125" s="176"/>
      <c r="AG125" s="176"/>
      <c r="AH125" s="176"/>
      <c r="AI125" s="176"/>
      <c r="AJ125" s="176"/>
      <c r="AK125" s="176"/>
      <c r="AL125" s="176"/>
      <c r="AM125" s="176"/>
      <c r="AN125" s="176"/>
      <c r="AO125" s="176"/>
      <c r="AP125" s="176"/>
      <c r="AQ125" s="176"/>
      <c r="AR125" s="176"/>
      <c r="AS125" s="176"/>
      <c r="AT125" s="176"/>
      <c r="AU125" s="176"/>
      <c r="AV125" s="176"/>
      <c r="AW125" s="176"/>
      <c r="AX125" s="176"/>
      <c r="AY125" s="176"/>
      <c r="AZ125" s="176"/>
      <c r="BA125" s="176"/>
      <c r="BB125" s="176"/>
      <c r="BC125" s="176"/>
      <c r="BD125" s="176"/>
      <c r="BE125" s="176"/>
      <c r="BF125" s="176"/>
      <c r="BG125" s="176"/>
      <c r="BH125" s="176"/>
      <c r="BI125" s="176"/>
      <c r="BJ125" s="176"/>
      <c r="BK125" s="176"/>
      <c r="BL125" s="176"/>
      <c r="BM125" s="176"/>
      <c r="BN125" s="176"/>
      <c r="BO125" s="176"/>
      <c r="BP125" s="176"/>
      <c r="BQ125" s="176"/>
      <c r="BR125" s="176"/>
      <c r="BS125" s="176"/>
      <c r="BT125" s="176"/>
      <c r="BU125" s="176"/>
      <c r="BV125" s="176"/>
      <c r="BW125" s="176"/>
      <c r="BX125" s="176"/>
      <c r="BY125" s="176"/>
      <c r="BZ125" s="176"/>
      <c r="CA125" s="176"/>
      <c r="CB125" s="176"/>
      <c r="CC125" s="176"/>
      <c r="CD125" s="176"/>
      <c r="CE125" s="176"/>
      <c r="CF125" s="176"/>
      <c r="CG125" s="176"/>
      <c r="CH125" s="176"/>
      <c r="CI125" s="176"/>
      <c r="CJ125" s="176"/>
      <c r="CK125" s="176"/>
      <c r="CL125" s="176"/>
      <c r="CM125" s="176"/>
      <c r="CN125" s="176"/>
      <c r="CO125" s="176"/>
      <c r="CP125" s="176"/>
      <c r="CQ125" s="176"/>
      <c r="CR125" s="176"/>
      <c r="CS125" s="176"/>
      <c r="CT125" s="176"/>
      <c r="CU125" s="176"/>
      <c r="CV125" s="176"/>
      <c r="CW125" s="176"/>
      <c r="CX125" s="176"/>
      <c r="CY125" s="176"/>
      <c r="CZ125" s="176"/>
      <c r="DA125" s="176"/>
      <c r="DB125" s="176"/>
    </row>
    <row r="126" spans="1:106" ht="16">
      <c r="A126" s="1" t="s">
        <v>537</v>
      </c>
      <c r="B126" s="1">
        <v>22108137</v>
      </c>
      <c r="C126" s="1" t="s">
        <v>538</v>
      </c>
      <c r="D126" s="5">
        <v>44551</v>
      </c>
      <c r="E126" s="1">
        <v>69.8</v>
      </c>
      <c r="F126" s="1">
        <v>8.3000000000000007</v>
      </c>
      <c r="G126" s="1">
        <f>F126/(E126/100)^2</f>
        <v>17.035984926232135</v>
      </c>
      <c r="H126" s="1">
        <v>43.6</v>
      </c>
      <c r="I126" s="1">
        <v>39</v>
      </c>
      <c r="J126" s="1">
        <v>2</v>
      </c>
      <c r="K126" s="1">
        <v>0</v>
      </c>
      <c r="L126" s="1">
        <v>1</v>
      </c>
      <c r="M126" s="1">
        <v>0</v>
      </c>
      <c r="N126" s="1">
        <v>9</v>
      </c>
      <c r="O126" s="1">
        <v>10</v>
      </c>
      <c r="P126" s="1">
        <v>2900</v>
      </c>
      <c r="Q126" s="1">
        <v>48.5</v>
      </c>
      <c r="R126" s="1">
        <v>34</v>
      </c>
      <c r="S126" s="1">
        <v>31</v>
      </c>
      <c r="T126" s="5">
        <v>32679</v>
      </c>
      <c r="U126" s="1">
        <v>32.01</v>
      </c>
      <c r="V126" s="1">
        <v>2</v>
      </c>
      <c r="W126" s="1">
        <v>0</v>
      </c>
      <c r="X126" s="1">
        <v>0</v>
      </c>
      <c r="Y126" s="1">
        <v>2</v>
      </c>
      <c r="Z126" s="1">
        <v>0</v>
      </c>
      <c r="AA126" s="1">
        <v>0</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0</v>
      </c>
      <c r="AR126" s="1" t="s">
        <v>1910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1</v>
      </c>
      <c r="CA126" s="1" t="s">
        <v>2013</v>
      </c>
      <c r="CB126" s="1">
        <v>0</v>
      </c>
      <c r="CC126" s="1" t="s">
        <v>18</v>
      </c>
      <c r="CD126" s="1">
        <v>1</v>
      </c>
      <c r="CE126" s="1" t="s">
        <v>2168</v>
      </c>
      <c r="CF126" s="1" t="s">
        <v>2169</v>
      </c>
      <c r="CG126" s="1">
        <v>0</v>
      </c>
      <c r="CH126" s="1" t="s">
        <v>18</v>
      </c>
      <c r="CI126" s="1">
        <v>1</v>
      </c>
      <c r="CJ126" s="1" t="s">
        <v>2088</v>
      </c>
      <c r="CK126" s="1" t="s">
        <v>1981</v>
      </c>
      <c r="CL126" s="1">
        <v>1</v>
      </c>
      <c r="CM126" s="1" t="s">
        <v>2088</v>
      </c>
      <c r="CN126" s="1" t="s">
        <v>1981</v>
      </c>
      <c r="CO126" s="1">
        <v>0</v>
      </c>
      <c r="CP126" s="1" t="s">
        <v>18</v>
      </c>
      <c r="CQ126" s="1" t="s">
        <v>18</v>
      </c>
      <c r="CR126" s="1">
        <v>0</v>
      </c>
      <c r="CS126" s="1" t="s">
        <v>18</v>
      </c>
      <c r="CT126" s="1" t="s">
        <v>18</v>
      </c>
      <c r="CU126" s="1">
        <v>0</v>
      </c>
      <c r="CV126" s="1" t="s">
        <v>18</v>
      </c>
      <c r="CW126" s="1" t="s">
        <v>18</v>
      </c>
      <c r="CX126" s="1">
        <v>1</v>
      </c>
      <c r="CY126" s="5">
        <v>44505</v>
      </c>
      <c r="CZ126" s="1">
        <v>2</v>
      </c>
      <c r="DA126" s="1"/>
    </row>
    <row r="127" spans="1:106" ht="16">
      <c r="A127" s="1" t="s">
        <v>541</v>
      </c>
      <c r="B127" s="1">
        <v>22108221</v>
      </c>
      <c r="C127" s="1" t="s">
        <v>542</v>
      </c>
      <c r="D127" s="5">
        <v>44575</v>
      </c>
      <c r="E127" s="1">
        <v>67.5</v>
      </c>
      <c r="F127" s="1">
        <v>7.3</v>
      </c>
      <c r="G127" s="1">
        <f>F127/(E127/100)^2</f>
        <v>16.021947873799725</v>
      </c>
      <c r="H127" s="1">
        <v>43</v>
      </c>
      <c r="I127" s="1">
        <v>39</v>
      </c>
      <c r="J127" s="1">
        <v>3</v>
      </c>
      <c r="K127" s="1">
        <v>0</v>
      </c>
      <c r="L127" s="1">
        <v>1</v>
      </c>
      <c r="M127" s="1">
        <v>0</v>
      </c>
      <c r="N127" s="1">
        <v>9</v>
      </c>
      <c r="O127" s="1">
        <v>10</v>
      </c>
      <c r="P127" s="1">
        <v>2550</v>
      </c>
      <c r="Q127" s="1">
        <v>48.5</v>
      </c>
      <c r="R127" s="1">
        <v>33</v>
      </c>
      <c r="S127" s="1">
        <v>32.5</v>
      </c>
      <c r="T127" s="5">
        <v>33095</v>
      </c>
      <c r="U127" s="1">
        <v>30.91</v>
      </c>
      <c r="V127" s="1">
        <v>1</v>
      </c>
      <c r="W127" s="1">
        <v>1</v>
      </c>
      <c r="X127" s="1">
        <v>0</v>
      </c>
      <c r="Y127" s="1">
        <v>1</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1</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1</v>
      </c>
      <c r="CA127" s="1" t="s">
        <v>1886</v>
      </c>
      <c r="CB127" s="1">
        <v>0</v>
      </c>
      <c r="CC127" s="1" t="s">
        <v>18</v>
      </c>
      <c r="CD127" s="1">
        <v>1</v>
      </c>
      <c r="CE127" s="1" t="s">
        <v>1887</v>
      </c>
      <c r="CF127" s="1" t="s">
        <v>2170</v>
      </c>
      <c r="CG127" s="1">
        <v>0</v>
      </c>
      <c r="CH127" s="1" t="s">
        <v>18</v>
      </c>
      <c r="CI127" s="1">
        <v>0</v>
      </c>
      <c r="CJ127" s="1" t="s">
        <v>18</v>
      </c>
      <c r="CK127" s="1" t="s">
        <v>18</v>
      </c>
      <c r="CL127" s="1">
        <v>1</v>
      </c>
      <c r="CM127" s="1" t="s">
        <v>2171</v>
      </c>
      <c r="CN127" s="1" t="s">
        <v>2172</v>
      </c>
      <c r="CO127" s="1" t="s">
        <v>1902</v>
      </c>
      <c r="CP127" s="1" t="s">
        <v>2173</v>
      </c>
      <c r="CQ127" s="1" t="s">
        <v>2007</v>
      </c>
      <c r="CR127" s="1" t="s">
        <v>2174</v>
      </c>
      <c r="CS127" s="1" t="s">
        <v>1920</v>
      </c>
      <c r="CT127" s="1" t="s">
        <v>2175</v>
      </c>
      <c r="CU127" s="1">
        <v>0</v>
      </c>
      <c r="CV127" s="1" t="s">
        <v>18</v>
      </c>
      <c r="CW127" s="1" t="s">
        <v>18</v>
      </c>
      <c r="CX127" s="1">
        <v>1</v>
      </c>
      <c r="CY127" s="1" t="s">
        <v>74</v>
      </c>
      <c r="CZ127" s="1">
        <v>2</v>
      </c>
      <c r="DA127" s="1"/>
    </row>
    <row r="128" spans="1:106" s="114" customFormat="1" ht="16">
      <c r="A128" s="112" t="s">
        <v>544</v>
      </c>
      <c r="B128" s="162">
        <v>22100560</v>
      </c>
      <c r="C128" s="163" t="s">
        <v>1331</v>
      </c>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AA128" s="176"/>
      <c r="AB128" s="176"/>
      <c r="AC128" s="176"/>
      <c r="AD128" s="176"/>
      <c r="AE128" s="176"/>
      <c r="AF128" s="176"/>
      <c r="AG128" s="176"/>
      <c r="AH128" s="176"/>
      <c r="AI128" s="176"/>
      <c r="AJ128" s="176"/>
      <c r="AK128" s="176"/>
      <c r="AL128" s="176"/>
      <c r="AM128" s="176"/>
      <c r="AN128" s="176"/>
      <c r="AO128" s="176"/>
      <c r="AP128" s="176"/>
      <c r="AQ128" s="176"/>
      <c r="AR128" s="176"/>
      <c r="AS128" s="176"/>
      <c r="AT128" s="176"/>
      <c r="AU128" s="176"/>
      <c r="AV128" s="176"/>
      <c r="AW128" s="176"/>
      <c r="AX128" s="176"/>
      <c r="AY128" s="176"/>
      <c r="AZ128" s="176"/>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row>
    <row r="129" spans="1:106" ht="16">
      <c r="A129" s="1" t="s">
        <v>548</v>
      </c>
      <c r="B129" s="1">
        <v>22108557</v>
      </c>
      <c r="C129" s="1" t="s">
        <v>549</v>
      </c>
      <c r="D129" s="5">
        <v>44663</v>
      </c>
      <c r="E129" s="1">
        <v>67.3</v>
      </c>
      <c r="F129" s="1">
        <v>8</v>
      </c>
      <c r="G129" s="1">
        <f>F129/(E129/100)^2</f>
        <v>17.662812493790423</v>
      </c>
      <c r="H129" s="1">
        <v>40.1</v>
      </c>
      <c r="I129" s="1">
        <v>29</v>
      </c>
      <c r="J129" s="1">
        <v>5</v>
      </c>
      <c r="K129" s="1">
        <v>1</v>
      </c>
      <c r="L129" s="1">
        <v>2</v>
      </c>
      <c r="M129" s="1">
        <v>0</v>
      </c>
      <c r="N129" s="1">
        <v>6</v>
      </c>
      <c r="O129" s="1">
        <v>8</v>
      </c>
      <c r="P129" s="1">
        <v>1300</v>
      </c>
      <c r="Q129" s="1">
        <v>40</v>
      </c>
      <c r="R129" s="1">
        <v>27</v>
      </c>
      <c r="S129" s="1">
        <v>24</v>
      </c>
      <c r="T129" s="5">
        <v>34269</v>
      </c>
      <c r="U129" s="1">
        <v>27.78</v>
      </c>
      <c r="V129" s="1">
        <v>0</v>
      </c>
      <c r="W129" s="1">
        <v>1</v>
      </c>
      <c r="X129" s="1">
        <v>0</v>
      </c>
      <c r="Y129" s="1">
        <v>1</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1</v>
      </c>
      <c r="AS129" s="1">
        <v>0</v>
      </c>
      <c r="AT129" s="1">
        <v>0</v>
      </c>
      <c r="AU129" s="1">
        <v>0</v>
      </c>
      <c r="AV129" s="1">
        <v>0</v>
      </c>
      <c r="AW129" s="1">
        <v>0</v>
      </c>
      <c r="AX129" s="1">
        <v>0</v>
      </c>
      <c r="AY129" s="1">
        <v>1</v>
      </c>
      <c r="AZ129" s="1">
        <v>0</v>
      </c>
      <c r="BA129" s="1">
        <v>0</v>
      </c>
      <c r="BB129" s="1">
        <v>1</v>
      </c>
      <c r="BC129" s="1">
        <v>0</v>
      </c>
      <c r="BD129" s="1">
        <v>0</v>
      </c>
      <c r="BE129" s="1">
        <v>0</v>
      </c>
      <c r="BF129" s="1">
        <v>0</v>
      </c>
      <c r="BG129" s="1">
        <v>0</v>
      </c>
      <c r="BH129" s="1">
        <v>0</v>
      </c>
      <c r="BI129" s="1">
        <v>0</v>
      </c>
      <c r="BJ129" s="1">
        <v>0</v>
      </c>
      <c r="BK129" s="1">
        <v>1</v>
      </c>
      <c r="BL129" s="1">
        <v>0</v>
      </c>
      <c r="BM129" s="1">
        <v>0</v>
      </c>
      <c r="BN129" s="1">
        <v>1</v>
      </c>
      <c r="BO129" s="1">
        <v>0</v>
      </c>
      <c r="BP129" s="1">
        <v>0</v>
      </c>
      <c r="BQ129" s="1">
        <v>0</v>
      </c>
      <c r="BR129" s="1">
        <v>0</v>
      </c>
      <c r="BS129" s="1">
        <v>0</v>
      </c>
      <c r="BT129" s="1">
        <v>0</v>
      </c>
      <c r="BU129" s="1">
        <v>0</v>
      </c>
      <c r="BV129" s="1">
        <v>0</v>
      </c>
      <c r="BW129" s="1">
        <v>0</v>
      </c>
      <c r="BX129" s="1">
        <v>0</v>
      </c>
      <c r="BY129" s="1">
        <v>0</v>
      </c>
      <c r="BZ129" s="1">
        <v>1</v>
      </c>
      <c r="CA129" s="14" t="s">
        <v>2176</v>
      </c>
      <c r="CB129" s="1">
        <v>0</v>
      </c>
      <c r="CC129" s="1" t="s">
        <v>18</v>
      </c>
      <c r="CD129" s="1">
        <v>1</v>
      </c>
      <c r="CE129" s="14" t="s">
        <v>2177</v>
      </c>
      <c r="CF129" s="14" t="s">
        <v>2178</v>
      </c>
      <c r="CG129" s="1">
        <v>1</v>
      </c>
      <c r="CH129" s="1" t="s">
        <v>1887</v>
      </c>
      <c r="CI129" s="1">
        <v>1</v>
      </c>
      <c r="CJ129" s="14" t="s">
        <v>2179</v>
      </c>
      <c r="CK129" s="1" t="s">
        <v>2146</v>
      </c>
      <c r="CL129" s="1">
        <v>1</v>
      </c>
      <c r="CM129" s="14" t="s">
        <v>2179</v>
      </c>
      <c r="CN129" s="1" t="s">
        <v>2146</v>
      </c>
      <c r="CO129" s="14" t="s">
        <v>2075</v>
      </c>
      <c r="CP129" s="14" t="s">
        <v>2180</v>
      </c>
      <c r="CQ129" s="14" t="s">
        <v>2077</v>
      </c>
      <c r="CR129" s="1">
        <v>0</v>
      </c>
      <c r="CS129" s="1" t="s">
        <v>18</v>
      </c>
      <c r="CT129" s="1" t="s">
        <v>18</v>
      </c>
      <c r="CU129" s="1">
        <v>0</v>
      </c>
      <c r="CV129" s="1" t="s">
        <v>18</v>
      </c>
      <c r="CW129" s="1" t="s">
        <v>18</v>
      </c>
      <c r="CX129" s="1">
        <v>1</v>
      </c>
      <c r="CY129" s="5">
        <v>44630</v>
      </c>
      <c r="CZ129" s="1">
        <v>2</v>
      </c>
      <c r="DA129" s="1"/>
    </row>
    <row r="130" spans="1:106" s="127" customFormat="1" ht="16">
      <c r="A130" s="125" t="s">
        <v>551</v>
      </c>
      <c r="B130" s="167">
        <v>22103485</v>
      </c>
      <c r="C130" s="175" t="s">
        <v>1342</v>
      </c>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168"/>
      <c r="AF130" s="168"/>
      <c r="AG130" s="168"/>
      <c r="AH130" s="168"/>
      <c r="AI130" s="168"/>
      <c r="AJ130" s="168"/>
      <c r="AK130" s="168"/>
      <c r="AL130" s="168"/>
      <c r="AM130" s="168"/>
      <c r="AN130" s="168"/>
      <c r="AO130" s="168"/>
      <c r="AP130" s="168"/>
      <c r="AQ130" s="168"/>
      <c r="AR130" s="168"/>
      <c r="AS130" s="168"/>
      <c r="AT130" s="168"/>
      <c r="AU130" s="168"/>
      <c r="AV130" s="168"/>
      <c r="AW130" s="168"/>
      <c r="AX130" s="168"/>
      <c r="AY130" s="168"/>
      <c r="AZ130" s="168"/>
      <c r="BA130" s="168"/>
      <c r="BB130" s="168"/>
      <c r="BC130" s="168"/>
      <c r="BD130" s="168"/>
      <c r="BE130" s="168"/>
      <c r="BF130" s="168"/>
      <c r="BG130" s="168"/>
      <c r="BH130" s="168"/>
      <c r="BI130" s="168"/>
      <c r="BJ130" s="168"/>
      <c r="BK130" s="168"/>
      <c r="BL130" s="168"/>
      <c r="BM130" s="168"/>
      <c r="BN130" s="168"/>
      <c r="BO130" s="168"/>
      <c r="BP130" s="168"/>
      <c r="BQ130" s="168"/>
      <c r="BR130" s="168"/>
      <c r="BS130" s="168"/>
      <c r="BT130" s="168"/>
      <c r="BU130" s="168"/>
      <c r="BV130" s="168"/>
      <c r="BW130" s="168"/>
      <c r="BX130" s="168"/>
      <c r="BY130" s="168"/>
      <c r="BZ130" s="168"/>
      <c r="CA130" s="168"/>
      <c r="CB130" s="168"/>
      <c r="CC130" s="168"/>
      <c r="CD130" s="168"/>
      <c r="CE130" s="168"/>
      <c r="CF130" s="168"/>
      <c r="CG130" s="168"/>
      <c r="CH130" s="168"/>
      <c r="CI130" s="168"/>
      <c r="CJ130" s="168"/>
      <c r="CK130" s="168"/>
      <c r="CL130" s="168"/>
      <c r="CM130" s="168"/>
      <c r="CN130" s="168"/>
      <c r="CO130" s="168"/>
      <c r="CP130" s="168"/>
      <c r="CQ130" s="168"/>
      <c r="CR130" s="168"/>
      <c r="CS130" s="168"/>
      <c r="CT130" s="168"/>
      <c r="CU130" s="168"/>
      <c r="CV130" s="168"/>
      <c r="CW130" s="168"/>
      <c r="CX130" s="168"/>
      <c r="CY130" s="168"/>
      <c r="CZ130" s="168"/>
      <c r="DA130" s="168"/>
      <c r="DB130" s="168"/>
    </row>
    <row r="131" spans="1:106" s="110" customFormat="1" ht="16">
      <c r="A131" s="107" t="s">
        <v>555</v>
      </c>
      <c r="B131" s="107">
        <v>22282241</v>
      </c>
      <c r="C131" s="107" t="s">
        <v>556</v>
      </c>
      <c r="D131" s="108">
        <v>44566</v>
      </c>
      <c r="E131" s="107">
        <v>70.599999999999994</v>
      </c>
      <c r="F131" s="107">
        <v>9</v>
      </c>
      <c r="G131" s="107">
        <f>F131/(E131/100)^2</f>
        <v>18.05648067154058</v>
      </c>
      <c r="H131" s="107"/>
      <c r="I131" s="107">
        <v>28</v>
      </c>
      <c r="J131" s="107">
        <v>2</v>
      </c>
      <c r="K131" s="107">
        <v>1</v>
      </c>
      <c r="L131" s="107">
        <v>2</v>
      </c>
      <c r="M131" s="107">
        <v>0</v>
      </c>
      <c r="N131" s="107">
        <v>3</v>
      </c>
      <c r="O131" s="107">
        <v>4</v>
      </c>
      <c r="P131" s="107">
        <v>996</v>
      </c>
      <c r="Q131" s="107">
        <v>37.200000000000003</v>
      </c>
      <c r="R131" s="107">
        <v>25.9</v>
      </c>
      <c r="S131" s="107">
        <v>23.3</v>
      </c>
      <c r="T131" s="108">
        <v>29304</v>
      </c>
      <c r="U131" s="107">
        <v>40.71</v>
      </c>
      <c r="V131" s="107">
        <v>1</v>
      </c>
      <c r="W131" s="107">
        <v>1</v>
      </c>
      <c r="X131" s="107">
        <v>0</v>
      </c>
      <c r="Y131" s="107">
        <v>2</v>
      </c>
      <c r="Z131" s="107">
        <v>0</v>
      </c>
      <c r="AA131" s="107">
        <v>0</v>
      </c>
      <c r="AB131" s="107">
        <v>0</v>
      </c>
      <c r="AC131" s="107">
        <v>1</v>
      </c>
      <c r="AD131" s="107">
        <v>0</v>
      </c>
      <c r="AE131" s="107">
        <v>0</v>
      </c>
      <c r="AF131" s="107">
        <v>0</v>
      </c>
      <c r="AG131" s="107">
        <v>0</v>
      </c>
      <c r="AH131" s="107">
        <v>1</v>
      </c>
      <c r="AI131" s="107">
        <v>0</v>
      </c>
      <c r="AJ131" s="107">
        <v>0</v>
      </c>
      <c r="AK131" s="107">
        <v>0</v>
      </c>
      <c r="AL131" s="107">
        <v>0</v>
      </c>
      <c r="AM131" s="107">
        <v>0</v>
      </c>
      <c r="AN131" s="107">
        <v>0</v>
      </c>
      <c r="AO131" s="107">
        <v>0</v>
      </c>
      <c r="AP131" s="107">
        <v>0</v>
      </c>
      <c r="AQ131" s="107">
        <v>0</v>
      </c>
      <c r="AR131" s="107">
        <v>1</v>
      </c>
      <c r="AS131" s="107">
        <v>0</v>
      </c>
      <c r="AT131" s="107">
        <v>0</v>
      </c>
      <c r="AU131" s="107">
        <v>0</v>
      </c>
      <c r="AV131" s="107">
        <v>0</v>
      </c>
      <c r="AW131" s="107">
        <v>0</v>
      </c>
      <c r="AX131" s="107">
        <v>0</v>
      </c>
      <c r="AY131" s="107">
        <v>0</v>
      </c>
      <c r="AZ131" s="107">
        <v>0</v>
      </c>
      <c r="BA131" s="107">
        <v>0</v>
      </c>
      <c r="BB131" s="107">
        <v>0</v>
      </c>
      <c r="BC131" s="107">
        <v>0</v>
      </c>
      <c r="BD131" s="107">
        <v>0</v>
      </c>
      <c r="BE131" s="107">
        <v>0</v>
      </c>
      <c r="BF131" s="107">
        <v>0</v>
      </c>
      <c r="BG131" s="107">
        <v>0</v>
      </c>
      <c r="BH131" s="107">
        <v>0</v>
      </c>
      <c r="BI131" s="107">
        <v>0</v>
      </c>
      <c r="BJ131" s="107">
        <v>0</v>
      </c>
      <c r="BK131" s="107">
        <v>1</v>
      </c>
      <c r="BL131" s="107">
        <v>0</v>
      </c>
      <c r="BM131" s="107">
        <v>0</v>
      </c>
      <c r="BN131" s="107">
        <v>0</v>
      </c>
      <c r="BO131" s="107">
        <v>0</v>
      </c>
      <c r="BP131" s="107">
        <v>0</v>
      </c>
      <c r="BQ131" s="107">
        <v>1</v>
      </c>
      <c r="BR131" s="107">
        <v>0</v>
      </c>
      <c r="BS131" s="107">
        <v>0</v>
      </c>
      <c r="BT131" s="107">
        <v>0</v>
      </c>
      <c r="BU131" s="107">
        <v>0</v>
      </c>
      <c r="BV131" s="107">
        <v>0</v>
      </c>
      <c r="BW131" s="107">
        <v>0</v>
      </c>
      <c r="BX131" s="107">
        <v>0</v>
      </c>
      <c r="BY131" s="107">
        <v>0</v>
      </c>
      <c r="BZ131" s="107">
        <v>1</v>
      </c>
      <c r="CA131" s="107" t="s">
        <v>2148</v>
      </c>
      <c r="CB131" s="107">
        <v>1</v>
      </c>
      <c r="CC131" s="107" t="s">
        <v>1899</v>
      </c>
      <c r="CD131" s="107">
        <v>1</v>
      </c>
      <c r="CE131" s="107" t="s">
        <v>2041</v>
      </c>
      <c r="CF131" s="107" t="s">
        <v>2181</v>
      </c>
      <c r="CG131" s="107">
        <v>1</v>
      </c>
      <c r="CH131" s="107" t="s">
        <v>2182</v>
      </c>
      <c r="CI131" s="107">
        <v>1</v>
      </c>
      <c r="CJ131" s="107" t="s">
        <v>2183</v>
      </c>
      <c r="CK131" s="107" t="s">
        <v>1907</v>
      </c>
      <c r="CL131" s="107">
        <v>1</v>
      </c>
      <c r="CM131" s="107" t="s">
        <v>1887</v>
      </c>
      <c r="CN131" s="107" t="s">
        <v>2184</v>
      </c>
      <c r="CO131" s="107">
        <v>0</v>
      </c>
      <c r="CP131" s="107" t="s">
        <v>18</v>
      </c>
      <c r="CQ131" s="107" t="s">
        <v>18</v>
      </c>
      <c r="CR131" s="107">
        <v>0</v>
      </c>
      <c r="CS131" s="107" t="s">
        <v>18</v>
      </c>
      <c r="CT131" s="107" t="s">
        <v>18</v>
      </c>
      <c r="CU131" s="107">
        <v>1</v>
      </c>
      <c r="CV131" s="107" t="s">
        <v>1887</v>
      </c>
      <c r="CW131" s="107" t="s">
        <v>2185</v>
      </c>
      <c r="CX131" s="107">
        <v>1</v>
      </c>
      <c r="CY131" s="107" t="s">
        <v>2186</v>
      </c>
      <c r="CZ131" s="107">
        <v>2</v>
      </c>
      <c r="DA131" s="107"/>
    </row>
    <row r="132" spans="1:106" ht="16">
      <c r="A132" s="1" t="s">
        <v>558</v>
      </c>
      <c r="B132" s="1">
        <v>22108320</v>
      </c>
      <c r="C132" s="1" t="s">
        <v>559</v>
      </c>
      <c r="D132" s="5">
        <v>44579</v>
      </c>
      <c r="E132" s="1">
        <v>63</v>
      </c>
      <c r="F132" s="1">
        <v>6.9</v>
      </c>
      <c r="G132" s="1">
        <f>F132/(E132/100)^2</f>
        <v>17.384731670445955</v>
      </c>
      <c r="H132" s="1">
        <v>41.1</v>
      </c>
      <c r="I132" s="1">
        <v>39</v>
      </c>
      <c r="J132" s="1">
        <v>4</v>
      </c>
      <c r="K132" s="1">
        <v>0</v>
      </c>
      <c r="L132" s="1">
        <v>1</v>
      </c>
      <c r="M132" s="1">
        <v>0</v>
      </c>
      <c r="N132" s="1">
        <v>9</v>
      </c>
      <c r="O132" s="1">
        <v>10</v>
      </c>
      <c r="P132" s="1">
        <v>2850</v>
      </c>
      <c r="Q132" s="1">
        <v>50.5</v>
      </c>
      <c r="R132" s="1">
        <v>35</v>
      </c>
      <c r="S132" s="1">
        <v>31.5</v>
      </c>
      <c r="T132" s="5">
        <v>33667</v>
      </c>
      <c r="U132" s="1">
        <v>29.36</v>
      </c>
      <c r="V132" s="1">
        <v>1</v>
      </c>
      <c r="W132" s="1">
        <v>0</v>
      </c>
      <c r="X132" s="1">
        <v>0</v>
      </c>
      <c r="Y132" s="1">
        <v>1</v>
      </c>
      <c r="Z132" s="1">
        <v>0</v>
      </c>
      <c r="AA132" s="1">
        <v>0</v>
      </c>
      <c r="AB132" s="1">
        <v>0</v>
      </c>
      <c r="AC132" s="1">
        <v>0</v>
      </c>
      <c r="AD132" s="1">
        <v>0</v>
      </c>
      <c r="AE132" s="1">
        <v>0</v>
      </c>
      <c r="AF132" s="1">
        <v>0</v>
      </c>
      <c r="AG132" s="1">
        <v>0</v>
      </c>
      <c r="AH132" s="1">
        <v>0</v>
      </c>
      <c r="AI132" s="1">
        <v>1</v>
      </c>
      <c r="AJ132" s="1">
        <v>0</v>
      </c>
      <c r="AK132" s="1">
        <v>0</v>
      </c>
      <c r="AL132" s="1">
        <v>1</v>
      </c>
      <c r="AM132" s="1">
        <v>5</v>
      </c>
      <c r="AN132" s="1">
        <v>0</v>
      </c>
      <c r="AO132" s="1">
        <v>0</v>
      </c>
      <c r="AP132" s="1">
        <v>0</v>
      </c>
      <c r="AQ132" s="1">
        <v>0</v>
      </c>
      <c r="AR132" s="1" t="s">
        <v>1910</v>
      </c>
      <c r="AS132" s="1">
        <v>0</v>
      </c>
      <c r="AT132" s="1">
        <v>0</v>
      </c>
      <c r="AU132" s="1">
        <v>0</v>
      </c>
      <c r="AV132" s="1">
        <v>0</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1</v>
      </c>
      <c r="CA132" s="1" t="s">
        <v>1887</v>
      </c>
      <c r="CB132" s="1">
        <v>0</v>
      </c>
      <c r="CC132" s="1" t="s">
        <v>18</v>
      </c>
      <c r="CD132" s="1">
        <v>1</v>
      </c>
      <c r="CE132" s="1" t="s">
        <v>1887</v>
      </c>
      <c r="CF132" s="1" t="s">
        <v>2187</v>
      </c>
      <c r="CG132" s="1">
        <v>0</v>
      </c>
      <c r="CH132" s="1" t="s">
        <v>18</v>
      </c>
      <c r="CI132" s="1">
        <v>1</v>
      </c>
      <c r="CJ132" s="1" t="s">
        <v>2089</v>
      </c>
      <c r="CK132" s="1" t="s">
        <v>2188</v>
      </c>
      <c r="CL132" s="1">
        <v>1</v>
      </c>
      <c r="CM132" s="1" t="s">
        <v>2089</v>
      </c>
      <c r="CN132" s="1" t="s">
        <v>1981</v>
      </c>
      <c r="CO132" s="1">
        <v>0</v>
      </c>
      <c r="CP132" s="1" t="s">
        <v>18</v>
      </c>
      <c r="CQ132" s="1" t="s">
        <v>18</v>
      </c>
      <c r="CR132" s="1">
        <v>0</v>
      </c>
      <c r="CS132" s="1" t="s">
        <v>18</v>
      </c>
      <c r="CT132" s="1" t="s">
        <v>18</v>
      </c>
      <c r="CU132" s="1">
        <v>0</v>
      </c>
      <c r="CV132" s="1" t="s">
        <v>18</v>
      </c>
      <c r="CW132" s="1" t="s">
        <v>18</v>
      </c>
      <c r="CX132" s="1">
        <v>1</v>
      </c>
      <c r="CY132" s="5">
        <v>44545</v>
      </c>
      <c r="CZ132" s="1">
        <v>2</v>
      </c>
      <c r="DA132" s="1"/>
    </row>
    <row r="133" spans="1:106" ht="16">
      <c r="A133" s="1" t="s">
        <v>562</v>
      </c>
      <c r="B133" s="137">
        <v>22108974</v>
      </c>
      <c r="C133" s="161" t="s">
        <v>1344</v>
      </c>
      <c r="D133" s="159">
        <v>44730</v>
      </c>
      <c r="E133" s="137">
        <v>63.3</v>
      </c>
      <c r="F133" s="137">
        <v>6.9</v>
      </c>
      <c r="G133" s="137">
        <v>17.22</v>
      </c>
      <c r="H133" s="137">
        <v>42.3</v>
      </c>
      <c r="I133" s="137">
        <v>31</v>
      </c>
      <c r="J133" s="137">
        <v>4</v>
      </c>
      <c r="K133" s="137">
        <v>1</v>
      </c>
      <c r="L133" s="137">
        <v>2</v>
      </c>
      <c r="M133" s="137">
        <v>0</v>
      </c>
      <c r="N133" s="137">
        <v>1</v>
      </c>
      <c r="O133" s="137">
        <v>7</v>
      </c>
      <c r="P133" s="137">
        <v>1374</v>
      </c>
      <c r="Q133" s="137">
        <v>41</v>
      </c>
      <c r="R133" s="137">
        <v>29</v>
      </c>
      <c r="S133" s="137">
        <v>24</v>
      </c>
      <c r="T133" s="159">
        <v>31986</v>
      </c>
      <c r="U133" s="137">
        <v>34.166666669999998</v>
      </c>
      <c r="V133" s="137">
        <v>0</v>
      </c>
      <c r="W133" s="137">
        <v>1</v>
      </c>
      <c r="X133" s="137">
        <v>2</v>
      </c>
      <c r="Y133" s="137">
        <v>1</v>
      </c>
      <c r="Z133" s="137" t="s">
        <v>1345</v>
      </c>
      <c r="AA133" s="137">
        <v>0</v>
      </c>
      <c r="AB133" s="137">
        <v>0</v>
      </c>
      <c r="AC133" s="137">
        <v>0</v>
      </c>
      <c r="AD133" s="137">
        <v>0</v>
      </c>
      <c r="AE133" s="137">
        <v>0</v>
      </c>
      <c r="AF133" s="137">
        <v>0</v>
      </c>
      <c r="AG133" s="137">
        <v>0</v>
      </c>
      <c r="AH133" s="137">
        <v>0</v>
      </c>
      <c r="AI133" s="137">
        <v>0</v>
      </c>
      <c r="AJ133" s="137">
        <v>0</v>
      </c>
      <c r="AK133" s="137">
        <v>0</v>
      </c>
      <c r="AL133" s="137">
        <v>0</v>
      </c>
      <c r="AM133" s="137">
        <v>0</v>
      </c>
      <c r="AN133" s="137">
        <v>0</v>
      </c>
      <c r="AO133" s="137">
        <v>0</v>
      </c>
      <c r="AP133" s="137">
        <v>0</v>
      </c>
      <c r="AQ133" s="137">
        <v>0</v>
      </c>
      <c r="AR133" s="137">
        <v>1</v>
      </c>
      <c r="AS133" s="137">
        <v>0</v>
      </c>
      <c r="AT133" s="137">
        <v>0</v>
      </c>
      <c r="AU133" s="137">
        <v>0</v>
      </c>
      <c r="AV133" s="137">
        <v>0</v>
      </c>
      <c r="AW133" s="137">
        <v>0</v>
      </c>
      <c r="AX133" s="137">
        <v>0</v>
      </c>
      <c r="AY133" s="137">
        <v>0</v>
      </c>
      <c r="AZ133" s="137">
        <v>0</v>
      </c>
      <c r="BA133" s="137">
        <v>0</v>
      </c>
      <c r="BB133" s="137">
        <v>0</v>
      </c>
      <c r="BC133" s="137">
        <v>0</v>
      </c>
      <c r="BD133" s="137">
        <v>0</v>
      </c>
      <c r="BE133" s="137">
        <v>0</v>
      </c>
      <c r="BF133" s="137">
        <v>0</v>
      </c>
      <c r="BG133" s="137">
        <v>0</v>
      </c>
      <c r="BH133" s="137">
        <v>0</v>
      </c>
      <c r="BI133" s="137">
        <v>0</v>
      </c>
      <c r="BJ133" s="137">
        <v>0</v>
      </c>
      <c r="BK133" s="137">
        <v>1</v>
      </c>
      <c r="BL133" s="137">
        <v>0</v>
      </c>
      <c r="BM133" s="137">
        <v>1</v>
      </c>
      <c r="BN133" s="137">
        <v>0</v>
      </c>
      <c r="BO133" s="137">
        <v>0</v>
      </c>
      <c r="BP133" s="137">
        <v>0</v>
      </c>
      <c r="BQ133" s="137">
        <v>1</v>
      </c>
      <c r="BR133" s="137">
        <v>0</v>
      </c>
      <c r="BS133" s="137">
        <v>0</v>
      </c>
      <c r="BT133" s="137">
        <v>0</v>
      </c>
      <c r="BU133" s="137">
        <v>0</v>
      </c>
      <c r="BV133" s="137">
        <v>0</v>
      </c>
      <c r="BW133" s="137">
        <v>0</v>
      </c>
      <c r="BX133" s="137">
        <v>0</v>
      </c>
      <c r="BY133" s="137">
        <v>0</v>
      </c>
      <c r="BZ133" s="137">
        <v>1</v>
      </c>
      <c r="CA133" s="137" t="s">
        <v>1346</v>
      </c>
      <c r="CB133" s="137">
        <v>1</v>
      </c>
      <c r="CC133" s="161" t="s">
        <v>1057</v>
      </c>
      <c r="CD133" s="137">
        <v>1</v>
      </c>
      <c r="CE133" s="161" t="s">
        <v>1347</v>
      </c>
      <c r="CF133" s="161" t="s">
        <v>1137</v>
      </c>
      <c r="CG133" s="137">
        <v>1</v>
      </c>
      <c r="CH133" s="161" t="s">
        <v>1348</v>
      </c>
      <c r="CI133" s="137">
        <v>1</v>
      </c>
      <c r="CJ133" s="159" t="s">
        <v>1349</v>
      </c>
      <c r="CK133" s="161" t="s">
        <v>1146</v>
      </c>
      <c r="CL133" s="137">
        <v>1</v>
      </c>
      <c r="CM133" s="137" t="s">
        <v>1349</v>
      </c>
      <c r="CN133" s="161" t="s">
        <v>1025</v>
      </c>
      <c r="CO133" s="161" t="s">
        <v>1060</v>
      </c>
      <c r="CP133" s="161" t="s">
        <v>1350</v>
      </c>
      <c r="CQ133" s="161" t="s">
        <v>993</v>
      </c>
      <c r="CR133" s="137">
        <v>0</v>
      </c>
      <c r="CS133" s="137" t="s">
        <v>947</v>
      </c>
      <c r="CT133" s="137" t="s">
        <v>947</v>
      </c>
      <c r="CU133" s="137">
        <v>1</v>
      </c>
      <c r="CV133" s="137" t="s">
        <v>1351</v>
      </c>
      <c r="CW133" s="137" t="s">
        <v>1352</v>
      </c>
      <c r="CX133" s="137">
        <v>1</v>
      </c>
      <c r="CY133" s="161" t="s">
        <v>1149</v>
      </c>
      <c r="CZ133" s="137">
        <v>2</v>
      </c>
      <c r="DA133" s="137"/>
      <c r="DB133" s="152"/>
    </row>
    <row r="134" spans="1:106" ht="16">
      <c r="A134" s="1" t="s">
        <v>566</v>
      </c>
      <c r="B134" s="137">
        <v>22107651</v>
      </c>
      <c r="C134" s="161" t="s">
        <v>1353</v>
      </c>
      <c r="D134" s="159">
        <v>44540</v>
      </c>
      <c r="E134" s="137">
        <v>65.7</v>
      </c>
      <c r="F134" s="137">
        <v>8</v>
      </c>
      <c r="G134" s="137">
        <v>18.53</v>
      </c>
      <c r="H134" s="137">
        <v>42.9</v>
      </c>
      <c r="I134" s="137">
        <v>38</v>
      </c>
      <c r="J134" s="137">
        <v>5</v>
      </c>
      <c r="K134" s="137">
        <v>0</v>
      </c>
      <c r="L134" s="137">
        <v>2</v>
      </c>
      <c r="M134" s="137">
        <v>0</v>
      </c>
      <c r="N134" s="137">
        <v>9</v>
      </c>
      <c r="O134" s="137">
        <v>10</v>
      </c>
      <c r="P134" s="137">
        <v>3150</v>
      </c>
      <c r="Q134" s="137">
        <v>50.5</v>
      </c>
      <c r="R134" s="137">
        <v>34</v>
      </c>
      <c r="S134" s="137">
        <v>32.5</v>
      </c>
      <c r="T134" s="159">
        <v>31478</v>
      </c>
      <c r="U134" s="137">
        <v>35.159999999999997</v>
      </c>
      <c r="V134" s="137">
        <v>2</v>
      </c>
      <c r="W134" s="137">
        <v>0</v>
      </c>
      <c r="X134" s="137">
        <v>0</v>
      </c>
      <c r="Y134" s="137">
        <v>2</v>
      </c>
      <c r="Z134" s="137">
        <v>0</v>
      </c>
      <c r="AA134" s="137">
        <v>0</v>
      </c>
      <c r="AB134" s="137">
        <v>0</v>
      </c>
      <c r="AC134" s="137">
        <v>0</v>
      </c>
      <c r="AD134" s="137">
        <v>0</v>
      </c>
      <c r="AE134" s="137">
        <v>0</v>
      </c>
      <c r="AF134" s="137">
        <v>0</v>
      </c>
      <c r="AG134" s="137">
        <v>0</v>
      </c>
      <c r="AH134" s="137">
        <v>0</v>
      </c>
      <c r="AI134" s="137">
        <v>0</v>
      </c>
      <c r="AJ134" s="137">
        <v>0</v>
      </c>
      <c r="AK134" s="137">
        <v>0</v>
      </c>
      <c r="AL134" s="137">
        <v>0</v>
      </c>
      <c r="AM134" s="137">
        <v>0</v>
      </c>
      <c r="AN134" s="137">
        <v>0</v>
      </c>
      <c r="AO134" s="137">
        <v>0</v>
      </c>
      <c r="AP134" s="137">
        <v>0</v>
      </c>
      <c r="AQ134" s="137">
        <v>0</v>
      </c>
      <c r="AR134" s="137">
        <v>1</v>
      </c>
      <c r="AS134" s="137">
        <v>0</v>
      </c>
      <c r="AT134" s="137">
        <v>0</v>
      </c>
      <c r="AU134" s="137">
        <v>0</v>
      </c>
      <c r="AV134" s="137">
        <v>0</v>
      </c>
      <c r="AW134" s="137">
        <v>0</v>
      </c>
      <c r="AX134" s="137">
        <v>0</v>
      </c>
      <c r="AY134" s="137">
        <v>0</v>
      </c>
      <c r="AZ134" s="137">
        <v>0</v>
      </c>
      <c r="BA134" s="137">
        <v>0</v>
      </c>
      <c r="BB134" s="137">
        <v>0</v>
      </c>
      <c r="BC134" s="137">
        <v>0</v>
      </c>
      <c r="BD134" s="137">
        <v>0</v>
      </c>
      <c r="BE134" s="137">
        <v>0</v>
      </c>
      <c r="BF134" s="137">
        <v>0</v>
      </c>
      <c r="BG134" s="137">
        <v>0</v>
      </c>
      <c r="BH134" s="137">
        <v>0</v>
      </c>
      <c r="BI134" s="137">
        <v>0</v>
      </c>
      <c r="BJ134" s="137">
        <v>0</v>
      </c>
      <c r="BK134" s="137">
        <v>1</v>
      </c>
      <c r="BL134" s="137">
        <v>0</v>
      </c>
      <c r="BM134" s="137">
        <v>1</v>
      </c>
      <c r="BN134" s="137">
        <v>0</v>
      </c>
      <c r="BO134" s="137">
        <v>0</v>
      </c>
      <c r="BP134" s="137">
        <v>0</v>
      </c>
      <c r="BQ134" s="137">
        <v>0</v>
      </c>
      <c r="BR134" s="137">
        <v>0</v>
      </c>
      <c r="BS134" s="137">
        <v>0</v>
      </c>
      <c r="BT134" s="137">
        <v>0</v>
      </c>
      <c r="BU134" s="137">
        <v>0</v>
      </c>
      <c r="BV134" s="137">
        <v>0</v>
      </c>
      <c r="BW134" s="137">
        <v>0</v>
      </c>
      <c r="BX134" s="137">
        <v>0</v>
      </c>
      <c r="BY134" s="137">
        <v>0</v>
      </c>
      <c r="BZ134" s="137">
        <v>1</v>
      </c>
      <c r="CA134" s="137" t="s">
        <v>946</v>
      </c>
      <c r="CB134" s="137">
        <v>0</v>
      </c>
      <c r="CC134" s="137" t="s">
        <v>947</v>
      </c>
      <c r="CD134" s="137">
        <v>0</v>
      </c>
      <c r="CE134" s="137" t="s">
        <v>947</v>
      </c>
      <c r="CF134" s="137" t="s">
        <v>947</v>
      </c>
      <c r="CG134" s="137">
        <v>0</v>
      </c>
      <c r="CH134" s="137" t="s">
        <v>947</v>
      </c>
      <c r="CI134" s="137">
        <v>1</v>
      </c>
      <c r="CJ134" s="137" t="s">
        <v>1354</v>
      </c>
      <c r="CK134" s="161" t="s">
        <v>1186</v>
      </c>
      <c r="CL134" s="137">
        <v>0</v>
      </c>
      <c r="CM134" s="137" t="s">
        <v>947</v>
      </c>
      <c r="CN134" s="137" t="s">
        <v>947</v>
      </c>
      <c r="CO134" s="137">
        <v>0</v>
      </c>
      <c r="CP134" s="137" t="s">
        <v>947</v>
      </c>
      <c r="CQ134" s="137" t="s">
        <v>947</v>
      </c>
      <c r="CR134" s="137">
        <v>0</v>
      </c>
      <c r="CS134" s="137" t="s">
        <v>947</v>
      </c>
      <c r="CT134" s="137" t="s">
        <v>947</v>
      </c>
      <c r="CU134" s="137">
        <v>1</v>
      </c>
      <c r="CV134" s="137" t="s">
        <v>1355</v>
      </c>
      <c r="CW134" s="161" t="s">
        <v>1356</v>
      </c>
      <c r="CX134" s="137">
        <v>1</v>
      </c>
      <c r="CY134" s="159">
        <v>44445</v>
      </c>
      <c r="CZ134" s="137">
        <v>2</v>
      </c>
      <c r="DA134" s="137"/>
      <c r="DB134" s="152"/>
    </row>
    <row r="135" spans="1:106" ht="16">
      <c r="A135" s="1" t="s">
        <v>570</v>
      </c>
      <c r="B135" s="137">
        <v>22108335</v>
      </c>
      <c r="C135" s="161" t="s">
        <v>1357</v>
      </c>
      <c r="D135" s="159">
        <v>44586</v>
      </c>
      <c r="E135" s="137">
        <v>60.8</v>
      </c>
      <c r="F135" s="137">
        <v>6.9</v>
      </c>
      <c r="G135" s="137">
        <v>18.670000000000002</v>
      </c>
      <c r="H135" s="137">
        <v>42</v>
      </c>
      <c r="I135" s="137">
        <v>39</v>
      </c>
      <c r="J135" s="137">
        <v>2</v>
      </c>
      <c r="K135" s="137">
        <v>0</v>
      </c>
      <c r="L135" s="137">
        <v>1</v>
      </c>
      <c r="M135" s="137">
        <v>0</v>
      </c>
      <c r="N135" s="137">
        <v>9</v>
      </c>
      <c r="O135" s="137">
        <v>10</v>
      </c>
      <c r="P135" s="137">
        <v>3140</v>
      </c>
      <c r="Q135" s="137">
        <v>50.5</v>
      </c>
      <c r="R135" s="137">
        <v>34.5</v>
      </c>
      <c r="S135" s="137">
        <v>34</v>
      </c>
      <c r="T135" s="159">
        <v>32370</v>
      </c>
      <c r="U135" s="137">
        <v>32.919444439999999</v>
      </c>
      <c r="V135" s="137">
        <v>2</v>
      </c>
      <c r="W135" s="137">
        <v>0</v>
      </c>
      <c r="X135" s="137">
        <v>0</v>
      </c>
      <c r="Y135" s="137">
        <v>2</v>
      </c>
      <c r="Z135" s="137">
        <v>0</v>
      </c>
      <c r="AA135" s="137">
        <v>0</v>
      </c>
      <c r="AB135" s="137">
        <v>0</v>
      </c>
      <c r="AC135" s="137">
        <v>0</v>
      </c>
      <c r="AD135" s="137">
        <v>0</v>
      </c>
      <c r="AE135" s="137">
        <v>0</v>
      </c>
      <c r="AF135" s="137">
        <v>0</v>
      </c>
      <c r="AG135" s="137">
        <v>0</v>
      </c>
      <c r="AH135" s="137">
        <v>0</v>
      </c>
      <c r="AI135" s="137">
        <v>0</v>
      </c>
      <c r="AJ135" s="137">
        <v>0</v>
      </c>
      <c r="AK135" s="137">
        <v>0</v>
      </c>
      <c r="AL135" s="137">
        <v>0</v>
      </c>
      <c r="AM135" s="137">
        <v>0</v>
      </c>
      <c r="AN135" s="137">
        <v>0</v>
      </c>
      <c r="AO135" s="137">
        <v>0</v>
      </c>
      <c r="AP135" s="137">
        <v>0</v>
      </c>
      <c r="AQ135" s="137">
        <v>0</v>
      </c>
      <c r="AR135" s="137">
        <v>1</v>
      </c>
      <c r="AS135" s="137">
        <v>0</v>
      </c>
      <c r="AT135" s="137">
        <v>0</v>
      </c>
      <c r="AU135" s="137">
        <v>0</v>
      </c>
      <c r="AV135" s="137">
        <v>0</v>
      </c>
      <c r="AW135" s="137">
        <v>0</v>
      </c>
      <c r="AX135" s="137">
        <v>0</v>
      </c>
      <c r="AY135" s="137">
        <v>0</v>
      </c>
      <c r="AZ135" s="137">
        <v>0</v>
      </c>
      <c r="BA135" s="137">
        <v>0</v>
      </c>
      <c r="BB135" s="137">
        <v>0</v>
      </c>
      <c r="BC135" s="137">
        <v>0</v>
      </c>
      <c r="BD135" s="137">
        <v>0</v>
      </c>
      <c r="BE135" s="137">
        <v>0</v>
      </c>
      <c r="BF135" s="137">
        <v>0</v>
      </c>
      <c r="BG135" s="137">
        <v>0</v>
      </c>
      <c r="BH135" s="137">
        <v>0</v>
      </c>
      <c r="BI135" s="137">
        <v>0</v>
      </c>
      <c r="BJ135" s="137">
        <v>0</v>
      </c>
      <c r="BK135" s="137">
        <v>0</v>
      </c>
      <c r="BL135" s="137">
        <v>0</v>
      </c>
      <c r="BM135" s="137">
        <v>0</v>
      </c>
      <c r="BN135" s="137">
        <v>0</v>
      </c>
      <c r="BO135" s="137">
        <v>0</v>
      </c>
      <c r="BP135" s="137">
        <v>0</v>
      </c>
      <c r="BQ135" s="137">
        <v>0</v>
      </c>
      <c r="BR135" s="137">
        <v>0</v>
      </c>
      <c r="BS135" s="137">
        <v>0</v>
      </c>
      <c r="BT135" s="137">
        <v>0</v>
      </c>
      <c r="BU135" s="137">
        <v>0</v>
      </c>
      <c r="BV135" s="137">
        <v>0</v>
      </c>
      <c r="BW135" s="137">
        <v>0</v>
      </c>
      <c r="BX135" s="137">
        <v>0</v>
      </c>
      <c r="BY135" s="137">
        <v>0</v>
      </c>
      <c r="BZ135" s="137">
        <v>1</v>
      </c>
      <c r="CA135" s="137" t="s">
        <v>946</v>
      </c>
      <c r="CB135" s="137">
        <v>0</v>
      </c>
      <c r="CC135" s="137" t="s">
        <v>947</v>
      </c>
      <c r="CD135" s="137">
        <v>1</v>
      </c>
      <c r="CE135" s="137" t="s">
        <v>946</v>
      </c>
      <c r="CF135" s="137" t="s">
        <v>1204</v>
      </c>
      <c r="CG135" s="137">
        <v>1</v>
      </c>
      <c r="CH135" s="137" t="s">
        <v>950</v>
      </c>
      <c r="CI135" s="137">
        <v>0</v>
      </c>
      <c r="CJ135" s="137" t="s">
        <v>947</v>
      </c>
      <c r="CK135" s="137" t="s">
        <v>947</v>
      </c>
      <c r="CL135" s="137">
        <v>1</v>
      </c>
      <c r="CM135" s="137" t="s">
        <v>946</v>
      </c>
      <c r="CN135" s="161" t="s">
        <v>1059</v>
      </c>
      <c r="CO135" s="161" t="s">
        <v>1060</v>
      </c>
      <c r="CP135" s="137" t="s">
        <v>950</v>
      </c>
      <c r="CQ135" s="161" t="s">
        <v>993</v>
      </c>
      <c r="CR135" s="137">
        <v>0</v>
      </c>
      <c r="CS135" s="137" t="s">
        <v>947</v>
      </c>
      <c r="CT135" s="137" t="s">
        <v>947</v>
      </c>
      <c r="CU135" s="137">
        <v>0</v>
      </c>
      <c r="CV135" s="137" t="s">
        <v>947</v>
      </c>
      <c r="CW135" s="137" t="s">
        <v>947</v>
      </c>
      <c r="CX135" s="137">
        <v>1</v>
      </c>
      <c r="CY135" s="137" t="s">
        <v>965</v>
      </c>
      <c r="CZ135" s="137">
        <v>2</v>
      </c>
      <c r="DA135" s="137"/>
      <c r="DB135" s="152"/>
    </row>
    <row r="136" spans="1:106" ht="16">
      <c r="A136" s="1" t="s">
        <v>573</v>
      </c>
      <c r="B136" s="137">
        <v>22107996</v>
      </c>
      <c r="C136" s="161" t="s">
        <v>1358</v>
      </c>
      <c r="D136" s="159">
        <v>44549</v>
      </c>
      <c r="E136" s="137">
        <v>70</v>
      </c>
      <c r="F136" s="137">
        <v>8.1</v>
      </c>
      <c r="G136" s="137">
        <v>16.53</v>
      </c>
      <c r="H136" s="137">
        <v>43</v>
      </c>
      <c r="I136" s="137">
        <v>40</v>
      </c>
      <c r="J136" s="137">
        <v>0</v>
      </c>
      <c r="K136" s="137">
        <v>0</v>
      </c>
      <c r="L136" s="137">
        <v>1</v>
      </c>
      <c r="M136" s="137">
        <v>0</v>
      </c>
      <c r="N136" s="137">
        <v>9</v>
      </c>
      <c r="O136" s="137">
        <v>10</v>
      </c>
      <c r="P136" s="137">
        <v>3420</v>
      </c>
      <c r="Q136" s="137">
        <v>52.5</v>
      </c>
      <c r="R136" s="137">
        <v>33</v>
      </c>
      <c r="S136" s="137">
        <v>34.5</v>
      </c>
      <c r="T136" s="159">
        <v>32064</v>
      </c>
      <c r="U136" s="137">
        <v>33.659999999999997</v>
      </c>
      <c r="V136" s="137">
        <v>1</v>
      </c>
      <c r="W136" s="137">
        <v>0</v>
      </c>
      <c r="X136" s="137">
        <v>0</v>
      </c>
      <c r="Y136" s="137">
        <v>1</v>
      </c>
      <c r="Z136" s="137">
        <v>0</v>
      </c>
      <c r="AA136" s="137">
        <v>0</v>
      </c>
      <c r="AB136" s="137">
        <v>0</v>
      </c>
      <c r="AC136" s="137">
        <v>0</v>
      </c>
      <c r="AD136" s="137">
        <v>0</v>
      </c>
      <c r="AE136" s="137">
        <v>0</v>
      </c>
      <c r="AF136" s="137">
        <v>0</v>
      </c>
      <c r="AG136" s="137">
        <v>0</v>
      </c>
      <c r="AH136" s="137">
        <v>0</v>
      </c>
      <c r="AI136" s="137">
        <v>0</v>
      </c>
      <c r="AJ136" s="137">
        <v>0</v>
      </c>
      <c r="AK136" s="137">
        <v>0</v>
      </c>
      <c r="AL136" s="137">
        <v>0</v>
      </c>
      <c r="AM136" s="137">
        <v>0</v>
      </c>
      <c r="AN136" s="137">
        <v>0</v>
      </c>
      <c r="AO136" s="137">
        <v>0</v>
      </c>
      <c r="AP136" s="137">
        <v>0</v>
      </c>
      <c r="AQ136" s="137">
        <v>0</v>
      </c>
      <c r="AR136" s="137" t="s">
        <v>954</v>
      </c>
      <c r="AS136" s="137">
        <v>0</v>
      </c>
      <c r="AT136" s="137">
        <v>0</v>
      </c>
      <c r="AU136" s="137">
        <v>0</v>
      </c>
      <c r="AV136" s="137">
        <v>0</v>
      </c>
      <c r="AW136" s="137">
        <v>0</v>
      </c>
      <c r="AX136" s="137">
        <v>0</v>
      </c>
      <c r="AY136" s="137">
        <v>0</v>
      </c>
      <c r="AZ136" s="137">
        <v>0</v>
      </c>
      <c r="BA136" s="137">
        <v>0</v>
      </c>
      <c r="BB136" s="137">
        <v>0</v>
      </c>
      <c r="BC136" s="137">
        <v>0</v>
      </c>
      <c r="BD136" s="137">
        <v>0</v>
      </c>
      <c r="BE136" s="137">
        <v>0</v>
      </c>
      <c r="BF136" s="137">
        <v>0</v>
      </c>
      <c r="BG136" s="137">
        <v>0</v>
      </c>
      <c r="BH136" s="137">
        <v>0</v>
      </c>
      <c r="BI136" s="137">
        <v>0</v>
      </c>
      <c r="BJ136" s="137">
        <v>0</v>
      </c>
      <c r="BK136" s="137">
        <v>0</v>
      </c>
      <c r="BL136" s="137">
        <v>0</v>
      </c>
      <c r="BM136" s="137">
        <v>0</v>
      </c>
      <c r="BN136" s="137">
        <v>0</v>
      </c>
      <c r="BO136" s="137">
        <v>0</v>
      </c>
      <c r="BP136" s="137">
        <v>0</v>
      </c>
      <c r="BQ136" s="137">
        <v>0</v>
      </c>
      <c r="BR136" s="137">
        <v>0</v>
      </c>
      <c r="BS136" s="137">
        <v>0</v>
      </c>
      <c r="BT136" s="137">
        <v>0</v>
      </c>
      <c r="BU136" s="137">
        <v>0</v>
      </c>
      <c r="BV136" s="137">
        <v>0</v>
      </c>
      <c r="BW136" s="137">
        <v>0</v>
      </c>
      <c r="BX136" s="137">
        <v>0</v>
      </c>
      <c r="BY136" s="137">
        <v>0</v>
      </c>
      <c r="BZ136" s="137">
        <v>1</v>
      </c>
      <c r="CA136" s="137" t="s">
        <v>1003</v>
      </c>
      <c r="CB136" s="137">
        <v>0</v>
      </c>
      <c r="CC136" s="137" t="s">
        <v>947</v>
      </c>
      <c r="CD136" s="137">
        <v>1</v>
      </c>
      <c r="CE136" s="137" t="s">
        <v>1000</v>
      </c>
      <c r="CF136" s="161" t="s">
        <v>1359</v>
      </c>
      <c r="CG136" s="137">
        <v>0</v>
      </c>
      <c r="CH136" s="137" t="s">
        <v>947</v>
      </c>
      <c r="CI136" s="137">
        <v>0</v>
      </c>
      <c r="CJ136" s="137" t="s">
        <v>947</v>
      </c>
      <c r="CK136" s="137" t="s">
        <v>947</v>
      </c>
      <c r="CL136" s="137">
        <v>0</v>
      </c>
      <c r="CM136" s="137" t="s">
        <v>947</v>
      </c>
      <c r="CN136" s="137" t="s">
        <v>947</v>
      </c>
      <c r="CO136" s="137">
        <v>0</v>
      </c>
      <c r="CP136" s="137" t="s">
        <v>947</v>
      </c>
      <c r="CQ136" s="137" t="s">
        <v>947</v>
      </c>
      <c r="CR136" s="137">
        <v>0</v>
      </c>
      <c r="CS136" s="137" t="s">
        <v>947</v>
      </c>
      <c r="CT136" s="137" t="s">
        <v>947</v>
      </c>
      <c r="CU136" s="137">
        <v>0</v>
      </c>
      <c r="CV136" s="137" t="s">
        <v>947</v>
      </c>
      <c r="CW136" s="137" t="s">
        <v>947</v>
      </c>
      <c r="CX136" s="137">
        <v>1</v>
      </c>
      <c r="CY136" s="137" t="s">
        <v>965</v>
      </c>
      <c r="CZ136" s="137">
        <v>2</v>
      </c>
      <c r="DA136" s="137"/>
      <c r="DB136" s="152"/>
    </row>
    <row r="137" spans="1:106" ht="16">
      <c r="A137" s="1" t="s">
        <v>576</v>
      </c>
      <c r="B137" s="137">
        <v>22108333</v>
      </c>
      <c r="C137" s="161" t="s">
        <v>1360</v>
      </c>
      <c r="D137" s="159">
        <v>44586</v>
      </c>
      <c r="E137" s="137">
        <v>65.099999999999994</v>
      </c>
      <c r="F137" s="137">
        <v>7.3</v>
      </c>
      <c r="G137" s="137">
        <v>17.23</v>
      </c>
      <c r="H137" s="137">
        <v>43.5</v>
      </c>
      <c r="I137" s="137">
        <v>40</v>
      </c>
      <c r="J137" s="137">
        <v>0</v>
      </c>
      <c r="K137" s="137">
        <v>0</v>
      </c>
      <c r="L137" s="137">
        <v>1</v>
      </c>
      <c r="M137" s="137">
        <v>0</v>
      </c>
      <c r="N137" s="137">
        <v>9</v>
      </c>
      <c r="O137" s="137">
        <v>10</v>
      </c>
      <c r="P137" s="137">
        <v>3830</v>
      </c>
      <c r="Q137" s="137">
        <v>53.5</v>
      </c>
      <c r="R137" s="137">
        <v>36</v>
      </c>
      <c r="S137" s="137">
        <v>35</v>
      </c>
      <c r="T137" s="159">
        <v>29949</v>
      </c>
      <c r="U137" s="137">
        <v>39.547222220000002</v>
      </c>
      <c r="V137" s="137">
        <v>2</v>
      </c>
      <c r="W137" s="137">
        <v>0</v>
      </c>
      <c r="X137" s="137">
        <v>0</v>
      </c>
      <c r="Y137" s="137">
        <v>2</v>
      </c>
      <c r="Z137" s="137">
        <v>0</v>
      </c>
      <c r="AA137" s="137">
        <v>0</v>
      </c>
      <c r="AB137" s="137">
        <v>0</v>
      </c>
      <c r="AC137" s="137">
        <v>0</v>
      </c>
      <c r="AD137" s="137">
        <v>0</v>
      </c>
      <c r="AE137" s="137">
        <v>0</v>
      </c>
      <c r="AF137" s="137">
        <v>0</v>
      </c>
      <c r="AG137" s="137">
        <v>0</v>
      </c>
      <c r="AH137" s="137">
        <v>0</v>
      </c>
      <c r="AI137" s="137">
        <v>0</v>
      </c>
      <c r="AJ137" s="137">
        <v>0</v>
      </c>
      <c r="AK137" s="137">
        <v>0</v>
      </c>
      <c r="AL137" s="137">
        <v>0</v>
      </c>
      <c r="AM137" s="137">
        <v>0</v>
      </c>
      <c r="AN137" s="137">
        <v>0</v>
      </c>
      <c r="AO137" s="137">
        <v>0</v>
      </c>
      <c r="AP137" s="137">
        <v>0</v>
      </c>
      <c r="AQ137" s="137">
        <v>0</v>
      </c>
      <c r="AR137" s="137" t="s">
        <v>954</v>
      </c>
      <c r="AS137" s="137">
        <v>1</v>
      </c>
      <c r="AT137" s="137">
        <v>0</v>
      </c>
      <c r="AU137" s="137">
        <v>0</v>
      </c>
      <c r="AV137" s="137">
        <v>0</v>
      </c>
      <c r="AW137" s="137">
        <v>0</v>
      </c>
      <c r="AX137" s="161" t="s">
        <v>1361</v>
      </c>
      <c r="AY137" s="137">
        <v>0</v>
      </c>
      <c r="AZ137" s="137">
        <v>0</v>
      </c>
      <c r="BA137" s="137">
        <v>0</v>
      </c>
      <c r="BB137" s="137">
        <v>0</v>
      </c>
      <c r="BC137" s="137">
        <v>0</v>
      </c>
      <c r="BD137" s="137">
        <v>0</v>
      </c>
      <c r="BE137" s="137">
        <v>0</v>
      </c>
      <c r="BF137" s="137">
        <v>0</v>
      </c>
      <c r="BG137" s="137">
        <v>0</v>
      </c>
      <c r="BH137" s="137">
        <v>0</v>
      </c>
      <c r="BI137" s="137">
        <v>0</v>
      </c>
      <c r="BJ137" s="137">
        <v>0</v>
      </c>
      <c r="BK137" s="137">
        <v>0</v>
      </c>
      <c r="BL137" s="137">
        <v>0</v>
      </c>
      <c r="BM137" s="137">
        <v>0</v>
      </c>
      <c r="BN137" s="137">
        <v>0</v>
      </c>
      <c r="BO137" s="137">
        <v>0</v>
      </c>
      <c r="BP137" s="137">
        <v>0</v>
      </c>
      <c r="BQ137" s="137">
        <v>0</v>
      </c>
      <c r="BR137" s="137">
        <v>0</v>
      </c>
      <c r="BS137" s="137">
        <v>0</v>
      </c>
      <c r="BT137" s="137">
        <v>0</v>
      </c>
      <c r="BU137" s="137">
        <v>0</v>
      </c>
      <c r="BV137" s="137">
        <v>0</v>
      </c>
      <c r="BW137" s="137">
        <v>0</v>
      </c>
      <c r="BX137" s="137">
        <v>0</v>
      </c>
      <c r="BY137" s="137">
        <v>0</v>
      </c>
      <c r="BZ137" s="137">
        <v>1</v>
      </c>
      <c r="CA137" s="137" t="s">
        <v>1362</v>
      </c>
      <c r="CB137" s="137">
        <v>0</v>
      </c>
      <c r="CC137" s="137" t="s">
        <v>947</v>
      </c>
      <c r="CD137" s="137">
        <v>1</v>
      </c>
      <c r="CE137" s="137" t="s">
        <v>946</v>
      </c>
      <c r="CF137" s="161" t="s">
        <v>980</v>
      </c>
      <c r="CG137" s="137">
        <v>0</v>
      </c>
      <c r="CH137" s="137" t="s">
        <v>947</v>
      </c>
      <c r="CI137" s="137">
        <v>0</v>
      </c>
      <c r="CJ137" s="137" t="s">
        <v>947</v>
      </c>
      <c r="CK137" s="137" t="s">
        <v>947</v>
      </c>
      <c r="CL137" s="137">
        <v>1</v>
      </c>
      <c r="CM137" s="137" t="s">
        <v>1363</v>
      </c>
      <c r="CN137" s="161" t="s">
        <v>1364</v>
      </c>
      <c r="CO137" s="137">
        <v>0</v>
      </c>
      <c r="CP137" s="137" t="s">
        <v>947</v>
      </c>
      <c r="CQ137" s="137" t="s">
        <v>947</v>
      </c>
      <c r="CR137" s="137">
        <v>0</v>
      </c>
      <c r="CS137" s="137" t="s">
        <v>947</v>
      </c>
      <c r="CT137" s="137" t="s">
        <v>947</v>
      </c>
      <c r="CU137" s="137">
        <v>1</v>
      </c>
      <c r="CV137" s="137" t="s">
        <v>1365</v>
      </c>
      <c r="CW137" s="161" t="s">
        <v>1366</v>
      </c>
      <c r="CX137" s="137">
        <v>1</v>
      </c>
      <c r="CY137" s="159">
        <v>44531</v>
      </c>
      <c r="CZ137" s="137">
        <v>2</v>
      </c>
      <c r="DA137" s="137"/>
      <c r="DB137" s="152"/>
    </row>
    <row r="138" spans="1:106" s="110" customFormat="1" ht="16">
      <c r="A138" s="107" t="s">
        <v>580</v>
      </c>
      <c r="B138" s="153">
        <v>22107506</v>
      </c>
      <c r="C138" s="157" t="s">
        <v>1367</v>
      </c>
      <c r="D138" s="155">
        <v>44565</v>
      </c>
      <c r="E138" s="153">
        <v>70.8</v>
      </c>
      <c r="F138" s="153">
        <v>9.6999999999999993</v>
      </c>
      <c r="G138" s="153">
        <v>19.350000000000001</v>
      </c>
      <c r="H138" s="153">
        <v>45.5</v>
      </c>
      <c r="I138" s="153">
        <v>40</v>
      </c>
      <c r="J138" s="153">
        <v>2</v>
      </c>
      <c r="K138" s="153">
        <v>0</v>
      </c>
      <c r="L138" s="153">
        <v>1</v>
      </c>
      <c r="M138" s="153">
        <v>0</v>
      </c>
      <c r="N138" s="153">
        <v>9</v>
      </c>
      <c r="O138" s="153">
        <v>10</v>
      </c>
      <c r="P138" s="153">
        <v>3090</v>
      </c>
      <c r="Q138" s="153">
        <v>50</v>
      </c>
      <c r="R138" s="153">
        <v>34.5</v>
      </c>
      <c r="S138" s="153">
        <v>34</v>
      </c>
      <c r="T138" s="155">
        <v>31667</v>
      </c>
      <c r="U138" s="153">
        <v>34.61</v>
      </c>
      <c r="V138" s="153">
        <v>4</v>
      </c>
      <c r="W138" s="153">
        <v>0</v>
      </c>
      <c r="X138" s="153">
        <v>0</v>
      </c>
      <c r="Y138" s="153">
        <v>4</v>
      </c>
      <c r="Z138" s="153">
        <v>0</v>
      </c>
      <c r="AA138" s="153">
        <v>0</v>
      </c>
      <c r="AB138" s="153">
        <v>0</v>
      </c>
      <c r="AC138" s="153">
        <v>0</v>
      </c>
      <c r="AD138" s="153">
        <v>0</v>
      </c>
      <c r="AE138" s="153">
        <v>0</v>
      </c>
      <c r="AF138" s="153">
        <v>0</v>
      </c>
      <c r="AG138" s="153">
        <v>0</v>
      </c>
      <c r="AH138" s="153">
        <v>0</v>
      </c>
      <c r="AI138" s="153">
        <v>0</v>
      </c>
      <c r="AJ138" s="153">
        <v>0</v>
      </c>
      <c r="AK138" s="153">
        <v>0</v>
      </c>
      <c r="AL138" s="153">
        <v>0</v>
      </c>
      <c r="AM138" s="153">
        <v>0</v>
      </c>
      <c r="AN138" s="153">
        <v>0</v>
      </c>
      <c r="AO138" s="153">
        <v>0</v>
      </c>
      <c r="AP138" s="153">
        <v>0</v>
      </c>
      <c r="AQ138" s="153">
        <v>0</v>
      </c>
      <c r="AR138" s="153">
        <v>1</v>
      </c>
      <c r="AS138" s="153">
        <v>0</v>
      </c>
      <c r="AT138" s="153">
        <v>0</v>
      </c>
      <c r="AU138" s="153">
        <v>0</v>
      </c>
      <c r="AV138" s="153">
        <v>0</v>
      </c>
      <c r="AW138" s="153">
        <v>0</v>
      </c>
      <c r="AX138" s="153">
        <v>0</v>
      </c>
      <c r="AY138" s="153">
        <v>0</v>
      </c>
      <c r="AZ138" s="153">
        <v>0</v>
      </c>
      <c r="BA138" s="153">
        <v>0</v>
      </c>
      <c r="BB138" s="153">
        <v>0</v>
      </c>
      <c r="BC138" s="153">
        <v>0</v>
      </c>
      <c r="BD138" s="153">
        <v>0</v>
      </c>
      <c r="BE138" s="153">
        <v>0</v>
      </c>
      <c r="BF138" s="153">
        <v>0</v>
      </c>
      <c r="BG138" s="153">
        <v>0</v>
      </c>
      <c r="BH138" s="153">
        <v>0</v>
      </c>
      <c r="BI138" s="153">
        <v>0</v>
      </c>
      <c r="BJ138" s="153">
        <v>0</v>
      </c>
      <c r="BK138" s="153">
        <v>0</v>
      </c>
      <c r="BL138" s="153">
        <v>0</v>
      </c>
      <c r="BM138" s="153">
        <v>0</v>
      </c>
      <c r="BN138" s="153">
        <v>0</v>
      </c>
      <c r="BO138" s="153">
        <v>0</v>
      </c>
      <c r="BP138" s="153">
        <v>0</v>
      </c>
      <c r="BQ138" s="153">
        <v>0</v>
      </c>
      <c r="BR138" s="153">
        <v>0</v>
      </c>
      <c r="BS138" s="153">
        <v>0</v>
      </c>
      <c r="BT138" s="153">
        <v>0</v>
      </c>
      <c r="BU138" s="153">
        <v>0</v>
      </c>
      <c r="BV138" s="153">
        <v>0</v>
      </c>
      <c r="BW138" s="153">
        <v>0</v>
      </c>
      <c r="BX138" s="153">
        <v>0</v>
      </c>
      <c r="BY138" s="153">
        <v>0</v>
      </c>
      <c r="BZ138" s="153">
        <v>1</v>
      </c>
      <c r="CA138" s="153" t="s">
        <v>1069</v>
      </c>
      <c r="CB138" s="153">
        <v>0</v>
      </c>
      <c r="CC138" s="153" t="s">
        <v>947</v>
      </c>
      <c r="CD138" s="153">
        <v>0</v>
      </c>
      <c r="CE138" s="153" t="s">
        <v>947</v>
      </c>
      <c r="CF138" s="153" t="s">
        <v>947</v>
      </c>
      <c r="CG138" s="153">
        <v>1</v>
      </c>
      <c r="CH138" s="153" t="s">
        <v>955</v>
      </c>
      <c r="CI138" s="153" t="s">
        <v>1345</v>
      </c>
      <c r="CJ138" s="153" t="s">
        <v>1069</v>
      </c>
      <c r="CK138" s="157" t="s">
        <v>1368</v>
      </c>
      <c r="CL138" s="153">
        <v>0</v>
      </c>
      <c r="CM138" s="153" t="s">
        <v>947</v>
      </c>
      <c r="CN138" s="153" t="s">
        <v>947</v>
      </c>
      <c r="CO138" s="153">
        <v>0</v>
      </c>
      <c r="CP138" s="153" t="s">
        <v>947</v>
      </c>
      <c r="CQ138" s="153" t="s">
        <v>947</v>
      </c>
      <c r="CR138" s="153">
        <v>0</v>
      </c>
      <c r="CS138" s="153" t="s">
        <v>947</v>
      </c>
      <c r="CT138" s="153" t="s">
        <v>947</v>
      </c>
      <c r="CU138" s="153">
        <v>0</v>
      </c>
      <c r="CV138" s="153" t="s">
        <v>947</v>
      </c>
      <c r="CW138" s="153" t="s">
        <v>947</v>
      </c>
      <c r="CX138" s="153">
        <v>1</v>
      </c>
      <c r="CY138" s="153" t="s">
        <v>965</v>
      </c>
      <c r="CZ138" s="153">
        <v>2</v>
      </c>
      <c r="DA138" s="153"/>
      <c r="DB138" s="158"/>
    </row>
    <row r="139" spans="1:106" s="127" customFormat="1" ht="16">
      <c r="A139" s="125" t="s">
        <v>584</v>
      </c>
      <c r="B139" s="167">
        <v>22106433</v>
      </c>
      <c r="C139" s="175" t="s">
        <v>1369</v>
      </c>
      <c r="D139" s="167"/>
      <c r="E139" s="167"/>
      <c r="F139" s="167"/>
      <c r="G139" s="167"/>
      <c r="H139" s="167"/>
      <c r="I139" s="167"/>
      <c r="J139" s="167"/>
      <c r="K139" s="167"/>
      <c r="L139" s="167"/>
      <c r="M139" s="167"/>
      <c r="N139" s="167"/>
      <c r="O139" s="167"/>
      <c r="P139" s="167"/>
      <c r="Q139" s="167"/>
      <c r="R139" s="167"/>
      <c r="S139" s="167"/>
      <c r="T139" s="168">
        <v>31503</v>
      </c>
      <c r="U139" s="167">
        <v>34.763888889999997</v>
      </c>
      <c r="V139" s="167"/>
      <c r="W139" s="167"/>
      <c r="X139" s="167"/>
      <c r="Y139" s="167"/>
      <c r="Z139" s="167"/>
      <c r="AA139" s="167"/>
      <c r="AB139" s="167"/>
      <c r="AC139" s="167"/>
      <c r="AD139" s="167"/>
      <c r="AE139" s="167"/>
      <c r="AF139" s="167"/>
      <c r="AG139" s="167"/>
      <c r="AH139" s="167"/>
      <c r="AI139" s="167"/>
      <c r="AJ139" s="167"/>
      <c r="AK139" s="167"/>
      <c r="AL139" s="167"/>
      <c r="AM139" s="167"/>
      <c r="AN139" s="167"/>
      <c r="AO139" s="167"/>
      <c r="AP139" s="167"/>
      <c r="AQ139" s="167"/>
      <c r="AR139" s="167"/>
      <c r="AS139" s="167"/>
      <c r="AT139" s="167"/>
      <c r="AU139" s="167"/>
      <c r="AV139" s="167"/>
      <c r="AW139" s="167"/>
      <c r="AX139" s="167"/>
      <c r="AY139" s="167"/>
      <c r="AZ139" s="167"/>
      <c r="BA139" s="167"/>
      <c r="BB139" s="167"/>
      <c r="BC139" s="167"/>
      <c r="BD139" s="167"/>
      <c r="BE139" s="167"/>
      <c r="BF139" s="167"/>
      <c r="BG139" s="167"/>
      <c r="BH139" s="167"/>
      <c r="BI139" s="167"/>
      <c r="BJ139" s="167"/>
      <c r="BK139" s="167"/>
      <c r="BL139" s="167"/>
      <c r="BM139" s="167"/>
      <c r="BN139" s="167"/>
      <c r="BO139" s="167"/>
      <c r="BP139" s="167"/>
      <c r="BQ139" s="167"/>
      <c r="BR139" s="167"/>
      <c r="BS139" s="167"/>
      <c r="BT139" s="167"/>
      <c r="BU139" s="167"/>
      <c r="BV139" s="167"/>
      <c r="BW139" s="167"/>
      <c r="BX139" s="167"/>
      <c r="BY139" s="167"/>
      <c r="BZ139" s="167"/>
      <c r="CA139" s="167"/>
      <c r="CB139" s="167"/>
      <c r="CC139" s="167"/>
      <c r="CD139" s="167"/>
      <c r="CE139" s="167"/>
      <c r="CF139" s="167"/>
      <c r="CG139" s="167"/>
      <c r="CH139" s="167"/>
      <c r="CI139" s="167"/>
      <c r="CJ139" s="167"/>
      <c r="CK139" s="167"/>
      <c r="CL139" s="167"/>
      <c r="CM139" s="167"/>
      <c r="CN139" s="167"/>
      <c r="CO139" s="167"/>
      <c r="CP139" s="167"/>
      <c r="CQ139" s="167"/>
      <c r="CR139" s="167"/>
      <c r="CS139" s="167"/>
      <c r="CT139" s="167"/>
      <c r="CU139" s="167"/>
      <c r="CV139" s="167"/>
      <c r="CW139" s="167"/>
      <c r="CX139" s="167"/>
      <c r="CY139" s="167"/>
      <c r="CZ139" s="167"/>
      <c r="DA139" s="167"/>
      <c r="DB139" s="169"/>
    </row>
    <row r="140" spans="1:106" s="110" customFormat="1" ht="16">
      <c r="A140" s="107" t="s">
        <v>589</v>
      </c>
      <c r="B140" s="153">
        <v>22108915</v>
      </c>
      <c r="C140" s="157" t="s">
        <v>1370</v>
      </c>
      <c r="D140" s="155">
        <v>44645</v>
      </c>
      <c r="E140" s="153">
        <v>70.2</v>
      </c>
      <c r="F140" s="153">
        <v>9.5</v>
      </c>
      <c r="G140" s="153">
        <v>19.28</v>
      </c>
      <c r="H140" s="153">
        <v>44.3</v>
      </c>
      <c r="I140" s="153">
        <v>38</v>
      </c>
      <c r="J140" s="153">
        <v>6</v>
      </c>
      <c r="K140" s="153">
        <v>0</v>
      </c>
      <c r="L140" s="153">
        <v>1</v>
      </c>
      <c r="M140" s="153">
        <v>1</v>
      </c>
      <c r="N140" s="153">
        <v>9</v>
      </c>
      <c r="O140" s="153">
        <v>10</v>
      </c>
      <c r="P140" s="153">
        <v>3570</v>
      </c>
      <c r="Q140" s="153">
        <v>50.5</v>
      </c>
      <c r="R140" s="153">
        <v>35.5</v>
      </c>
      <c r="S140" s="153">
        <v>32</v>
      </c>
      <c r="T140" s="155">
        <v>30579</v>
      </c>
      <c r="U140" s="153">
        <v>38</v>
      </c>
      <c r="V140" s="153">
        <v>1</v>
      </c>
      <c r="W140" s="153">
        <v>0</v>
      </c>
      <c r="X140" s="153">
        <v>1</v>
      </c>
      <c r="Y140" s="153">
        <v>1</v>
      </c>
      <c r="Z140" s="153">
        <v>0</v>
      </c>
      <c r="AA140" s="153">
        <v>0</v>
      </c>
      <c r="AB140" s="153">
        <v>0</v>
      </c>
      <c r="AC140" s="153">
        <v>0</v>
      </c>
      <c r="AD140" s="153">
        <v>0</v>
      </c>
      <c r="AE140" s="153">
        <v>0</v>
      </c>
      <c r="AF140" s="153">
        <v>0</v>
      </c>
      <c r="AG140" s="153">
        <v>0</v>
      </c>
      <c r="AH140" s="153">
        <v>1</v>
      </c>
      <c r="AI140" s="153">
        <v>1</v>
      </c>
      <c r="AJ140" s="153">
        <v>0</v>
      </c>
      <c r="AK140" s="153">
        <v>0</v>
      </c>
      <c r="AL140" s="153">
        <v>1</v>
      </c>
      <c r="AM140" s="153">
        <v>10</v>
      </c>
      <c r="AN140" s="153">
        <v>0</v>
      </c>
      <c r="AO140" s="153">
        <v>0</v>
      </c>
      <c r="AP140" s="153">
        <v>0</v>
      </c>
      <c r="AQ140" s="153">
        <v>0</v>
      </c>
      <c r="AR140" s="153">
        <v>1</v>
      </c>
      <c r="AS140" s="153">
        <v>1</v>
      </c>
      <c r="AT140" s="153">
        <v>0</v>
      </c>
      <c r="AU140" s="153">
        <v>0</v>
      </c>
      <c r="AV140" s="153">
        <v>0</v>
      </c>
      <c r="AW140" s="153">
        <v>0</v>
      </c>
      <c r="AX140" s="157" t="s">
        <v>1371</v>
      </c>
      <c r="AY140" s="153">
        <v>0</v>
      </c>
      <c r="AZ140" s="153">
        <v>0</v>
      </c>
      <c r="BA140" s="153">
        <v>0</v>
      </c>
      <c r="BB140" s="153">
        <v>0</v>
      </c>
      <c r="BC140" s="153">
        <v>0</v>
      </c>
      <c r="BD140" s="153">
        <v>0</v>
      </c>
      <c r="BE140" s="153">
        <v>0</v>
      </c>
      <c r="BF140" s="153">
        <v>0</v>
      </c>
      <c r="BG140" s="153">
        <v>0</v>
      </c>
      <c r="BH140" s="153">
        <v>0</v>
      </c>
      <c r="BI140" s="153">
        <v>0</v>
      </c>
      <c r="BJ140" s="153">
        <v>0</v>
      </c>
      <c r="BK140" s="153">
        <v>1</v>
      </c>
      <c r="BL140" s="153">
        <v>0</v>
      </c>
      <c r="BM140" s="153">
        <v>0</v>
      </c>
      <c r="BN140" s="153">
        <v>0</v>
      </c>
      <c r="BO140" s="153">
        <v>0</v>
      </c>
      <c r="BP140" s="153">
        <v>0</v>
      </c>
      <c r="BQ140" s="153">
        <v>1</v>
      </c>
      <c r="BR140" s="153">
        <v>0</v>
      </c>
      <c r="BS140" s="153">
        <v>0</v>
      </c>
      <c r="BT140" s="153">
        <v>0</v>
      </c>
      <c r="BU140" s="153">
        <v>0</v>
      </c>
      <c r="BV140" s="153">
        <v>0</v>
      </c>
      <c r="BW140" s="153">
        <v>0</v>
      </c>
      <c r="BX140" s="153">
        <v>0</v>
      </c>
      <c r="BY140" s="153">
        <v>0</v>
      </c>
      <c r="BZ140" s="153">
        <v>1</v>
      </c>
      <c r="CA140" s="153" t="s">
        <v>986</v>
      </c>
      <c r="CB140" s="153">
        <v>0</v>
      </c>
      <c r="CC140" s="153" t="s">
        <v>947</v>
      </c>
      <c r="CD140" s="153">
        <v>1</v>
      </c>
      <c r="CE140" s="153" t="s">
        <v>946</v>
      </c>
      <c r="CF140" s="157" t="s">
        <v>1326</v>
      </c>
      <c r="CG140" s="153">
        <v>0</v>
      </c>
      <c r="CH140" s="153" t="s">
        <v>947</v>
      </c>
      <c r="CI140" s="153">
        <v>0</v>
      </c>
      <c r="CJ140" s="153" t="s">
        <v>947</v>
      </c>
      <c r="CK140" s="153" t="s">
        <v>947</v>
      </c>
      <c r="CL140" s="153">
        <v>1</v>
      </c>
      <c r="CM140" s="153" t="s">
        <v>960</v>
      </c>
      <c r="CN140" s="157" t="s">
        <v>982</v>
      </c>
      <c r="CO140" s="153">
        <v>0</v>
      </c>
      <c r="CP140" s="153" t="s">
        <v>947</v>
      </c>
      <c r="CQ140" s="153" t="s">
        <v>947</v>
      </c>
      <c r="CR140" s="153">
        <v>0</v>
      </c>
      <c r="CS140" s="153" t="s">
        <v>947</v>
      </c>
      <c r="CT140" s="153" t="s">
        <v>947</v>
      </c>
      <c r="CU140" s="153">
        <v>0</v>
      </c>
      <c r="CV140" s="153" t="s">
        <v>947</v>
      </c>
      <c r="CW140" s="153" t="s">
        <v>947</v>
      </c>
      <c r="CX140" s="153">
        <v>1</v>
      </c>
      <c r="CY140" s="153" t="s">
        <v>965</v>
      </c>
      <c r="CZ140" s="153">
        <v>2</v>
      </c>
      <c r="DA140" s="153"/>
      <c r="DB140" s="158"/>
    </row>
    <row r="141" spans="1:106" ht="16">
      <c r="A141" s="1" t="s">
        <v>593</v>
      </c>
      <c r="B141" s="137">
        <v>16902223</v>
      </c>
      <c r="C141" s="161" t="s">
        <v>1372</v>
      </c>
      <c r="D141" s="159">
        <v>44627</v>
      </c>
      <c r="E141" s="137">
        <v>61.7</v>
      </c>
      <c r="F141" s="137">
        <v>5.8</v>
      </c>
      <c r="G141" s="137">
        <v>15.24</v>
      </c>
      <c r="H141" s="137">
        <v>40</v>
      </c>
      <c r="I141" s="137">
        <v>26</v>
      </c>
      <c r="J141" s="137">
        <v>0</v>
      </c>
      <c r="K141" s="137">
        <v>1</v>
      </c>
      <c r="L141" s="137">
        <v>2</v>
      </c>
      <c r="M141" s="137">
        <v>0</v>
      </c>
      <c r="N141" s="137">
        <v>2</v>
      </c>
      <c r="O141" s="137">
        <v>2</v>
      </c>
      <c r="P141" s="137">
        <v>630</v>
      </c>
      <c r="Q141" s="137">
        <v>30.5</v>
      </c>
      <c r="R141" s="137">
        <v>22</v>
      </c>
      <c r="S141" s="137">
        <v>18.5</v>
      </c>
      <c r="T141" s="159">
        <v>29563</v>
      </c>
      <c r="U141" s="137">
        <v>40.39</v>
      </c>
      <c r="V141" s="137">
        <v>0</v>
      </c>
      <c r="W141" s="137">
        <v>1</v>
      </c>
      <c r="X141" s="137">
        <v>0</v>
      </c>
      <c r="Y141" s="137">
        <v>1</v>
      </c>
      <c r="Z141" s="137">
        <v>0</v>
      </c>
      <c r="AA141" s="137">
        <v>0</v>
      </c>
      <c r="AB141" s="137">
        <v>0</v>
      </c>
      <c r="AC141" s="137">
        <v>1</v>
      </c>
      <c r="AD141" s="137">
        <v>0</v>
      </c>
      <c r="AE141" s="137">
        <v>0</v>
      </c>
      <c r="AF141" s="137">
        <v>0</v>
      </c>
      <c r="AG141" s="137">
        <v>0</v>
      </c>
      <c r="AH141" s="137">
        <v>0</v>
      </c>
      <c r="AI141" s="137">
        <v>1</v>
      </c>
      <c r="AJ141" s="137">
        <v>0</v>
      </c>
      <c r="AK141" s="137">
        <v>0</v>
      </c>
      <c r="AL141" s="137">
        <v>0</v>
      </c>
      <c r="AM141" s="137">
        <v>0</v>
      </c>
      <c r="AN141" s="137">
        <v>0</v>
      </c>
      <c r="AO141" s="137">
        <v>0</v>
      </c>
      <c r="AP141" s="137">
        <v>1</v>
      </c>
      <c r="AQ141" s="137">
        <v>2</v>
      </c>
      <c r="AR141" s="137">
        <v>1</v>
      </c>
      <c r="AS141" s="137">
        <v>0</v>
      </c>
      <c r="AT141" s="137">
        <v>0</v>
      </c>
      <c r="AU141" s="137">
        <v>0</v>
      </c>
      <c r="AV141" s="137">
        <v>0</v>
      </c>
      <c r="AW141" s="137">
        <v>0</v>
      </c>
      <c r="AX141" s="137">
        <v>0</v>
      </c>
      <c r="AY141" s="137">
        <v>0</v>
      </c>
      <c r="AZ141" s="137">
        <v>0</v>
      </c>
      <c r="BA141" s="137">
        <v>0</v>
      </c>
      <c r="BB141" s="137">
        <v>0</v>
      </c>
      <c r="BC141" s="137">
        <v>0</v>
      </c>
      <c r="BD141" s="137">
        <v>0</v>
      </c>
      <c r="BE141" s="137">
        <v>0</v>
      </c>
      <c r="BF141" s="137">
        <v>0</v>
      </c>
      <c r="BG141" s="137">
        <v>0</v>
      </c>
      <c r="BH141" s="137">
        <v>0</v>
      </c>
      <c r="BI141" s="137">
        <v>0</v>
      </c>
      <c r="BJ141" s="137">
        <v>0</v>
      </c>
      <c r="BK141" s="137">
        <v>1</v>
      </c>
      <c r="BL141" s="137">
        <v>0</v>
      </c>
      <c r="BM141" s="137">
        <v>1</v>
      </c>
      <c r="BN141" s="137">
        <v>0</v>
      </c>
      <c r="BO141" s="137">
        <v>0</v>
      </c>
      <c r="BP141" s="137">
        <v>0</v>
      </c>
      <c r="BQ141" s="137">
        <v>1</v>
      </c>
      <c r="BR141" s="137">
        <v>1</v>
      </c>
      <c r="BS141" s="137">
        <v>0</v>
      </c>
      <c r="BT141" s="137">
        <v>0</v>
      </c>
      <c r="BU141" s="137">
        <v>1</v>
      </c>
      <c r="BV141" s="137">
        <v>0</v>
      </c>
      <c r="BW141" s="137">
        <v>0</v>
      </c>
      <c r="BX141" s="137">
        <v>0</v>
      </c>
      <c r="BY141" s="137">
        <v>0</v>
      </c>
      <c r="BZ141" s="137">
        <v>1</v>
      </c>
      <c r="CA141" s="161" t="s">
        <v>1373</v>
      </c>
      <c r="CB141" s="137">
        <v>1</v>
      </c>
      <c r="CC141" s="161" t="s">
        <v>1374</v>
      </c>
      <c r="CD141" s="137">
        <v>1</v>
      </c>
      <c r="CE141" s="137" t="s">
        <v>946</v>
      </c>
      <c r="CF141" s="161" t="s">
        <v>1375</v>
      </c>
      <c r="CG141" s="137">
        <v>0</v>
      </c>
      <c r="CH141" s="137" t="s">
        <v>947</v>
      </c>
      <c r="CI141" s="137">
        <v>0</v>
      </c>
      <c r="CJ141" s="137" t="s">
        <v>947</v>
      </c>
      <c r="CK141" s="137" t="s">
        <v>947</v>
      </c>
      <c r="CL141" s="137">
        <v>1</v>
      </c>
      <c r="CM141" s="161" t="s">
        <v>1044</v>
      </c>
      <c r="CN141" s="161" t="s">
        <v>1127</v>
      </c>
      <c r="CO141" s="161" t="s">
        <v>1060</v>
      </c>
      <c r="CP141" s="161" t="s">
        <v>1044</v>
      </c>
      <c r="CQ141" s="161" t="s">
        <v>993</v>
      </c>
      <c r="CR141" s="161" t="s">
        <v>1282</v>
      </c>
      <c r="CS141" s="137" t="s">
        <v>1376</v>
      </c>
      <c r="CT141" s="161" t="s">
        <v>1282</v>
      </c>
      <c r="CU141" s="137">
        <v>0</v>
      </c>
      <c r="CV141" s="137" t="s">
        <v>947</v>
      </c>
      <c r="CW141" s="137" t="s">
        <v>947</v>
      </c>
      <c r="CX141" s="137">
        <v>1</v>
      </c>
      <c r="CY141" s="161" t="s">
        <v>1005</v>
      </c>
      <c r="CZ141" s="137">
        <v>2</v>
      </c>
      <c r="DA141" s="137"/>
      <c r="DB141" s="152"/>
    </row>
    <row r="142" spans="1:106" ht="16">
      <c r="A142" s="1" t="s">
        <v>597</v>
      </c>
      <c r="B142" s="137">
        <v>22108084</v>
      </c>
      <c r="C142" s="161" t="s">
        <v>1377</v>
      </c>
      <c r="D142" s="159">
        <v>44558</v>
      </c>
      <c r="E142" s="137">
        <v>66.400000000000006</v>
      </c>
      <c r="F142" s="137">
        <v>8.5</v>
      </c>
      <c r="G142" s="137">
        <v>19.28</v>
      </c>
      <c r="H142" s="137">
        <v>43</v>
      </c>
      <c r="I142" s="137">
        <v>38</v>
      </c>
      <c r="J142" s="137">
        <v>2</v>
      </c>
      <c r="K142" s="137">
        <v>1</v>
      </c>
      <c r="L142" s="137">
        <v>2</v>
      </c>
      <c r="M142" s="137">
        <v>0</v>
      </c>
      <c r="N142" s="137">
        <v>9</v>
      </c>
      <c r="O142" s="137">
        <v>10</v>
      </c>
      <c r="P142" s="137">
        <v>2860</v>
      </c>
      <c r="Q142" s="137">
        <v>47.5</v>
      </c>
      <c r="R142" s="137">
        <v>32.5</v>
      </c>
      <c r="S142" s="137">
        <v>32</v>
      </c>
      <c r="T142" s="159">
        <v>31427</v>
      </c>
      <c r="U142" s="137">
        <v>35.43</v>
      </c>
      <c r="V142" s="137">
        <v>1</v>
      </c>
      <c r="W142" s="137">
        <v>1</v>
      </c>
      <c r="X142" s="137">
        <v>1</v>
      </c>
      <c r="Y142" s="137">
        <v>2</v>
      </c>
      <c r="Z142" s="137">
        <v>0</v>
      </c>
      <c r="AA142" s="137">
        <v>0</v>
      </c>
      <c r="AB142" s="137">
        <v>0</v>
      </c>
      <c r="AC142" s="137">
        <v>0</v>
      </c>
      <c r="AD142" s="137">
        <v>0</v>
      </c>
      <c r="AE142" s="137">
        <v>0</v>
      </c>
      <c r="AF142" s="137">
        <v>0</v>
      </c>
      <c r="AG142" s="137">
        <v>1</v>
      </c>
      <c r="AH142" s="137">
        <v>0</v>
      </c>
      <c r="AI142" s="137">
        <v>0</v>
      </c>
      <c r="AJ142" s="137">
        <v>0</v>
      </c>
      <c r="AK142" s="137">
        <v>0</v>
      </c>
      <c r="AL142" s="137">
        <v>0</v>
      </c>
      <c r="AM142" s="137">
        <v>0</v>
      </c>
      <c r="AN142" s="137">
        <v>0</v>
      </c>
      <c r="AO142" s="137">
        <v>0</v>
      </c>
      <c r="AP142" s="137">
        <v>0</v>
      </c>
      <c r="AQ142" s="137">
        <v>0</v>
      </c>
      <c r="AR142" s="137">
        <v>1</v>
      </c>
      <c r="AS142" s="137">
        <v>0</v>
      </c>
      <c r="AT142" s="137">
        <v>0</v>
      </c>
      <c r="AU142" s="137">
        <v>0</v>
      </c>
      <c r="AV142" s="137">
        <v>0</v>
      </c>
      <c r="AW142" s="137">
        <v>0</v>
      </c>
      <c r="AX142" s="137">
        <v>0</v>
      </c>
      <c r="AY142" s="137">
        <v>0</v>
      </c>
      <c r="AZ142" s="137">
        <v>0</v>
      </c>
      <c r="BA142" s="137">
        <v>0</v>
      </c>
      <c r="BB142" s="137">
        <v>0</v>
      </c>
      <c r="BC142" s="137">
        <v>0</v>
      </c>
      <c r="BD142" s="137">
        <v>0</v>
      </c>
      <c r="BE142" s="137">
        <v>0</v>
      </c>
      <c r="BF142" s="137">
        <v>0</v>
      </c>
      <c r="BG142" s="137">
        <v>0</v>
      </c>
      <c r="BH142" s="137">
        <v>0</v>
      </c>
      <c r="BI142" s="137">
        <v>0</v>
      </c>
      <c r="BJ142" s="137">
        <v>0</v>
      </c>
      <c r="BK142" s="137">
        <v>0</v>
      </c>
      <c r="BL142" s="137">
        <v>0</v>
      </c>
      <c r="BM142" s="137">
        <v>0</v>
      </c>
      <c r="BN142" s="137">
        <v>0</v>
      </c>
      <c r="BO142" s="137">
        <v>0</v>
      </c>
      <c r="BP142" s="137">
        <v>0</v>
      </c>
      <c r="BQ142" s="137">
        <v>0</v>
      </c>
      <c r="BR142" s="137">
        <v>0</v>
      </c>
      <c r="BS142" s="137">
        <v>0</v>
      </c>
      <c r="BT142" s="137">
        <v>0</v>
      </c>
      <c r="BU142" s="137">
        <v>0</v>
      </c>
      <c r="BV142" s="137">
        <v>0</v>
      </c>
      <c r="BW142" s="137">
        <v>0</v>
      </c>
      <c r="BX142" s="137">
        <v>0</v>
      </c>
      <c r="BY142" s="137">
        <v>0</v>
      </c>
      <c r="BZ142" s="137">
        <v>1</v>
      </c>
      <c r="CA142" s="137" t="s">
        <v>1003</v>
      </c>
      <c r="CB142" s="137">
        <v>0</v>
      </c>
      <c r="CC142" s="137" t="s">
        <v>947</v>
      </c>
      <c r="CD142" s="137">
        <v>1</v>
      </c>
      <c r="CE142" s="137" t="s">
        <v>946</v>
      </c>
      <c r="CF142" s="137" t="s">
        <v>1378</v>
      </c>
      <c r="CG142" s="137">
        <v>0</v>
      </c>
      <c r="CH142" s="137" t="s">
        <v>947</v>
      </c>
      <c r="CI142" s="137">
        <v>0</v>
      </c>
      <c r="CJ142" s="137" t="s">
        <v>947</v>
      </c>
      <c r="CK142" s="137" t="s">
        <v>947</v>
      </c>
      <c r="CL142" s="137">
        <v>0</v>
      </c>
      <c r="CM142" s="137" t="s">
        <v>947</v>
      </c>
      <c r="CN142" s="137" t="s">
        <v>947</v>
      </c>
      <c r="CO142" s="137">
        <v>0</v>
      </c>
      <c r="CP142" s="137" t="s">
        <v>947</v>
      </c>
      <c r="CQ142" s="137" t="s">
        <v>947</v>
      </c>
      <c r="CR142" s="137">
        <v>0</v>
      </c>
      <c r="CS142" s="137" t="s">
        <v>947</v>
      </c>
      <c r="CT142" s="137" t="s">
        <v>947</v>
      </c>
      <c r="CU142" s="137">
        <v>1</v>
      </c>
      <c r="CV142" s="137" t="s">
        <v>1379</v>
      </c>
      <c r="CW142" s="161" t="s">
        <v>1322</v>
      </c>
      <c r="CX142" s="137">
        <v>1</v>
      </c>
      <c r="CY142" s="137" t="s">
        <v>965</v>
      </c>
      <c r="CZ142" s="137">
        <v>2</v>
      </c>
      <c r="DA142" s="137"/>
      <c r="DB142" s="152"/>
    </row>
    <row r="143" spans="1:106" ht="16">
      <c r="A143" s="1" t="s">
        <v>601</v>
      </c>
      <c r="B143" s="137">
        <v>22107115</v>
      </c>
      <c r="C143" s="161" t="s">
        <v>1380</v>
      </c>
      <c r="D143" s="159">
        <v>44538</v>
      </c>
      <c r="E143" s="137">
        <v>58.6</v>
      </c>
      <c r="F143" s="137">
        <v>6.1</v>
      </c>
      <c r="G143" s="137">
        <v>17.760000000000002</v>
      </c>
      <c r="H143" s="137">
        <v>39.5</v>
      </c>
      <c r="I143" s="137">
        <v>24</v>
      </c>
      <c r="J143" s="137">
        <v>1</v>
      </c>
      <c r="K143" s="137">
        <v>1</v>
      </c>
      <c r="L143" s="137">
        <v>1</v>
      </c>
      <c r="M143" s="137">
        <v>0</v>
      </c>
      <c r="N143" s="137">
        <v>5</v>
      </c>
      <c r="O143" s="137">
        <v>6</v>
      </c>
      <c r="P143" s="137">
        <v>710</v>
      </c>
      <c r="Q143" s="137">
        <v>30</v>
      </c>
      <c r="R143" s="137">
        <v>21</v>
      </c>
      <c r="S143" s="137">
        <v>20</v>
      </c>
      <c r="T143" s="159">
        <v>33935</v>
      </c>
      <c r="U143" s="137">
        <v>28.29</v>
      </c>
      <c r="V143" s="137">
        <v>0</v>
      </c>
      <c r="W143" s="137">
        <v>1</v>
      </c>
      <c r="X143" s="137">
        <v>0</v>
      </c>
      <c r="Y143" s="137">
        <v>1</v>
      </c>
      <c r="Z143" s="137">
        <v>0</v>
      </c>
      <c r="AA143" s="137">
        <v>0</v>
      </c>
      <c r="AB143" s="137">
        <v>0</v>
      </c>
      <c r="AC143" s="137">
        <v>1</v>
      </c>
      <c r="AD143" s="137">
        <v>0</v>
      </c>
      <c r="AE143" s="137">
        <v>0</v>
      </c>
      <c r="AF143" s="137">
        <v>0</v>
      </c>
      <c r="AG143" s="137">
        <v>1</v>
      </c>
      <c r="AH143" s="137">
        <v>0</v>
      </c>
      <c r="AI143" s="137">
        <v>1</v>
      </c>
      <c r="AJ143" s="137">
        <v>0</v>
      </c>
      <c r="AK143" s="137">
        <v>0</v>
      </c>
      <c r="AL143" s="137">
        <v>1</v>
      </c>
      <c r="AM143" s="137">
        <v>10</v>
      </c>
      <c r="AN143" s="137">
        <v>1</v>
      </c>
      <c r="AO143" s="137">
        <v>10</v>
      </c>
      <c r="AP143" s="137">
        <v>0</v>
      </c>
      <c r="AQ143" s="137">
        <v>0</v>
      </c>
      <c r="AR143" s="137" t="s">
        <v>1021</v>
      </c>
      <c r="AS143" s="137">
        <v>0</v>
      </c>
      <c r="AT143" s="137">
        <v>0</v>
      </c>
      <c r="AU143" s="137">
        <v>0</v>
      </c>
      <c r="AV143" s="137">
        <v>0</v>
      </c>
      <c r="AW143" s="137">
        <v>0</v>
      </c>
      <c r="AX143" s="137">
        <v>0</v>
      </c>
      <c r="AY143" s="137">
        <v>0</v>
      </c>
      <c r="AZ143" s="137">
        <v>0</v>
      </c>
      <c r="BA143" s="137">
        <v>0</v>
      </c>
      <c r="BB143" s="137">
        <v>0</v>
      </c>
      <c r="BC143" s="137">
        <v>0</v>
      </c>
      <c r="BD143" s="137">
        <v>0</v>
      </c>
      <c r="BE143" s="137">
        <v>0</v>
      </c>
      <c r="BF143" s="137">
        <v>0</v>
      </c>
      <c r="BG143" s="137">
        <v>0</v>
      </c>
      <c r="BH143" s="137">
        <v>0</v>
      </c>
      <c r="BI143" s="137">
        <v>0</v>
      </c>
      <c r="BJ143" s="137">
        <v>0</v>
      </c>
      <c r="BK143" s="137">
        <v>1</v>
      </c>
      <c r="BL143" s="137">
        <v>0</v>
      </c>
      <c r="BM143" s="137">
        <v>1</v>
      </c>
      <c r="BN143" s="137">
        <v>0</v>
      </c>
      <c r="BO143" s="137">
        <v>0</v>
      </c>
      <c r="BP143" s="137">
        <v>0</v>
      </c>
      <c r="BQ143" s="137">
        <v>0</v>
      </c>
      <c r="BR143" s="137">
        <v>0</v>
      </c>
      <c r="BS143" s="137">
        <v>0</v>
      </c>
      <c r="BT143" s="137">
        <v>0</v>
      </c>
      <c r="BU143" s="137">
        <v>0</v>
      </c>
      <c r="BV143" s="137">
        <v>0</v>
      </c>
      <c r="BW143" s="137">
        <v>0</v>
      </c>
      <c r="BX143" s="137">
        <v>0</v>
      </c>
      <c r="BY143" s="137">
        <v>0</v>
      </c>
      <c r="BZ143" s="137">
        <v>0</v>
      </c>
      <c r="CA143" s="137" t="s">
        <v>947</v>
      </c>
      <c r="CB143" s="137">
        <v>0</v>
      </c>
      <c r="CC143" s="137" t="s">
        <v>947</v>
      </c>
      <c r="CD143" s="137">
        <v>1</v>
      </c>
      <c r="CE143" s="137" t="s">
        <v>946</v>
      </c>
      <c r="CF143" s="161" t="s">
        <v>1359</v>
      </c>
      <c r="CG143" s="137">
        <v>1</v>
      </c>
      <c r="CH143" s="137" t="s">
        <v>1381</v>
      </c>
      <c r="CI143" s="137">
        <v>0</v>
      </c>
      <c r="CJ143" s="137" t="s">
        <v>947</v>
      </c>
      <c r="CK143" s="137" t="s">
        <v>947</v>
      </c>
      <c r="CL143" s="137">
        <v>1</v>
      </c>
      <c r="CM143" s="137" t="s">
        <v>1382</v>
      </c>
      <c r="CN143" s="161" t="s">
        <v>1383</v>
      </c>
      <c r="CO143" s="161" t="s">
        <v>1384</v>
      </c>
      <c r="CP143" s="137" t="s">
        <v>1381</v>
      </c>
      <c r="CQ143" s="161" t="s">
        <v>1383</v>
      </c>
      <c r="CR143" s="161" t="s">
        <v>1385</v>
      </c>
      <c r="CS143" s="161" t="s">
        <v>1044</v>
      </c>
      <c r="CT143" s="161" t="s">
        <v>1386</v>
      </c>
      <c r="CU143" s="137">
        <v>1</v>
      </c>
      <c r="CV143" s="137" t="s">
        <v>1381</v>
      </c>
      <c r="CW143" s="161" t="s">
        <v>1387</v>
      </c>
      <c r="CX143" s="137">
        <v>0</v>
      </c>
      <c r="CY143" s="137" t="s">
        <v>947</v>
      </c>
      <c r="CZ143" s="137">
        <v>1</v>
      </c>
      <c r="DA143" s="137"/>
      <c r="DB143" s="152"/>
    </row>
    <row r="144" spans="1:106" ht="16">
      <c r="A144" s="1" t="s">
        <v>604</v>
      </c>
      <c r="B144" s="137">
        <v>22106626</v>
      </c>
      <c r="C144" s="161" t="s">
        <v>1388</v>
      </c>
      <c r="D144" s="159">
        <v>44525</v>
      </c>
      <c r="E144" s="137">
        <v>54.9</v>
      </c>
      <c r="F144" s="137">
        <v>5.3</v>
      </c>
      <c r="G144" s="137">
        <v>17.579999999999998</v>
      </c>
      <c r="H144" s="137">
        <v>38</v>
      </c>
      <c r="I144" s="137">
        <v>25</v>
      </c>
      <c r="J144" s="137">
        <v>2</v>
      </c>
      <c r="K144" s="137">
        <v>1</v>
      </c>
      <c r="L144" s="137">
        <v>1</v>
      </c>
      <c r="M144" s="137">
        <v>0</v>
      </c>
      <c r="N144" s="137">
        <v>5</v>
      </c>
      <c r="O144" s="137">
        <v>7</v>
      </c>
      <c r="P144" s="137">
        <v>692</v>
      </c>
      <c r="Q144" s="137">
        <v>27</v>
      </c>
      <c r="R144" s="137">
        <v>22</v>
      </c>
      <c r="S144" s="137">
        <v>20</v>
      </c>
      <c r="T144" s="159">
        <v>33834</v>
      </c>
      <c r="U144" s="137">
        <v>28.44</v>
      </c>
      <c r="V144" s="137">
        <v>0</v>
      </c>
      <c r="W144" s="137">
        <v>1</v>
      </c>
      <c r="X144" s="137">
        <v>0</v>
      </c>
      <c r="Y144" s="137">
        <v>1</v>
      </c>
      <c r="Z144" s="137">
        <v>0</v>
      </c>
      <c r="AA144" s="137">
        <v>0</v>
      </c>
      <c r="AB144" s="137">
        <v>0</v>
      </c>
      <c r="AC144" s="137">
        <v>1</v>
      </c>
      <c r="AD144" s="137">
        <v>1</v>
      </c>
      <c r="AE144" s="137">
        <v>0</v>
      </c>
      <c r="AF144" s="137">
        <v>0</v>
      </c>
      <c r="AG144" s="137">
        <v>0</v>
      </c>
      <c r="AH144" s="137">
        <v>1</v>
      </c>
      <c r="AI144" s="137">
        <v>1</v>
      </c>
      <c r="AJ144" s="137">
        <v>0</v>
      </c>
      <c r="AK144" s="137">
        <v>0</v>
      </c>
      <c r="AL144" s="137">
        <v>1</v>
      </c>
      <c r="AM144" s="178" t="s">
        <v>1267</v>
      </c>
      <c r="AN144" s="137">
        <v>0</v>
      </c>
      <c r="AO144" s="137">
        <v>0</v>
      </c>
      <c r="AP144" s="137">
        <v>0</v>
      </c>
      <c r="AQ144" s="137">
        <v>0</v>
      </c>
      <c r="AR144" s="137">
        <v>1</v>
      </c>
      <c r="AS144" s="137" t="s">
        <v>978</v>
      </c>
      <c r="AT144" s="137">
        <v>0</v>
      </c>
      <c r="AU144" s="137">
        <v>0</v>
      </c>
      <c r="AV144" s="137">
        <v>0</v>
      </c>
      <c r="AW144" s="137">
        <v>0</v>
      </c>
      <c r="AX144" s="137">
        <v>0</v>
      </c>
      <c r="AY144" s="137">
        <v>1</v>
      </c>
      <c r="AZ144" s="137">
        <v>0</v>
      </c>
      <c r="BA144" s="137">
        <v>0</v>
      </c>
      <c r="BB144" s="137">
        <v>0</v>
      </c>
      <c r="BC144" s="137">
        <v>0</v>
      </c>
      <c r="BD144" s="137">
        <v>0</v>
      </c>
      <c r="BE144" s="137">
        <v>0</v>
      </c>
      <c r="BF144" s="137">
        <v>0</v>
      </c>
      <c r="BG144" s="137">
        <v>0</v>
      </c>
      <c r="BH144" s="137">
        <v>0</v>
      </c>
      <c r="BI144" s="137">
        <v>0</v>
      </c>
      <c r="BJ144" s="161" t="s">
        <v>1111</v>
      </c>
      <c r="BK144" s="137">
        <v>1</v>
      </c>
      <c r="BL144" s="137">
        <v>0</v>
      </c>
      <c r="BM144" s="137">
        <v>0</v>
      </c>
      <c r="BN144" s="137">
        <v>0</v>
      </c>
      <c r="BO144" s="137">
        <v>0</v>
      </c>
      <c r="BP144" s="137">
        <v>0</v>
      </c>
      <c r="BQ144" s="137">
        <v>1</v>
      </c>
      <c r="BR144" s="137">
        <v>0</v>
      </c>
      <c r="BS144" s="137">
        <v>0</v>
      </c>
      <c r="BT144" s="137">
        <v>1</v>
      </c>
      <c r="BU144" s="137">
        <v>0</v>
      </c>
      <c r="BV144" s="161" t="s">
        <v>1111</v>
      </c>
      <c r="BW144" s="137">
        <v>1</v>
      </c>
      <c r="BX144" s="137" t="s">
        <v>1389</v>
      </c>
      <c r="BY144" s="137">
        <v>0</v>
      </c>
      <c r="BZ144" s="137">
        <v>1</v>
      </c>
      <c r="CA144" s="161" t="s">
        <v>1390</v>
      </c>
      <c r="CB144" s="137">
        <v>0</v>
      </c>
      <c r="CC144" s="137" t="s">
        <v>947</v>
      </c>
      <c r="CD144" s="137">
        <v>1</v>
      </c>
      <c r="CE144" s="137" t="s">
        <v>1391</v>
      </c>
      <c r="CF144" s="161" t="s">
        <v>1392</v>
      </c>
      <c r="CG144" s="137">
        <v>1</v>
      </c>
      <c r="CH144" s="137" t="s">
        <v>946</v>
      </c>
      <c r="CI144" s="137">
        <v>0</v>
      </c>
      <c r="CJ144" s="137" t="s">
        <v>947</v>
      </c>
      <c r="CK144" s="137" t="s">
        <v>947</v>
      </c>
      <c r="CL144" s="137">
        <v>1</v>
      </c>
      <c r="CM144" s="137" t="s">
        <v>946</v>
      </c>
      <c r="CN144" s="161" t="s">
        <v>1393</v>
      </c>
      <c r="CO144" s="161" t="s">
        <v>1060</v>
      </c>
      <c r="CP144" s="137" t="s">
        <v>946</v>
      </c>
      <c r="CQ144" s="161" t="s">
        <v>993</v>
      </c>
      <c r="CR144" s="137">
        <v>0</v>
      </c>
      <c r="CS144" s="137" t="s">
        <v>947</v>
      </c>
      <c r="CT144" s="137" t="s">
        <v>947</v>
      </c>
      <c r="CU144" s="137">
        <v>1</v>
      </c>
      <c r="CV144" s="161" t="s">
        <v>1004</v>
      </c>
      <c r="CW144" s="161" t="s">
        <v>1111</v>
      </c>
      <c r="CX144" s="137">
        <v>1</v>
      </c>
      <c r="CY144" s="161" t="s">
        <v>1394</v>
      </c>
      <c r="CZ144" s="137" t="s">
        <v>954</v>
      </c>
      <c r="DA144" s="137"/>
      <c r="DB144" s="152"/>
    </row>
    <row r="145" spans="1:125" ht="16">
      <c r="A145" s="1" t="s">
        <v>608</v>
      </c>
      <c r="B145" s="137">
        <v>22109189</v>
      </c>
      <c r="C145" s="161" t="s">
        <v>1395</v>
      </c>
      <c r="D145" s="159">
        <v>44677</v>
      </c>
      <c r="E145" s="137">
        <v>65.5</v>
      </c>
      <c r="F145" s="137">
        <v>7.5</v>
      </c>
      <c r="G145" s="137">
        <v>17.48</v>
      </c>
      <c r="H145" s="137">
        <v>41.8</v>
      </c>
      <c r="I145" s="137">
        <v>39</v>
      </c>
      <c r="J145" s="137">
        <v>1</v>
      </c>
      <c r="K145" s="137">
        <v>0</v>
      </c>
      <c r="L145" s="137">
        <v>1</v>
      </c>
      <c r="M145" s="137">
        <v>0</v>
      </c>
      <c r="N145" s="137">
        <v>9</v>
      </c>
      <c r="O145" s="137">
        <v>10</v>
      </c>
      <c r="P145" s="137">
        <v>2780</v>
      </c>
      <c r="Q145" s="137">
        <v>47</v>
      </c>
      <c r="R145" s="137">
        <v>33</v>
      </c>
      <c r="S145" s="137">
        <v>31</v>
      </c>
      <c r="T145" s="159">
        <v>32503</v>
      </c>
      <c r="U145" s="137">
        <v>32.819444439999998</v>
      </c>
      <c r="V145" s="137">
        <v>2</v>
      </c>
      <c r="W145" s="137">
        <v>0</v>
      </c>
      <c r="X145" s="137">
        <v>0</v>
      </c>
      <c r="Y145" s="137">
        <v>2</v>
      </c>
      <c r="Z145" s="137">
        <v>0</v>
      </c>
      <c r="AA145" s="137">
        <v>0</v>
      </c>
      <c r="AB145" s="137">
        <v>0</v>
      </c>
      <c r="AC145" s="137">
        <v>0</v>
      </c>
      <c r="AD145" s="137">
        <v>0</v>
      </c>
      <c r="AE145" s="137">
        <v>0</v>
      </c>
      <c r="AF145" s="137">
        <v>0</v>
      </c>
      <c r="AG145" s="137">
        <v>0</v>
      </c>
      <c r="AH145" s="137">
        <v>0</v>
      </c>
      <c r="AI145" s="137">
        <v>0</v>
      </c>
      <c r="AJ145" s="137">
        <v>0</v>
      </c>
      <c r="AK145" s="137">
        <v>0</v>
      </c>
      <c r="AL145" s="137">
        <v>0</v>
      </c>
      <c r="AM145" s="137">
        <v>0</v>
      </c>
      <c r="AN145" s="137">
        <v>0</v>
      </c>
      <c r="AO145" s="137">
        <v>0</v>
      </c>
      <c r="AP145" s="137">
        <v>0</v>
      </c>
      <c r="AQ145" s="137">
        <v>0</v>
      </c>
      <c r="AR145" s="137" t="s">
        <v>1396</v>
      </c>
      <c r="AS145" s="137">
        <v>0</v>
      </c>
      <c r="AT145" s="137">
        <v>0</v>
      </c>
      <c r="AU145" s="137">
        <v>0</v>
      </c>
      <c r="AV145" s="137">
        <v>0</v>
      </c>
      <c r="AW145" s="137">
        <v>0</v>
      </c>
      <c r="AX145" s="137">
        <v>0</v>
      </c>
      <c r="AY145" s="137">
        <v>0</v>
      </c>
      <c r="AZ145" s="137">
        <v>0</v>
      </c>
      <c r="BA145" s="137">
        <v>0</v>
      </c>
      <c r="BB145" s="137">
        <v>0</v>
      </c>
      <c r="BC145" s="137">
        <v>0</v>
      </c>
      <c r="BD145" s="137">
        <v>0</v>
      </c>
      <c r="BE145" s="137">
        <v>0</v>
      </c>
      <c r="BF145" s="137">
        <v>0</v>
      </c>
      <c r="BG145" s="137">
        <v>0</v>
      </c>
      <c r="BH145" s="137">
        <v>0</v>
      </c>
      <c r="BI145" s="137">
        <v>0</v>
      </c>
      <c r="BJ145" s="137">
        <v>0</v>
      </c>
      <c r="BK145" s="137">
        <v>0</v>
      </c>
      <c r="BL145" s="137">
        <v>0</v>
      </c>
      <c r="BM145" s="137">
        <v>0</v>
      </c>
      <c r="BN145" s="137">
        <v>0</v>
      </c>
      <c r="BO145" s="137">
        <v>0</v>
      </c>
      <c r="BP145" s="137">
        <v>0</v>
      </c>
      <c r="BQ145" s="137">
        <v>0</v>
      </c>
      <c r="BR145" s="137">
        <v>0</v>
      </c>
      <c r="BS145" s="137">
        <v>0</v>
      </c>
      <c r="BT145" s="137">
        <v>0</v>
      </c>
      <c r="BU145" s="137">
        <v>0</v>
      </c>
      <c r="BV145" s="137">
        <v>0</v>
      </c>
      <c r="BW145" s="137">
        <v>0</v>
      </c>
      <c r="BX145" s="137">
        <v>0</v>
      </c>
      <c r="BY145" s="137">
        <v>0</v>
      </c>
      <c r="BZ145" s="137">
        <v>1</v>
      </c>
      <c r="CA145" s="137" t="s">
        <v>968</v>
      </c>
      <c r="CB145" s="137">
        <v>0</v>
      </c>
      <c r="CC145" s="137" t="s">
        <v>947</v>
      </c>
      <c r="CD145" s="137">
        <v>1</v>
      </c>
      <c r="CE145" s="137" t="s">
        <v>946</v>
      </c>
      <c r="CF145" s="137" t="s">
        <v>1204</v>
      </c>
      <c r="CG145" s="137">
        <v>0</v>
      </c>
      <c r="CH145" s="137" t="s">
        <v>947</v>
      </c>
      <c r="CI145" s="137">
        <v>0</v>
      </c>
      <c r="CJ145" s="137" t="s">
        <v>947</v>
      </c>
      <c r="CK145" s="137" t="s">
        <v>947</v>
      </c>
      <c r="CL145" s="137">
        <v>0</v>
      </c>
      <c r="CM145" s="137" t="s">
        <v>947</v>
      </c>
      <c r="CN145" s="137" t="s">
        <v>947</v>
      </c>
      <c r="CO145" s="137">
        <v>0</v>
      </c>
      <c r="CP145" s="137" t="s">
        <v>947</v>
      </c>
      <c r="CQ145" s="137" t="s">
        <v>947</v>
      </c>
      <c r="CR145" s="137">
        <v>0</v>
      </c>
      <c r="CS145" s="137" t="s">
        <v>947</v>
      </c>
      <c r="CT145" s="137" t="s">
        <v>947</v>
      </c>
      <c r="CU145" s="137">
        <v>0</v>
      </c>
      <c r="CV145" s="137" t="s">
        <v>947</v>
      </c>
      <c r="CW145" s="137" t="s">
        <v>947</v>
      </c>
      <c r="CX145" s="137">
        <v>1</v>
      </c>
      <c r="CY145" s="137" t="s">
        <v>965</v>
      </c>
      <c r="CZ145" s="137">
        <v>2</v>
      </c>
      <c r="DA145" s="137"/>
      <c r="DB145" s="152"/>
    </row>
    <row r="146" spans="1:125" ht="16">
      <c r="A146" s="1" t="s">
        <v>611</v>
      </c>
      <c r="B146" s="137">
        <v>22109134</v>
      </c>
      <c r="C146" s="161" t="s">
        <v>1397</v>
      </c>
      <c r="D146" s="159">
        <v>44740</v>
      </c>
      <c r="E146" s="137">
        <v>66.900000000000006</v>
      </c>
      <c r="F146" s="137">
        <v>7.7</v>
      </c>
      <c r="G146" s="137">
        <v>17.2</v>
      </c>
      <c r="H146" s="137">
        <v>45.2</v>
      </c>
      <c r="I146" s="137">
        <v>31</v>
      </c>
      <c r="J146" s="137">
        <v>4</v>
      </c>
      <c r="K146" s="137">
        <v>1</v>
      </c>
      <c r="L146" s="137">
        <v>1</v>
      </c>
      <c r="M146" s="137">
        <v>0</v>
      </c>
      <c r="N146" s="137">
        <v>8</v>
      </c>
      <c r="O146" s="137">
        <v>9</v>
      </c>
      <c r="P146" s="137">
        <v>1670</v>
      </c>
      <c r="Q146" s="137">
        <v>43.5</v>
      </c>
      <c r="R146" s="137">
        <v>29.5</v>
      </c>
      <c r="S146" s="137">
        <v>27</v>
      </c>
      <c r="T146" s="159">
        <v>36471</v>
      </c>
      <c r="U146" s="137">
        <v>21.938888890000001</v>
      </c>
      <c r="V146" s="137">
        <v>2</v>
      </c>
      <c r="W146" s="137">
        <v>1</v>
      </c>
      <c r="X146" s="137">
        <v>0</v>
      </c>
      <c r="Y146" s="137">
        <v>3</v>
      </c>
      <c r="Z146" s="137">
        <v>0</v>
      </c>
      <c r="AA146" s="137">
        <v>0</v>
      </c>
      <c r="AB146" s="137">
        <v>0</v>
      </c>
      <c r="AC146" s="137">
        <v>0</v>
      </c>
      <c r="AD146" s="137">
        <v>0</v>
      </c>
      <c r="AE146" s="137">
        <v>0</v>
      </c>
      <c r="AF146" s="137">
        <v>0</v>
      </c>
      <c r="AG146" s="137">
        <v>0</v>
      </c>
      <c r="AH146" s="137">
        <v>0</v>
      </c>
      <c r="AI146" s="137">
        <v>1</v>
      </c>
      <c r="AJ146" s="137">
        <v>0</v>
      </c>
      <c r="AK146" s="137">
        <v>0</v>
      </c>
      <c r="AL146" s="137">
        <v>1</v>
      </c>
      <c r="AM146" s="137">
        <v>10</v>
      </c>
      <c r="AN146" s="137">
        <v>0</v>
      </c>
      <c r="AO146" s="137">
        <v>0</v>
      </c>
      <c r="AP146" s="137">
        <v>0</v>
      </c>
      <c r="AQ146" s="137">
        <v>0</v>
      </c>
      <c r="AR146" s="137" t="s">
        <v>1155</v>
      </c>
      <c r="AS146" s="137">
        <v>0</v>
      </c>
      <c r="AT146" s="137">
        <v>0</v>
      </c>
      <c r="AU146" s="137">
        <v>0</v>
      </c>
      <c r="AV146" s="137">
        <v>0</v>
      </c>
      <c r="AW146" s="137">
        <v>0</v>
      </c>
      <c r="AX146" s="137">
        <v>0</v>
      </c>
      <c r="AY146" s="137">
        <v>0</v>
      </c>
      <c r="AZ146" s="137">
        <v>0</v>
      </c>
      <c r="BA146" s="137">
        <v>0</v>
      </c>
      <c r="BB146" s="137">
        <v>0</v>
      </c>
      <c r="BC146" s="137">
        <v>0</v>
      </c>
      <c r="BD146" s="137">
        <v>0</v>
      </c>
      <c r="BE146" s="137">
        <v>0</v>
      </c>
      <c r="BF146" s="137">
        <v>0</v>
      </c>
      <c r="BG146" s="137">
        <v>0</v>
      </c>
      <c r="BH146" s="137">
        <v>0</v>
      </c>
      <c r="BI146" s="137">
        <v>0</v>
      </c>
      <c r="BJ146" s="137">
        <v>0</v>
      </c>
      <c r="BK146" s="137">
        <v>1</v>
      </c>
      <c r="BL146" s="137">
        <v>0</v>
      </c>
      <c r="BM146" s="137">
        <v>0</v>
      </c>
      <c r="BN146" s="137">
        <v>0</v>
      </c>
      <c r="BO146" s="137">
        <v>0</v>
      </c>
      <c r="BP146" s="137">
        <v>0</v>
      </c>
      <c r="BQ146" s="137">
        <v>1</v>
      </c>
      <c r="BR146" s="137">
        <v>0</v>
      </c>
      <c r="BS146" s="137">
        <v>0</v>
      </c>
      <c r="BT146" s="137">
        <v>1</v>
      </c>
      <c r="BU146" s="137">
        <v>0</v>
      </c>
      <c r="BV146" s="137">
        <v>0</v>
      </c>
      <c r="BW146" s="137">
        <v>0</v>
      </c>
      <c r="BX146" s="137">
        <v>0</v>
      </c>
      <c r="BY146" s="137">
        <v>0</v>
      </c>
      <c r="BZ146" s="137">
        <v>0</v>
      </c>
      <c r="CA146" s="137" t="s">
        <v>947</v>
      </c>
      <c r="CB146" s="137">
        <v>0</v>
      </c>
      <c r="CC146" s="137" t="s">
        <v>947</v>
      </c>
      <c r="CD146" s="137">
        <v>1</v>
      </c>
      <c r="CE146" s="137" t="s">
        <v>946</v>
      </c>
      <c r="CF146" s="161" t="s">
        <v>1398</v>
      </c>
      <c r="CG146" s="137">
        <v>0</v>
      </c>
      <c r="CH146" s="137" t="s">
        <v>947</v>
      </c>
      <c r="CI146" s="137">
        <v>1</v>
      </c>
      <c r="CJ146" s="161" t="s">
        <v>1314</v>
      </c>
      <c r="CK146" s="161" t="s">
        <v>1343</v>
      </c>
      <c r="CL146" s="137">
        <v>1</v>
      </c>
      <c r="CM146" s="161" t="s">
        <v>1314</v>
      </c>
      <c r="CN146" s="161" t="s">
        <v>1399</v>
      </c>
      <c r="CO146" s="137">
        <v>0</v>
      </c>
      <c r="CP146" s="137" t="s">
        <v>947</v>
      </c>
      <c r="CQ146" s="137" t="s">
        <v>947</v>
      </c>
      <c r="CR146" s="137">
        <v>0</v>
      </c>
      <c r="CS146" s="137" t="s">
        <v>947</v>
      </c>
      <c r="CT146" s="137" t="s">
        <v>947</v>
      </c>
      <c r="CU146" s="137">
        <v>0</v>
      </c>
      <c r="CV146" s="137" t="s">
        <v>947</v>
      </c>
      <c r="CW146" s="137" t="s">
        <v>947</v>
      </c>
      <c r="CX146" s="137">
        <v>1</v>
      </c>
      <c r="CY146" s="161" t="s">
        <v>1400</v>
      </c>
      <c r="CZ146" s="137">
        <v>2</v>
      </c>
      <c r="DA146" s="137"/>
      <c r="DB146" s="152"/>
    </row>
    <row r="147" spans="1:125" s="114" customFormat="1" ht="16">
      <c r="A147" s="112" t="s">
        <v>615</v>
      </c>
      <c r="B147" s="162">
        <v>22101864</v>
      </c>
      <c r="C147" s="163" t="s">
        <v>1401</v>
      </c>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c r="AA147" s="176"/>
      <c r="AB147" s="176"/>
      <c r="AC147" s="176"/>
      <c r="AD147" s="176"/>
      <c r="AE147" s="176"/>
      <c r="AF147" s="176"/>
      <c r="AG147" s="176"/>
      <c r="AH147" s="176"/>
      <c r="AI147" s="176"/>
      <c r="AJ147" s="176"/>
      <c r="AK147" s="176"/>
      <c r="AL147" s="176"/>
      <c r="AM147" s="176"/>
      <c r="AN147" s="176"/>
      <c r="AO147" s="176"/>
      <c r="AP147" s="176"/>
      <c r="AQ147" s="176"/>
      <c r="AR147" s="176"/>
      <c r="AS147" s="176"/>
      <c r="AT147" s="176"/>
      <c r="AU147" s="176"/>
      <c r="AV147" s="176"/>
      <c r="AW147" s="176"/>
      <c r="AX147" s="176"/>
      <c r="AY147" s="176"/>
      <c r="AZ147" s="176"/>
      <c r="BA147" s="176"/>
      <c r="BB147" s="176"/>
      <c r="BC147" s="176"/>
      <c r="BD147" s="176"/>
      <c r="BE147" s="176"/>
      <c r="BF147" s="176"/>
      <c r="BG147" s="176"/>
      <c r="BH147" s="176"/>
      <c r="BI147" s="176"/>
      <c r="BJ147" s="176"/>
      <c r="BK147" s="176"/>
      <c r="BL147" s="176"/>
      <c r="BM147" s="176"/>
      <c r="BN147" s="176"/>
      <c r="BO147" s="176"/>
      <c r="BP147" s="176"/>
      <c r="BQ147" s="176"/>
      <c r="BR147" s="176"/>
      <c r="BS147" s="176"/>
      <c r="BT147" s="176"/>
      <c r="BU147" s="176"/>
      <c r="BV147" s="176"/>
      <c r="BW147" s="176"/>
      <c r="BX147" s="176"/>
      <c r="BY147" s="176"/>
      <c r="BZ147" s="176"/>
      <c r="CA147" s="176"/>
      <c r="CB147" s="176"/>
      <c r="CC147" s="176"/>
      <c r="CD147" s="176"/>
      <c r="CE147" s="176"/>
      <c r="CF147" s="176"/>
      <c r="CG147" s="176"/>
      <c r="CH147" s="176"/>
      <c r="CI147" s="176"/>
      <c r="CJ147" s="176"/>
      <c r="CK147" s="176"/>
      <c r="CL147" s="176"/>
      <c r="CM147" s="176"/>
      <c r="CN147" s="176"/>
      <c r="CO147" s="176"/>
      <c r="CP147" s="176"/>
      <c r="CQ147" s="176"/>
      <c r="CR147" s="176"/>
      <c r="CS147" s="176"/>
      <c r="CT147" s="176"/>
      <c r="CU147" s="176"/>
      <c r="CV147" s="176"/>
      <c r="CW147" s="176"/>
      <c r="CX147" s="176"/>
      <c r="CY147" s="176"/>
      <c r="CZ147" s="176"/>
      <c r="DA147" s="176"/>
      <c r="DB147" s="176"/>
      <c r="DC147" s="176"/>
      <c r="DD147" s="176"/>
      <c r="DE147" s="176"/>
      <c r="DF147" s="176"/>
    </row>
    <row r="148" spans="1:125" s="114" customFormat="1" ht="16">
      <c r="A148" s="112" t="s">
        <v>619</v>
      </c>
      <c r="B148" s="162">
        <v>22101865</v>
      </c>
      <c r="C148" s="163" t="s">
        <v>1404</v>
      </c>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c r="AA148" s="176"/>
      <c r="AB148" s="176"/>
      <c r="AC148" s="176"/>
      <c r="AD148" s="176"/>
      <c r="AE148" s="176"/>
      <c r="AF148" s="176"/>
      <c r="AG148" s="176"/>
      <c r="AH148" s="176"/>
      <c r="AI148" s="176"/>
      <c r="AJ148" s="176"/>
      <c r="AK148" s="176"/>
      <c r="AL148" s="176"/>
      <c r="AM148" s="176"/>
      <c r="AN148" s="176"/>
      <c r="AO148" s="176"/>
      <c r="AP148" s="176"/>
      <c r="AQ148" s="176"/>
      <c r="AR148" s="176"/>
      <c r="AS148" s="176"/>
      <c r="AT148" s="176"/>
      <c r="AU148" s="176"/>
      <c r="AV148" s="176"/>
      <c r="AW148" s="176"/>
      <c r="AX148" s="176"/>
      <c r="AY148" s="176"/>
      <c r="AZ148" s="176"/>
      <c r="BA148" s="176"/>
      <c r="BB148" s="176"/>
      <c r="BC148" s="176"/>
      <c r="BD148" s="176"/>
      <c r="BE148" s="176"/>
      <c r="BF148" s="176"/>
      <c r="BG148" s="176"/>
      <c r="BH148" s="176"/>
      <c r="BI148" s="176"/>
      <c r="BJ148" s="176"/>
      <c r="BK148" s="176"/>
      <c r="BL148" s="176"/>
      <c r="BM148" s="176"/>
      <c r="BN148" s="176"/>
      <c r="BO148" s="176"/>
      <c r="BP148" s="176"/>
      <c r="BQ148" s="176"/>
      <c r="BR148" s="176"/>
      <c r="BS148" s="176"/>
      <c r="BT148" s="176"/>
      <c r="BU148" s="176"/>
      <c r="BV148" s="176"/>
      <c r="BW148" s="176"/>
      <c r="BX148" s="176"/>
      <c r="BY148" s="176"/>
      <c r="BZ148" s="176"/>
      <c r="CA148" s="176"/>
      <c r="CB148" s="176"/>
      <c r="CC148" s="176"/>
      <c r="CD148" s="176"/>
      <c r="CE148" s="176"/>
      <c r="CF148" s="176"/>
      <c r="CG148" s="176"/>
      <c r="CH148" s="176"/>
      <c r="CI148" s="176"/>
      <c r="CJ148" s="176"/>
      <c r="CK148" s="176"/>
      <c r="CL148" s="176"/>
      <c r="CM148" s="176"/>
      <c r="CN148" s="176"/>
      <c r="CO148" s="176"/>
      <c r="CP148" s="176"/>
      <c r="CQ148" s="176"/>
      <c r="CR148" s="176"/>
      <c r="CS148" s="176"/>
      <c r="CT148" s="176"/>
      <c r="CU148" s="176"/>
      <c r="CV148" s="176"/>
      <c r="CW148" s="176"/>
      <c r="CX148" s="176"/>
      <c r="CY148" s="176"/>
      <c r="CZ148" s="176"/>
      <c r="DA148" s="176"/>
      <c r="DB148" s="176"/>
      <c r="DC148" s="176"/>
      <c r="DD148" s="176"/>
      <c r="DE148" s="176"/>
      <c r="DF148" s="176"/>
      <c r="DG148" s="176"/>
      <c r="DH148" s="176"/>
      <c r="DI148" s="176"/>
      <c r="DJ148" s="176"/>
      <c r="DK148" s="176"/>
      <c r="DL148" s="176"/>
      <c r="DM148" s="176"/>
      <c r="DN148" s="176"/>
      <c r="DO148" s="176"/>
      <c r="DP148" s="176"/>
      <c r="DQ148" s="176"/>
      <c r="DR148" s="176"/>
      <c r="DS148" s="176"/>
      <c r="DT148" s="176"/>
      <c r="DU148" s="176"/>
    </row>
    <row r="149" spans="1:125" ht="16">
      <c r="A149" s="1" t="s">
        <v>622</v>
      </c>
      <c r="B149" s="137">
        <v>22107821</v>
      </c>
      <c r="C149" s="161" t="s">
        <v>1406</v>
      </c>
      <c r="D149" s="159">
        <v>44613</v>
      </c>
      <c r="E149" s="137">
        <v>69.599999999999994</v>
      </c>
      <c r="F149" s="137">
        <v>8</v>
      </c>
      <c r="G149" s="137">
        <v>16.510000000000002</v>
      </c>
      <c r="H149" s="137">
        <v>44.7</v>
      </c>
      <c r="I149" s="137">
        <v>38</v>
      </c>
      <c r="J149" s="137">
        <v>4</v>
      </c>
      <c r="K149" s="137">
        <v>0</v>
      </c>
      <c r="L149" s="137">
        <v>1</v>
      </c>
      <c r="M149" s="137">
        <v>1</v>
      </c>
      <c r="N149" s="137">
        <v>9</v>
      </c>
      <c r="O149" s="137">
        <v>10</v>
      </c>
      <c r="P149" s="137">
        <v>3350</v>
      </c>
      <c r="Q149" s="137">
        <v>51</v>
      </c>
      <c r="R149" s="137">
        <v>33.5</v>
      </c>
      <c r="S149" s="137">
        <v>32.5</v>
      </c>
      <c r="T149" s="159">
        <v>31247</v>
      </c>
      <c r="U149" s="137">
        <v>35.840000000000003</v>
      </c>
      <c r="V149" s="137">
        <v>1</v>
      </c>
      <c r="W149" s="137">
        <v>0</v>
      </c>
      <c r="X149" s="137">
        <v>0</v>
      </c>
      <c r="Y149" s="137">
        <v>1</v>
      </c>
      <c r="Z149" s="137">
        <v>0</v>
      </c>
      <c r="AA149" s="137">
        <v>0</v>
      </c>
      <c r="AB149" s="137">
        <v>0</v>
      </c>
      <c r="AC149" s="137">
        <v>0</v>
      </c>
      <c r="AD149" s="137">
        <v>0</v>
      </c>
      <c r="AE149" s="137">
        <v>0</v>
      </c>
      <c r="AF149" s="137">
        <v>0</v>
      </c>
      <c r="AG149" s="137">
        <v>0</v>
      </c>
      <c r="AH149" s="137">
        <v>0</v>
      </c>
      <c r="AI149" s="137">
        <v>0</v>
      </c>
      <c r="AJ149" s="137">
        <v>0</v>
      </c>
      <c r="AK149" s="137">
        <v>0</v>
      </c>
      <c r="AL149" s="137">
        <v>0</v>
      </c>
      <c r="AM149" s="137">
        <v>0</v>
      </c>
      <c r="AN149" s="137">
        <v>0</v>
      </c>
      <c r="AO149" s="137">
        <v>0</v>
      </c>
      <c r="AP149" s="137">
        <v>0</v>
      </c>
      <c r="AQ149" s="137">
        <v>0</v>
      </c>
      <c r="AR149" s="137" t="s">
        <v>954</v>
      </c>
      <c r="AS149" s="137">
        <v>0</v>
      </c>
      <c r="AT149" s="137">
        <v>0</v>
      </c>
      <c r="AU149" s="137">
        <v>0</v>
      </c>
      <c r="AV149" s="137">
        <v>0</v>
      </c>
      <c r="AW149" s="137">
        <v>0</v>
      </c>
      <c r="AX149" s="137">
        <v>0</v>
      </c>
      <c r="AY149" s="137">
        <v>0</v>
      </c>
      <c r="AZ149" s="137">
        <v>0</v>
      </c>
      <c r="BA149" s="137">
        <v>0</v>
      </c>
      <c r="BB149" s="137">
        <v>0</v>
      </c>
      <c r="BC149" s="137">
        <v>0</v>
      </c>
      <c r="BD149" s="137">
        <v>0</v>
      </c>
      <c r="BE149" s="137">
        <v>0</v>
      </c>
      <c r="BF149" s="137">
        <v>0</v>
      </c>
      <c r="BG149" s="137">
        <v>0</v>
      </c>
      <c r="BH149" s="137">
        <v>0</v>
      </c>
      <c r="BI149" s="137">
        <v>0</v>
      </c>
      <c r="BJ149" s="137">
        <v>0</v>
      </c>
      <c r="BK149" s="137">
        <v>0</v>
      </c>
      <c r="BL149" s="137">
        <v>0</v>
      </c>
      <c r="BM149" s="137">
        <v>0</v>
      </c>
      <c r="BN149" s="137">
        <v>0</v>
      </c>
      <c r="BO149" s="137">
        <v>0</v>
      </c>
      <c r="BP149" s="137">
        <v>0</v>
      </c>
      <c r="BQ149" s="137">
        <v>0</v>
      </c>
      <c r="BR149" s="137">
        <v>0</v>
      </c>
      <c r="BS149" s="137">
        <v>0</v>
      </c>
      <c r="BT149" s="137">
        <v>0</v>
      </c>
      <c r="BU149" s="137">
        <v>0</v>
      </c>
      <c r="BV149" s="137">
        <v>0</v>
      </c>
      <c r="BW149" s="137">
        <v>0</v>
      </c>
      <c r="BX149" s="137">
        <v>0</v>
      </c>
      <c r="BY149" s="137">
        <v>0</v>
      </c>
      <c r="BZ149" s="137">
        <v>1</v>
      </c>
      <c r="CA149" s="137" t="s">
        <v>955</v>
      </c>
      <c r="CB149" s="137">
        <v>0</v>
      </c>
      <c r="CC149" s="137" t="s">
        <v>947</v>
      </c>
      <c r="CD149" s="137">
        <v>1</v>
      </c>
      <c r="CE149" s="137" t="s">
        <v>1022</v>
      </c>
      <c r="CF149" s="161" t="s">
        <v>1407</v>
      </c>
      <c r="CG149" s="137">
        <v>0</v>
      </c>
      <c r="CH149" s="137" t="s">
        <v>947</v>
      </c>
      <c r="CI149" s="137">
        <v>1</v>
      </c>
      <c r="CJ149" s="137" t="s">
        <v>946</v>
      </c>
      <c r="CK149" s="161" t="s">
        <v>982</v>
      </c>
      <c r="CL149" s="137">
        <v>1</v>
      </c>
      <c r="CM149" s="137" t="s">
        <v>946</v>
      </c>
      <c r="CN149" s="161" t="s">
        <v>982</v>
      </c>
      <c r="CO149" s="137">
        <v>0</v>
      </c>
      <c r="CP149" s="137" t="s">
        <v>947</v>
      </c>
      <c r="CQ149" s="137" t="s">
        <v>947</v>
      </c>
      <c r="CR149" s="137">
        <v>0</v>
      </c>
      <c r="CS149" s="137" t="s">
        <v>947</v>
      </c>
      <c r="CT149" s="137" t="s">
        <v>947</v>
      </c>
      <c r="CU149" s="137">
        <v>0</v>
      </c>
      <c r="CV149" s="137" t="s">
        <v>947</v>
      </c>
      <c r="CW149" s="137" t="s">
        <v>947</v>
      </c>
      <c r="CX149" s="137">
        <v>1</v>
      </c>
      <c r="CY149" s="137" t="s">
        <v>965</v>
      </c>
      <c r="CZ149" s="137">
        <v>2</v>
      </c>
      <c r="DA149" s="137"/>
      <c r="DB149" s="152"/>
    </row>
    <row r="150" spans="1:125" ht="16">
      <c r="A150" s="1" t="s">
        <v>626</v>
      </c>
      <c r="B150" s="137">
        <v>22109239</v>
      </c>
      <c r="C150" s="161" t="s">
        <v>1408</v>
      </c>
      <c r="D150" s="159">
        <v>44685</v>
      </c>
      <c r="E150" s="137">
        <v>66.7</v>
      </c>
      <c r="F150" s="137">
        <v>7.5</v>
      </c>
      <c r="G150" s="137">
        <v>16.86</v>
      </c>
      <c r="H150" s="137">
        <v>42</v>
      </c>
      <c r="I150" s="137">
        <v>38</v>
      </c>
      <c r="J150" s="137">
        <v>2</v>
      </c>
      <c r="K150" s="137">
        <v>0</v>
      </c>
      <c r="L150" s="137">
        <v>1</v>
      </c>
      <c r="M150" s="137">
        <v>0</v>
      </c>
      <c r="N150" s="137">
        <v>9</v>
      </c>
      <c r="O150" s="137">
        <v>10</v>
      </c>
      <c r="P150" s="137">
        <v>2780</v>
      </c>
      <c r="Q150" s="137">
        <v>51</v>
      </c>
      <c r="R150" s="137">
        <v>34</v>
      </c>
      <c r="S150" s="137">
        <v>32</v>
      </c>
      <c r="T150" s="159">
        <v>32980</v>
      </c>
      <c r="U150" s="137">
        <v>31.527777780000001</v>
      </c>
      <c r="V150" s="137">
        <v>1</v>
      </c>
      <c r="W150" s="137">
        <v>0</v>
      </c>
      <c r="X150" s="137">
        <v>0</v>
      </c>
      <c r="Y150" s="137">
        <v>1</v>
      </c>
      <c r="Z150" s="137">
        <v>0</v>
      </c>
      <c r="AA150" s="137">
        <v>0</v>
      </c>
      <c r="AB150" s="137">
        <v>1</v>
      </c>
      <c r="AC150" s="137">
        <v>0</v>
      </c>
      <c r="AD150" s="137">
        <v>0</v>
      </c>
      <c r="AE150" s="137">
        <v>0</v>
      </c>
      <c r="AF150" s="137">
        <v>0</v>
      </c>
      <c r="AG150" s="137">
        <v>0</v>
      </c>
      <c r="AH150" s="137">
        <v>0</v>
      </c>
      <c r="AI150" s="137">
        <v>0</v>
      </c>
      <c r="AJ150" s="137">
        <v>0</v>
      </c>
      <c r="AK150" s="137">
        <v>0</v>
      </c>
      <c r="AL150" s="137">
        <v>0</v>
      </c>
      <c r="AM150" s="137">
        <v>0</v>
      </c>
      <c r="AN150" s="137">
        <v>0</v>
      </c>
      <c r="AO150" s="137">
        <v>0</v>
      </c>
      <c r="AP150" s="137">
        <v>0</v>
      </c>
      <c r="AQ150" s="137">
        <v>0</v>
      </c>
      <c r="AR150" s="137">
        <v>1</v>
      </c>
      <c r="AS150" s="137">
        <v>0</v>
      </c>
      <c r="AT150" s="137">
        <v>0</v>
      </c>
      <c r="AU150" s="137">
        <v>0</v>
      </c>
      <c r="AV150" s="137">
        <v>0</v>
      </c>
      <c r="AW150" s="137">
        <v>0</v>
      </c>
      <c r="AX150" s="137">
        <v>0</v>
      </c>
      <c r="AY150" s="137">
        <v>0</v>
      </c>
      <c r="AZ150" s="137">
        <v>0</v>
      </c>
      <c r="BA150" s="137">
        <v>0</v>
      </c>
      <c r="BB150" s="137">
        <v>0</v>
      </c>
      <c r="BC150" s="137">
        <v>0</v>
      </c>
      <c r="BD150" s="137">
        <v>0</v>
      </c>
      <c r="BE150" s="137">
        <v>0</v>
      </c>
      <c r="BF150" s="137">
        <v>0</v>
      </c>
      <c r="BG150" s="137">
        <v>0</v>
      </c>
      <c r="BH150" s="137">
        <v>0</v>
      </c>
      <c r="BI150" s="137">
        <v>0</v>
      </c>
      <c r="BJ150" s="137">
        <v>0</v>
      </c>
      <c r="BK150" s="137">
        <v>0</v>
      </c>
      <c r="BL150" s="137">
        <v>0</v>
      </c>
      <c r="BM150" s="137">
        <v>0</v>
      </c>
      <c r="BN150" s="137">
        <v>0</v>
      </c>
      <c r="BO150" s="137">
        <v>0</v>
      </c>
      <c r="BP150" s="137">
        <v>0</v>
      </c>
      <c r="BQ150" s="137">
        <v>0</v>
      </c>
      <c r="BR150" s="137">
        <v>0</v>
      </c>
      <c r="BS150" s="137">
        <v>0</v>
      </c>
      <c r="BT150" s="137">
        <v>0</v>
      </c>
      <c r="BU150" s="137">
        <v>0</v>
      </c>
      <c r="BV150" s="137">
        <v>0</v>
      </c>
      <c r="BW150" s="137">
        <v>0</v>
      </c>
      <c r="BX150" s="137">
        <v>0</v>
      </c>
      <c r="BY150" s="137">
        <v>0</v>
      </c>
      <c r="BZ150" s="137">
        <v>1</v>
      </c>
      <c r="CA150" s="137" t="s">
        <v>946</v>
      </c>
      <c r="CB150" s="137">
        <v>0</v>
      </c>
      <c r="CC150" s="137" t="s">
        <v>947</v>
      </c>
      <c r="CD150" s="137">
        <v>1</v>
      </c>
      <c r="CE150" s="137" t="s">
        <v>1409</v>
      </c>
      <c r="CF150" s="161" t="s">
        <v>1137</v>
      </c>
      <c r="CG150" s="137">
        <v>0</v>
      </c>
      <c r="CH150" s="137" t="s">
        <v>947</v>
      </c>
      <c r="CI150" s="137">
        <v>1</v>
      </c>
      <c r="CJ150" s="137" t="s">
        <v>1410</v>
      </c>
      <c r="CK150" s="161" t="s">
        <v>982</v>
      </c>
      <c r="CL150" s="137">
        <v>1</v>
      </c>
      <c r="CM150" s="137" t="s">
        <v>1410</v>
      </c>
      <c r="CN150" s="161" t="s">
        <v>982</v>
      </c>
      <c r="CO150" s="137">
        <v>0</v>
      </c>
      <c r="CP150" s="137" t="s">
        <v>947</v>
      </c>
      <c r="CQ150" s="137" t="s">
        <v>947</v>
      </c>
      <c r="CR150" s="137">
        <v>0</v>
      </c>
      <c r="CS150" s="137" t="s">
        <v>947</v>
      </c>
      <c r="CT150" s="137" t="s">
        <v>947</v>
      </c>
      <c r="CU150" s="137">
        <v>0</v>
      </c>
      <c r="CV150" s="137" t="s">
        <v>947</v>
      </c>
      <c r="CW150" s="137" t="s">
        <v>947</v>
      </c>
      <c r="CX150" s="137">
        <v>1</v>
      </c>
      <c r="CY150" s="137" t="s">
        <v>965</v>
      </c>
      <c r="CZ150" s="137">
        <v>2</v>
      </c>
      <c r="DA150" s="137"/>
      <c r="DB150" s="152"/>
    </row>
    <row r="151" spans="1:125" ht="16">
      <c r="A151" s="1" t="s">
        <v>630</v>
      </c>
      <c r="B151" s="137">
        <v>22107774</v>
      </c>
      <c r="C151" s="161" t="s">
        <v>1411</v>
      </c>
      <c r="D151" s="159">
        <v>44564</v>
      </c>
      <c r="E151" s="137">
        <v>68.3</v>
      </c>
      <c r="F151" s="137">
        <v>8</v>
      </c>
      <c r="G151" s="137">
        <v>17.149999999999999</v>
      </c>
      <c r="H151" s="137">
        <v>44.3</v>
      </c>
      <c r="I151" s="137">
        <v>40</v>
      </c>
      <c r="J151" s="137">
        <v>4</v>
      </c>
      <c r="K151" s="137">
        <v>0</v>
      </c>
      <c r="L151" s="137">
        <v>1</v>
      </c>
      <c r="M151" s="137">
        <v>0</v>
      </c>
      <c r="N151" s="137">
        <v>9</v>
      </c>
      <c r="O151" s="137">
        <v>10</v>
      </c>
      <c r="P151" s="137">
        <v>3280</v>
      </c>
      <c r="Q151" s="137">
        <v>48</v>
      </c>
      <c r="R151" s="137">
        <v>33.5</v>
      </c>
      <c r="S151" s="137">
        <v>33.5</v>
      </c>
      <c r="T151" s="159">
        <v>33029</v>
      </c>
      <c r="U151" s="137">
        <v>30.96</v>
      </c>
      <c r="V151" s="137">
        <v>1</v>
      </c>
      <c r="W151" s="137">
        <v>0</v>
      </c>
      <c r="X151" s="137">
        <v>0</v>
      </c>
      <c r="Y151" s="137">
        <v>1</v>
      </c>
      <c r="Z151" s="137">
        <v>0</v>
      </c>
      <c r="AA151" s="137">
        <v>0</v>
      </c>
      <c r="AB151" s="137">
        <v>0</v>
      </c>
      <c r="AC151" s="137">
        <v>0</v>
      </c>
      <c r="AD151" s="137">
        <v>0</v>
      </c>
      <c r="AE151" s="137">
        <v>0</v>
      </c>
      <c r="AF151" s="137">
        <v>0</v>
      </c>
      <c r="AG151" s="137">
        <v>0</v>
      </c>
      <c r="AH151" s="137">
        <v>0</v>
      </c>
      <c r="AI151" s="137">
        <v>0</v>
      </c>
      <c r="AJ151" s="137">
        <v>0</v>
      </c>
      <c r="AK151" s="137">
        <v>0</v>
      </c>
      <c r="AL151" s="137">
        <v>0</v>
      </c>
      <c r="AM151" s="137">
        <v>0</v>
      </c>
      <c r="AN151" s="137">
        <v>0</v>
      </c>
      <c r="AO151" s="137">
        <v>0</v>
      </c>
      <c r="AP151" s="137">
        <v>0</v>
      </c>
      <c r="AQ151" s="137">
        <v>0</v>
      </c>
      <c r="AR151" s="137">
        <v>1</v>
      </c>
      <c r="AS151" s="137">
        <v>0</v>
      </c>
      <c r="AT151" s="137">
        <v>0</v>
      </c>
      <c r="AU151" s="137">
        <v>0</v>
      </c>
      <c r="AV151" s="137">
        <v>0</v>
      </c>
      <c r="AW151" s="137">
        <v>0</v>
      </c>
      <c r="AX151" s="137">
        <v>0</v>
      </c>
      <c r="AY151" s="137">
        <v>0</v>
      </c>
      <c r="AZ151" s="137">
        <v>0</v>
      </c>
      <c r="BA151" s="137">
        <v>0</v>
      </c>
      <c r="BB151" s="137">
        <v>0</v>
      </c>
      <c r="BC151" s="137">
        <v>0</v>
      </c>
      <c r="BD151" s="137">
        <v>0</v>
      </c>
      <c r="BE151" s="137">
        <v>0</v>
      </c>
      <c r="BF151" s="137">
        <v>0</v>
      </c>
      <c r="BG151" s="137">
        <v>0</v>
      </c>
      <c r="BH151" s="137">
        <v>0</v>
      </c>
      <c r="BI151" s="137">
        <v>0</v>
      </c>
      <c r="BJ151" s="137">
        <v>0</v>
      </c>
      <c r="BK151" s="137">
        <v>0</v>
      </c>
      <c r="BL151" s="137">
        <v>0</v>
      </c>
      <c r="BM151" s="137">
        <v>0</v>
      </c>
      <c r="BN151" s="137">
        <v>0</v>
      </c>
      <c r="BO151" s="137">
        <v>0</v>
      </c>
      <c r="BP151" s="137">
        <v>0</v>
      </c>
      <c r="BQ151" s="137">
        <v>0</v>
      </c>
      <c r="BR151" s="137">
        <v>0</v>
      </c>
      <c r="BS151" s="137">
        <v>0</v>
      </c>
      <c r="BT151" s="137">
        <v>0</v>
      </c>
      <c r="BU151" s="137">
        <v>0</v>
      </c>
      <c r="BV151" s="137">
        <v>0</v>
      </c>
      <c r="BW151" s="137">
        <v>0</v>
      </c>
      <c r="BX151" s="137">
        <v>0</v>
      </c>
      <c r="BY151" s="137">
        <v>0</v>
      </c>
      <c r="BZ151" s="137">
        <v>1</v>
      </c>
      <c r="CA151" s="137" t="s">
        <v>1000</v>
      </c>
      <c r="CB151" s="137">
        <v>0</v>
      </c>
      <c r="CC151" s="137" t="s">
        <v>947</v>
      </c>
      <c r="CD151" s="137">
        <v>1</v>
      </c>
      <c r="CE151" s="137" t="s">
        <v>946</v>
      </c>
      <c r="CF151" s="161" t="s">
        <v>1412</v>
      </c>
      <c r="CG151" s="137">
        <v>1</v>
      </c>
      <c r="CH151" s="137" t="s">
        <v>956</v>
      </c>
      <c r="CI151" s="137">
        <v>1</v>
      </c>
      <c r="CJ151" s="137" t="s">
        <v>1413</v>
      </c>
      <c r="CK151" s="161" t="s">
        <v>982</v>
      </c>
      <c r="CL151" s="137">
        <v>1</v>
      </c>
      <c r="CM151" s="137" t="s">
        <v>1413</v>
      </c>
      <c r="CN151" s="161" t="s">
        <v>982</v>
      </c>
      <c r="CO151" s="137">
        <v>0</v>
      </c>
      <c r="CP151" s="137" t="s">
        <v>947</v>
      </c>
      <c r="CQ151" s="137" t="s">
        <v>947</v>
      </c>
      <c r="CR151" s="137">
        <v>0</v>
      </c>
      <c r="CS151" s="137" t="s">
        <v>947</v>
      </c>
      <c r="CT151" s="137" t="s">
        <v>947</v>
      </c>
      <c r="CU151" s="137">
        <v>0</v>
      </c>
      <c r="CV151" s="137" t="s">
        <v>947</v>
      </c>
      <c r="CW151" s="137" t="s">
        <v>947</v>
      </c>
      <c r="CX151" s="137">
        <v>1</v>
      </c>
      <c r="CY151" s="137" t="s">
        <v>965</v>
      </c>
      <c r="CZ151" s="137">
        <v>2</v>
      </c>
      <c r="DA151" s="137"/>
      <c r="DB151" s="152"/>
    </row>
    <row r="152" spans="1:125" ht="16">
      <c r="A152" s="1" t="s">
        <v>633</v>
      </c>
      <c r="B152" s="137">
        <v>22109051</v>
      </c>
      <c r="C152" s="161" t="s">
        <v>1414</v>
      </c>
      <c r="D152" s="159">
        <v>44718</v>
      </c>
      <c r="E152" s="137">
        <v>65.099999999999994</v>
      </c>
      <c r="F152" s="137">
        <v>7</v>
      </c>
      <c r="G152" s="137">
        <v>16.52</v>
      </c>
      <c r="H152" s="137">
        <v>42.5</v>
      </c>
      <c r="I152" s="137">
        <v>32</v>
      </c>
      <c r="J152" s="137">
        <v>0</v>
      </c>
      <c r="K152" s="137">
        <v>1</v>
      </c>
      <c r="L152" s="137">
        <v>2</v>
      </c>
      <c r="M152" s="137">
        <v>0</v>
      </c>
      <c r="N152" s="137">
        <v>8</v>
      </c>
      <c r="O152" s="137">
        <v>9</v>
      </c>
      <c r="P152" s="137">
        <v>1400</v>
      </c>
      <c r="Q152" s="137">
        <v>41</v>
      </c>
      <c r="R152" s="137">
        <v>29</v>
      </c>
      <c r="S152" s="137">
        <v>25</v>
      </c>
      <c r="T152" s="159">
        <v>33073</v>
      </c>
      <c r="U152" s="137">
        <v>31.216666669999999</v>
      </c>
      <c r="V152" s="137">
        <v>1</v>
      </c>
      <c r="W152" s="137">
        <v>1</v>
      </c>
      <c r="X152" s="137">
        <v>0</v>
      </c>
      <c r="Y152" s="137">
        <v>3</v>
      </c>
      <c r="Z152" s="137">
        <v>0</v>
      </c>
      <c r="AA152" s="137">
        <v>0</v>
      </c>
      <c r="AB152" s="137">
        <v>0</v>
      </c>
      <c r="AC152" s="137">
        <v>1</v>
      </c>
      <c r="AD152" s="137">
        <v>0</v>
      </c>
      <c r="AE152" s="137">
        <v>0</v>
      </c>
      <c r="AF152" s="137">
        <v>0</v>
      </c>
      <c r="AG152" s="137">
        <v>1</v>
      </c>
      <c r="AH152" s="137">
        <v>0</v>
      </c>
      <c r="AI152" s="137">
        <v>0</v>
      </c>
      <c r="AJ152" s="137">
        <v>0</v>
      </c>
      <c r="AK152" s="137">
        <v>0</v>
      </c>
      <c r="AL152" s="137">
        <v>0</v>
      </c>
      <c r="AM152" s="137">
        <v>0</v>
      </c>
      <c r="AN152" s="137">
        <v>0</v>
      </c>
      <c r="AO152" s="137">
        <v>0</v>
      </c>
      <c r="AP152" s="137">
        <v>0</v>
      </c>
      <c r="AQ152" s="137">
        <v>0</v>
      </c>
      <c r="AR152" s="137">
        <v>1</v>
      </c>
      <c r="AS152" s="137">
        <v>1</v>
      </c>
      <c r="AT152" s="137">
        <v>0</v>
      </c>
      <c r="AU152" s="137">
        <v>0</v>
      </c>
      <c r="AV152" s="137">
        <v>0</v>
      </c>
      <c r="AW152" s="137">
        <v>0</v>
      </c>
      <c r="AX152" s="161" t="s">
        <v>1415</v>
      </c>
      <c r="AY152" s="137">
        <v>0</v>
      </c>
      <c r="AZ152" s="137">
        <v>0</v>
      </c>
      <c r="BA152" s="137">
        <v>0</v>
      </c>
      <c r="BB152" s="137">
        <v>0</v>
      </c>
      <c r="BC152" s="137">
        <v>0</v>
      </c>
      <c r="BD152" s="137">
        <v>0</v>
      </c>
      <c r="BE152" s="137">
        <v>0</v>
      </c>
      <c r="BF152" s="137">
        <v>0</v>
      </c>
      <c r="BG152" s="137">
        <v>0</v>
      </c>
      <c r="BH152" s="137">
        <v>0</v>
      </c>
      <c r="BI152" s="137">
        <v>0</v>
      </c>
      <c r="BJ152" s="137">
        <v>0</v>
      </c>
      <c r="BK152" s="137">
        <v>1</v>
      </c>
      <c r="BL152" s="137">
        <v>0</v>
      </c>
      <c r="BM152" s="137">
        <v>0</v>
      </c>
      <c r="BN152" s="137">
        <v>0</v>
      </c>
      <c r="BO152" s="137">
        <v>0</v>
      </c>
      <c r="BP152" s="137">
        <v>0</v>
      </c>
      <c r="BQ152" s="137">
        <v>0</v>
      </c>
      <c r="BR152" s="137">
        <v>0</v>
      </c>
      <c r="BS152" s="137">
        <v>0</v>
      </c>
      <c r="BT152" s="137">
        <v>0</v>
      </c>
      <c r="BU152" s="137">
        <v>0</v>
      </c>
      <c r="BV152" s="161" t="s">
        <v>1416</v>
      </c>
      <c r="BW152" s="137">
        <v>0</v>
      </c>
      <c r="BX152" s="137">
        <v>0</v>
      </c>
      <c r="BY152" s="137">
        <v>0</v>
      </c>
      <c r="BZ152" s="137">
        <v>1</v>
      </c>
      <c r="CA152" s="137" t="s">
        <v>1210</v>
      </c>
      <c r="CB152" s="137">
        <v>0</v>
      </c>
      <c r="CC152" s="137" t="s">
        <v>947</v>
      </c>
      <c r="CD152" s="137">
        <v>1</v>
      </c>
      <c r="CE152" s="137" t="s">
        <v>946</v>
      </c>
      <c r="CF152" s="137" t="s">
        <v>1417</v>
      </c>
      <c r="CG152" s="137">
        <v>1</v>
      </c>
      <c r="CH152" s="161" t="s">
        <v>1418</v>
      </c>
      <c r="CI152" s="137">
        <v>0</v>
      </c>
      <c r="CJ152" s="137" t="s">
        <v>947</v>
      </c>
      <c r="CK152" s="137" t="s">
        <v>947</v>
      </c>
      <c r="CL152" s="137">
        <v>1</v>
      </c>
      <c r="CM152" s="161" t="s">
        <v>1419</v>
      </c>
      <c r="CN152" s="161" t="s">
        <v>982</v>
      </c>
      <c r="CO152" s="161" t="s">
        <v>1060</v>
      </c>
      <c r="CP152" s="161" t="s">
        <v>1420</v>
      </c>
      <c r="CQ152" s="161" t="s">
        <v>993</v>
      </c>
      <c r="CR152" s="137">
        <v>0</v>
      </c>
      <c r="CS152" s="137" t="s">
        <v>947</v>
      </c>
      <c r="CT152" s="137" t="s">
        <v>947</v>
      </c>
      <c r="CU152" s="137">
        <v>1</v>
      </c>
      <c r="CV152" s="137" t="s">
        <v>1421</v>
      </c>
      <c r="CW152" s="161" t="s">
        <v>1422</v>
      </c>
      <c r="CX152" s="137">
        <v>1</v>
      </c>
      <c r="CY152" s="159">
        <v>44671</v>
      </c>
      <c r="CZ152" s="137">
        <v>2</v>
      </c>
      <c r="DA152" s="137"/>
      <c r="DB152" s="152"/>
    </row>
    <row r="153" spans="1:125" ht="16">
      <c r="A153" s="1" t="s">
        <v>636</v>
      </c>
      <c r="B153" s="137">
        <v>22109052</v>
      </c>
      <c r="C153" s="161" t="s">
        <v>1423</v>
      </c>
      <c r="D153" s="159">
        <v>44718</v>
      </c>
      <c r="E153" s="137">
        <v>65.3</v>
      </c>
      <c r="F153" s="137">
        <v>7</v>
      </c>
      <c r="G153" s="137">
        <v>16.420000000000002</v>
      </c>
      <c r="H153" s="137">
        <v>43</v>
      </c>
      <c r="I153" s="137">
        <v>32</v>
      </c>
      <c r="J153" s="137">
        <v>0</v>
      </c>
      <c r="K153" s="137">
        <v>1</v>
      </c>
      <c r="L153" s="137">
        <v>2</v>
      </c>
      <c r="M153" s="137">
        <v>0</v>
      </c>
      <c r="N153" s="137">
        <v>8</v>
      </c>
      <c r="O153" s="137">
        <v>9</v>
      </c>
      <c r="P153" s="137">
        <v>1610</v>
      </c>
      <c r="Q153" s="137">
        <v>39.5</v>
      </c>
      <c r="R153" s="137">
        <v>30</v>
      </c>
      <c r="S153" s="137">
        <v>25.5</v>
      </c>
      <c r="T153" s="159">
        <v>33073</v>
      </c>
      <c r="U153" s="137">
        <v>31.216666669999999</v>
      </c>
      <c r="V153" s="137">
        <v>1</v>
      </c>
      <c r="W153" s="137">
        <v>1</v>
      </c>
      <c r="X153" s="137">
        <v>0</v>
      </c>
      <c r="Y153" s="137">
        <v>3</v>
      </c>
      <c r="Z153" s="137">
        <v>0</v>
      </c>
      <c r="AA153" s="137">
        <v>0</v>
      </c>
      <c r="AB153" s="137">
        <v>0</v>
      </c>
      <c r="AC153" s="137">
        <v>1</v>
      </c>
      <c r="AD153" s="137">
        <v>0</v>
      </c>
      <c r="AE153" s="137">
        <v>0</v>
      </c>
      <c r="AF153" s="137">
        <v>0</v>
      </c>
      <c r="AG153" s="137">
        <v>1</v>
      </c>
      <c r="AH153" s="137">
        <v>0</v>
      </c>
      <c r="AI153" s="137">
        <v>0</v>
      </c>
      <c r="AJ153" s="137">
        <v>0</v>
      </c>
      <c r="AK153" s="137">
        <v>0</v>
      </c>
      <c r="AL153" s="137">
        <v>0</v>
      </c>
      <c r="AM153" s="137">
        <v>0</v>
      </c>
      <c r="AN153" s="137">
        <v>0</v>
      </c>
      <c r="AO153" s="137">
        <v>0</v>
      </c>
      <c r="AP153" s="137">
        <v>0</v>
      </c>
      <c r="AQ153" s="137">
        <v>0</v>
      </c>
      <c r="AR153" s="137">
        <v>1</v>
      </c>
      <c r="AS153" s="137">
        <v>1</v>
      </c>
      <c r="AT153" s="137">
        <v>0</v>
      </c>
      <c r="AU153" s="137">
        <v>0</v>
      </c>
      <c r="AV153" s="137">
        <v>0</v>
      </c>
      <c r="AW153" s="137">
        <v>0</v>
      </c>
      <c r="AX153" s="161" t="s">
        <v>1415</v>
      </c>
      <c r="AY153" s="137">
        <v>1</v>
      </c>
      <c r="AZ153" s="137">
        <v>0</v>
      </c>
      <c r="BA153" s="137">
        <v>0</v>
      </c>
      <c r="BB153" s="137">
        <v>0</v>
      </c>
      <c r="BC153" s="137">
        <v>0</v>
      </c>
      <c r="BD153" s="137">
        <v>0</v>
      </c>
      <c r="BE153" s="137">
        <v>0</v>
      </c>
      <c r="BF153" s="137">
        <v>0</v>
      </c>
      <c r="BG153" s="137">
        <v>0</v>
      </c>
      <c r="BH153" s="137">
        <v>0</v>
      </c>
      <c r="BI153" s="137">
        <v>0</v>
      </c>
      <c r="BJ153" s="161" t="s">
        <v>1424</v>
      </c>
      <c r="BK153" s="137">
        <v>1</v>
      </c>
      <c r="BL153" s="137">
        <v>0</v>
      </c>
      <c r="BM153" s="137">
        <v>0</v>
      </c>
      <c r="BN153" s="137">
        <v>0</v>
      </c>
      <c r="BO153" s="137">
        <v>0</v>
      </c>
      <c r="BP153" s="137">
        <v>0</v>
      </c>
      <c r="BQ153" s="137">
        <v>0</v>
      </c>
      <c r="BR153" s="137">
        <v>0</v>
      </c>
      <c r="BS153" s="137">
        <v>1</v>
      </c>
      <c r="BT153" s="137">
        <v>0</v>
      </c>
      <c r="BU153" s="137">
        <v>0</v>
      </c>
      <c r="BV153" s="137">
        <v>0</v>
      </c>
      <c r="BW153" s="137">
        <v>0</v>
      </c>
      <c r="BX153" s="137">
        <v>0</v>
      </c>
      <c r="BY153" s="137">
        <v>0</v>
      </c>
      <c r="BZ153" s="137">
        <v>1</v>
      </c>
      <c r="CA153" s="137" t="s">
        <v>1210</v>
      </c>
      <c r="CB153" s="137">
        <v>0</v>
      </c>
      <c r="CC153" s="137" t="s">
        <v>947</v>
      </c>
      <c r="CD153" s="137">
        <v>1</v>
      </c>
      <c r="CE153" s="137" t="s">
        <v>946</v>
      </c>
      <c r="CF153" s="137" t="s">
        <v>1425</v>
      </c>
      <c r="CG153" s="137">
        <v>1</v>
      </c>
      <c r="CH153" s="161" t="s">
        <v>1418</v>
      </c>
      <c r="CI153" s="137">
        <v>0</v>
      </c>
      <c r="CJ153" s="137" t="s">
        <v>947</v>
      </c>
      <c r="CK153" s="137" t="s">
        <v>947</v>
      </c>
      <c r="CL153" s="137">
        <v>1</v>
      </c>
      <c r="CM153" s="161" t="s">
        <v>1419</v>
      </c>
      <c r="CN153" s="161" t="s">
        <v>982</v>
      </c>
      <c r="CO153" s="161" t="s">
        <v>1060</v>
      </c>
      <c r="CP153" s="161" t="s">
        <v>1420</v>
      </c>
      <c r="CQ153" s="161" t="s">
        <v>993</v>
      </c>
      <c r="CR153" s="137">
        <v>0</v>
      </c>
      <c r="CS153" s="137" t="s">
        <v>947</v>
      </c>
      <c r="CT153" s="137" t="s">
        <v>947</v>
      </c>
      <c r="CU153" s="137">
        <v>1</v>
      </c>
      <c r="CV153" s="137" t="s">
        <v>1421</v>
      </c>
      <c r="CW153" s="161" t="s">
        <v>1422</v>
      </c>
      <c r="CX153" s="137">
        <v>1</v>
      </c>
      <c r="CY153" s="159">
        <v>44671</v>
      </c>
      <c r="CZ153" s="137">
        <v>2</v>
      </c>
      <c r="DA153" s="137"/>
      <c r="DB153" s="152"/>
    </row>
    <row r="154" spans="1:125" s="114" customFormat="1" ht="16">
      <c r="A154" s="112" t="s">
        <v>638</v>
      </c>
      <c r="B154" s="162">
        <v>22100387</v>
      </c>
      <c r="C154" s="163" t="s">
        <v>1426</v>
      </c>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176"/>
      <c r="AP154" s="176"/>
      <c r="AQ154" s="176"/>
      <c r="AR154" s="176"/>
      <c r="AS154" s="176"/>
      <c r="AT154" s="176"/>
      <c r="AU154" s="176"/>
      <c r="AV154" s="176"/>
      <c r="AW154" s="176"/>
      <c r="AX154" s="176"/>
      <c r="AY154" s="176"/>
      <c r="AZ154" s="176"/>
      <c r="BA154" s="176"/>
      <c r="BB154" s="176"/>
      <c r="BC154" s="176"/>
      <c r="BD154" s="176"/>
      <c r="BE154" s="176"/>
      <c r="BF154" s="176"/>
      <c r="BG154" s="176"/>
      <c r="BH154" s="176"/>
      <c r="BI154" s="176"/>
      <c r="BJ154" s="176"/>
      <c r="BK154" s="176"/>
      <c r="BL154" s="176"/>
      <c r="BM154" s="176"/>
      <c r="BN154" s="176"/>
      <c r="BO154" s="176"/>
      <c r="BP154" s="176"/>
      <c r="BQ154" s="176"/>
      <c r="BR154" s="176"/>
      <c r="BS154" s="176"/>
      <c r="BT154" s="176"/>
      <c r="BU154" s="176"/>
      <c r="BV154" s="176"/>
      <c r="BW154" s="176"/>
      <c r="BX154" s="176"/>
      <c r="BY154" s="176"/>
      <c r="BZ154" s="176"/>
      <c r="CA154" s="176"/>
      <c r="CB154" s="176"/>
      <c r="CC154" s="176"/>
      <c r="CD154" s="176"/>
      <c r="CE154" s="176"/>
      <c r="CF154" s="176"/>
      <c r="CG154" s="176"/>
      <c r="CH154" s="176"/>
      <c r="CI154" s="176"/>
      <c r="CJ154" s="176"/>
      <c r="CK154" s="176"/>
      <c r="CL154" s="176"/>
      <c r="CM154" s="176"/>
      <c r="CN154" s="176"/>
      <c r="CO154" s="176"/>
      <c r="CP154" s="176"/>
      <c r="CQ154" s="176"/>
      <c r="CR154" s="176"/>
      <c r="CS154" s="176"/>
      <c r="CT154" s="176"/>
      <c r="CU154" s="176"/>
      <c r="CV154" s="176"/>
      <c r="CW154" s="176"/>
      <c r="CX154" s="176"/>
      <c r="CY154" s="176"/>
      <c r="CZ154" s="176"/>
      <c r="DA154" s="176"/>
      <c r="DB154" s="176"/>
    </row>
    <row r="155" spans="1:125" ht="16">
      <c r="A155" s="1" t="s">
        <v>642</v>
      </c>
      <c r="B155" s="137">
        <v>22108829</v>
      </c>
      <c r="C155" s="161" t="s">
        <v>1431</v>
      </c>
      <c r="D155" s="159">
        <v>44693</v>
      </c>
      <c r="E155" s="137">
        <v>63.8</v>
      </c>
      <c r="F155" s="137">
        <v>7.3</v>
      </c>
      <c r="G155" s="137">
        <v>17.93</v>
      </c>
      <c r="H155" s="137">
        <v>40.200000000000003</v>
      </c>
      <c r="I155" s="137">
        <v>29</v>
      </c>
      <c r="J155" s="137">
        <v>3</v>
      </c>
      <c r="K155" s="137">
        <v>1</v>
      </c>
      <c r="L155" s="137">
        <v>2</v>
      </c>
      <c r="M155" s="137">
        <v>0</v>
      </c>
      <c r="N155" s="137">
        <v>6</v>
      </c>
      <c r="O155" s="137">
        <v>8</v>
      </c>
      <c r="P155" s="137">
        <v>1300</v>
      </c>
      <c r="Q155" s="137">
        <v>36</v>
      </c>
      <c r="R155" s="137">
        <v>28</v>
      </c>
      <c r="S155" s="137">
        <v>25.5</v>
      </c>
      <c r="T155" s="159">
        <v>31072</v>
      </c>
      <c r="U155" s="137">
        <v>36.630000000000003</v>
      </c>
      <c r="V155" s="137">
        <v>0</v>
      </c>
      <c r="W155" s="137">
        <v>1</v>
      </c>
      <c r="X155" s="137">
        <v>2</v>
      </c>
      <c r="Y155" s="137">
        <v>1</v>
      </c>
      <c r="Z155" s="137">
        <v>1</v>
      </c>
      <c r="AA155" s="137">
        <v>1</v>
      </c>
      <c r="AB155" s="137">
        <v>0</v>
      </c>
      <c r="AC155" s="137">
        <v>0</v>
      </c>
      <c r="AD155" s="137">
        <v>0</v>
      </c>
      <c r="AE155" s="137">
        <v>0</v>
      </c>
      <c r="AF155" s="137">
        <v>0</v>
      </c>
      <c r="AG155" s="137">
        <v>0</v>
      </c>
      <c r="AH155" s="137">
        <v>1</v>
      </c>
      <c r="AI155" s="137">
        <v>1</v>
      </c>
      <c r="AJ155" s="137">
        <v>1</v>
      </c>
      <c r="AK155" s="137" t="s">
        <v>1432</v>
      </c>
      <c r="AL155" s="137">
        <v>0</v>
      </c>
      <c r="AM155" s="137">
        <v>0</v>
      </c>
      <c r="AN155" s="137">
        <v>0</v>
      </c>
      <c r="AO155" s="137">
        <v>0</v>
      </c>
      <c r="AP155" s="137">
        <v>0</v>
      </c>
      <c r="AQ155" s="137">
        <v>0</v>
      </c>
      <c r="AR155" s="137">
        <v>1</v>
      </c>
      <c r="AS155" s="137">
        <v>0</v>
      </c>
      <c r="AT155" s="137">
        <v>0</v>
      </c>
      <c r="AU155" s="137">
        <v>0</v>
      </c>
      <c r="AV155" s="137">
        <v>0</v>
      </c>
      <c r="AW155" s="137">
        <v>0</v>
      </c>
      <c r="AX155" s="137">
        <v>0</v>
      </c>
      <c r="AY155" s="137">
        <v>0</v>
      </c>
      <c r="AZ155" s="137">
        <v>0</v>
      </c>
      <c r="BA155" s="137">
        <v>0</v>
      </c>
      <c r="BB155" s="137">
        <v>0</v>
      </c>
      <c r="BC155" s="137">
        <v>0</v>
      </c>
      <c r="BD155" s="137">
        <v>0</v>
      </c>
      <c r="BE155" s="137">
        <v>0</v>
      </c>
      <c r="BF155" s="137">
        <v>0</v>
      </c>
      <c r="BG155" s="137">
        <v>0</v>
      </c>
      <c r="BH155" s="137">
        <v>0</v>
      </c>
      <c r="BI155" s="137">
        <v>0</v>
      </c>
      <c r="BJ155" s="137">
        <v>0</v>
      </c>
      <c r="BK155" s="137">
        <v>1</v>
      </c>
      <c r="BL155" s="137">
        <v>0</v>
      </c>
      <c r="BM155" s="137">
        <v>1</v>
      </c>
      <c r="BN155" s="137">
        <v>0</v>
      </c>
      <c r="BO155" s="137">
        <v>0</v>
      </c>
      <c r="BP155" s="137">
        <v>0</v>
      </c>
      <c r="BQ155" s="137">
        <v>1</v>
      </c>
      <c r="BR155" s="137">
        <v>0</v>
      </c>
      <c r="BS155" s="137">
        <v>0</v>
      </c>
      <c r="BT155" s="137">
        <v>0</v>
      </c>
      <c r="BU155" s="137">
        <v>0</v>
      </c>
      <c r="BV155" s="137">
        <v>0</v>
      </c>
      <c r="BW155" s="137">
        <v>0</v>
      </c>
      <c r="BX155" s="137">
        <v>0</v>
      </c>
      <c r="BY155" s="137">
        <v>0</v>
      </c>
      <c r="BZ155" s="137">
        <v>1</v>
      </c>
      <c r="CA155" s="137" t="s">
        <v>1433</v>
      </c>
      <c r="CB155" s="137">
        <v>0</v>
      </c>
      <c r="CC155" s="137" t="s">
        <v>947</v>
      </c>
      <c r="CD155" s="137">
        <v>1</v>
      </c>
      <c r="CE155" s="137" t="s">
        <v>946</v>
      </c>
      <c r="CF155" s="161" t="s">
        <v>1434</v>
      </c>
      <c r="CG155" s="137">
        <v>1</v>
      </c>
      <c r="CH155" s="161" t="s">
        <v>1435</v>
      </c>
      <c r="CI155" s="137">
        <v>1</v>
      </c>
      <c r="CJ155" s="161" t="s">
        <v>1436</v>
      </c>
      <c r="CK155" s="161" t="s">
        <v>1186</v>
      </c>
      <c r="CL155" s="137">
        <v>1</v>
      </c>
      <c r="CM155" s="161" t="s">
        <v>1437</v>
      </c>
      <c r="CN155" s="161" t="s">
        <v>1438</v>
      </c>
      <c r="CO155" s="161" t="s">
        <v>1086</v>
      </c>
      <c r="CP155" s="161" t="s">
        <v>1436</v>
      </c>
      <c r="CQ155" s="161" t="s">
        <v>993</v>
      </c>
      <c r="CR155" s="137">
        <v>0</v>
      </c>
      <c r="CS155" s="137" t="s">
        <v>947</v>
      </c>
      <c r="CT155" s="137" t="s">
        <v>947</v>
      </c>
      <c r="CU155" s="137">
        <v>0</v>
      </c>
      <c r="CV155" s="137" t="s">
        <v>947</v>
      </c>
      <c r="CW155" s="137" t="s">
        <v>947</v>
      </c>
      <c r="CX155" s="137">
        <v>1</v>
      </c>
      <c r="CY155" s="161" t="s">
        <v>1134</v>
      </c>
      <c r="CZ155" s="137">
        <v>2</v>
      </c>
      <c r="DA155" s="137"/>
      <c r="DB155" s="152"/>
    </row>
    <row r="156" spans="1:125" s="127" customFormat="1" ht="16">
      <c r="A156" s="123" t="s">
        <v>645</v>
      </c>
      <c r="B156" s="165">
        <v>4998631</v>
      </c>
      <c r="C156" s="166" t="s">
        <v>1439</v>
      </c>
      <c r="D156" s="165"/>
      <c r="E156" s="165"/>
      <c r="F156" s="165"/>
      <c r="G156" s="165"/>
      <c r="H156" s="165"/>
      <c r="I156" s="165"/>
      <c r="J156" s="165"/>
      <c r="K156" s="165"/>
      <c r="L156" s="165">
        <v>2</v>
      </c>
      <c r="M156" s="165"/>
      <c r="N156" s="165">
        <v>7</v>
      </c>
      <c r="O156" s="165">
        <v>9</v>
      </c>
      <c r="P156" s="165">
        <v>970</v>
      </c>
      <c r="Q156" s="165">
        <v>36</v>
      </c>
      <c r="R156" s="165">
        <v>26.5</v>
      </c>
      <c r="S156" s="165">
        <v>22.5</v>
      </c>
      <c r="T156" s="180">
        <v>32853</v>
      </c>
      <c r="U156" s="181">
        <v>31.672222219999998</v>
      </c>
      <c r="V156" s="165"/>
      <c r="W156" s="165"/>
      <c r="X156" s="165"/>
      <c r="Y156" s="165"/>
      <c r="Z156" s="165"/>
      <c r="AA156" s="165"/>
      <c r="AB156" s="165"/>
      <c r="AC156" s="165"/>
      <c r="AD156" s="165"/>
      <c r="AE156" s="165"/>
      <c r="AF156" s="165"/>
      <c r="AG156" s="165"/>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c r="BB156" s="165"/>
      <c r="BC156" s="165"/>
      <c r="BD156" s="165"/>
      <c r="BE156" s="165"/>
      <c r="BF156" s="165"/>
      <c r="BG156" s="165"/>
      <c r="BH156" s="165"/>
      <c r="BI156" s="165"/>
      <c r="BJ156" s="165"/>
      <c r="BK156" s="165"/>
      <c r="BL156" s="165"/>
      <c r="BM156" s="165"/>
      <c r="BN156" s="165"/>
      <c r="BO156" s="165"/>
      <c r="BP156" s="165"/>
      <c r="BQ156" s="165"/>
      <c r="BR156" s="165"/>
      <c r="BS156" s="165"/>
      <c r="BT156" s="165"/>
      <c r="BU156" s="165"/>
      <c r="BV156" s="165"/>
      <c r="BW156" s="165"/>
      <c r="BX156" s="165"/>
      <c r="BY156" s="165"/>
      <c r="BZ156" s="165"/>
      <c r="CA156" s="165"/>
      <c r="CB156" s="165"/>
      <c r="CC156" s="165"/>
      <c r="CD156" s="165"/>
      <c r="CE156" s="165"/>
      <c r="CF156" s="165"/>
      <c r="CG156" s="165"/>
      <c r="CH156" s="165"/>
      <c r="CI156" s="165"/>
      <c r="CJ156" s="165"/>
      <c r="CK156" s="165"/>
      <c r="CL156" s="165"/>
      <c r="CM156" s="165"/>
      <c r="CN156" s="165"/>
      <c r="CO156" s="165"/>
      <c r="CP156" s="165"/>
      <c r="CQ156" s="165"/>
      <c r="CR156" s="165"/>
      <c r="CS156" s="165"/>
      <c r="CT156" s="165"/>
      <c r="CU156" s="165"/>
      <c r="CV156" s="165"/>
      <c r="CW156" s="165"/>
      <c r="CX156" s="165"/>
      <c r="CY156" s="165"/>
      <c r="CZ156" s="165"/>
      <c r="DA156" s="165"/>
      <c r="DB156" s="169"/>
    </row>
    <row r="157" spans="1:125" ht="16">
      <c r="A157" s="1" t="s">
        <v>649</v>
      </c>
      <c r="B157" s="137">
        <v>22106106</v>
      </c>
      <c r="C157" s="161" t="s">
        <v>1440</v>
      </c>
      <c r="D157" s="159">
        <v>44578</v>
      </c>
      <c r="E157" s="137">
        <v>70.400000000000006</v>
      </c>
      <c r="F157" s="137">
        <v>8.6</v>
      </c>
      <c r="G157" s="137">
        <v>17.350000000000001</v>
      </c>
      <c r="H157" s="137">
        <v>43.6</v>
      </c>
      <c r="I157" s="137">
        <v>29</v>
      </c>
      <c r="J157" s="137">
        <v>6</v>
      </c>
      <c r="K157" s="137">
        <v>1</v>
      </c>
      <c r="L157" s="137">
        <v>1</v>
      </c>
      <c r="M157" s="137">
        <v>0</v>
      </c>
      <c r="N157" s="137">
        <v>7</v>
      </c>
      <c r="O157" s="137">
        <v>9</v>
      </c>
      <c r="P157" s="137">
        <v>1280</v>
      </c>
      <c r="Q157" s="137">
        <v>38</v>
      </c>
      <c r="R157" s="137">
        <v>26</v>
      </c>
      <c r="S157" s="137">
        <v>24</v>
      </c>
      <c r="T157" s="159">
        <v>28651</v>
      </c>
      <c r="U157" s="137">
        <v>42.5</v>
      </c>
      <c r="V157" s="137">
        <v>1</v>
      </c>
      <c r="W157" s="137">
        <v>1</v>
      </c>
      <c r="X157" s="137">
        <v>0</v>
      </c>
      <c r="Y157" s="137">
        <v>3</v>
      </c>
      <c r="Z157" s="137">
        <v>0</v>
      </c>
      <c r="AA157" s="137">
        <v>0</v>
      </c>
      <c r="AB157" s="137">
        <v>0</v>
      </c>
      <c r="AC157" s="137">
        <v>0</v>
      </c>
      <c r="AD157" s="137">
        <v>0</v>
      </c>
      <c r="AE157" s="137">
        <v>1</v>
      </c>
      <c r="AF157" s="137">
        <v>0</v>
      </c>
      <c r="AG157" s="137">
        <v>0</v>
      </c>
      <c r="AH157" s="137">
        <v>1</v>
      </c>
      <c r="AI157" s="137">
        <v>0</v>
      </c>
      <c r="AJ157" s="137">
        <v>0</v>
      </c>
      <c r="AK157" s="137">
        <v>0</v>
      </c>
      <c r="AL157" s="137">
        <v>0</v>
      </c>
      <c r="AM157" s="137">
        <v>0</v>
      </c>
      <c r="AN157" s="137">
        <v>0</v>
      </c>
      <c r="AO157" s="137">
        <v>0</v>
      </c>
      <c r="AP157" s="137">
        <v>0</v>
      </c>
      <c r="AQ157" s="137">
        <v>0</v>
      </c>
      <c r="AR157" s="137" t="s">
        <v>1155</v>
      </c>
      <c r="AS157" s="137">
        <v>0</v>
      </c>
      <c r="AT157" s="137">
        <v>0</v>
      </c>
      <c r="AU157" s="137">
        <v>0</v>
      </c>
      <c r="AV157" s="137">
        <v>0</v>
      </c>
      <c r="AW157" s="137">
        <v>0</v>
      </c>
      <c r="AX157" s="137">
        <v>0</v>
      </c>
      <c r="AY157" s="137">
        <v>0</v>
      </c>
      <c r="AZ157" s="137">
        <v>0</v>
      </c>
      <c r="BA157" s="137">
        <v>0</v>
      </c>
      <c r="BB157" s="137">
        <v>0</v>
      </c>
      <c r="BC157" s="137">
        <v>0</v>
      </c>
      <c r="BD157" s="137">
        <v>0</v>
      </c>
      <c r="BE157" s="137">
        <v>0</v>
      </c>
      <c r="BF157" s="137">
        <v>0</v>
      </c>
      <c r="BG157" s="137">
        <v>0</v>
      </c>
      <c r="BH157" s="137">
        <v>0</v>
      </c>
      <c r="BI157" s="137">
        <v>0</v>
      </c>
      <c r="BJ157" s="137">
        <v>0</v>
      </c>
      <c r="BK157" s="137">
        <v>1</v>
      </c>
      <c r="BL157" s="137">
        <v>0</v>
      </c>
      <c r="BM157" s="137">
        <v>0</v>
      </c>
      <c r="BN157" s="137">
        <v>0</v>
      </c>
      <c r="BO157" s="137">
        <v>0</v>
      </c>
      <c r="BP157" s="137">
        <v>1</v>
      </c>
      <c r="BQ157" s="137">
        <v>0</v>
      </c>
      <c r="BR157" s="137">
        <v>0</v>
      </c>
      <c r="BS157" s="137">
        <v>0</v>
      </c>
      <c r="BT157" s="137">
        <v>0</v>
      </c>
      <c r="BU157" s="137">
        <v>0</v>
      </c>
      <c r="BV157" s="137">
        <v>0</v>
      </c>
      <c r="BW157" s="137">
        <v>0</v>
      </c>
      <c r="BX157" s="137">
        <v>0</v>
      </c>
      <c r="BY157" s="137">
        <v>0</v>
      </c>
      <c r="BZ157" s="137">
        <v>1</v>
      </c>
      <c r="CA157" s="137" t="s">
        <v>1324</v>
      </c>
      <c r="CB157" s="137">
        <v>1</v>
      </c>
      <c r="CC157" s="161" t="s">
        <v>1057</v>
      </c>
      <c r="CD157" s="137">
        <v>1</v>
      </c>
      <c r="CE157" s="161" t="s">
        <v>1109</v>
      </c>
      <c r="CF157" s="161" t="s">
        <v>1441</v>
      </c>
      <c r="CG157" s="137">
        <v>1</v>
      </c>
      <c r="CH157" s="161" t="s">
        <v>1044</v>
      </c>
      <c r="CI157" s="137">
        <v>1</v>
      </c>
      <c r="CJ157" s="161" t="s">
        <v>1044</v>
      </c>
      <c r="CK157" s="161" t="s">
        <v>982</v>
      </c>
      <c r="CL157" s="137">
        <v>1</v>
      </c>
      <c r="CM157" s="161" t="s">
        <v>1044</v>
      </c>
      <c r="CN157" s="161" t="s">
        <v>1442</v>
      </c>
      <c r="CO157" s="161" t="s">
        <v>1060</v>
      </c>
      <c r="CP157" s="161" t="s">
        <v>1044</v>
      </c>
      <c r="CQ157" s="161" t="s">
        <v>993</v>
      </c>
      <c r="CR157" s="137">
        <v>0</v>
      </c>
      <c r="CS157" s="137" t="s">
        <v>947</v>
      </c>
      <c r="CT157" s="137" t="s">
        <v>947</v>
      </c>
      <c r="CU157" s="137">
        <v>0</v>
      </c>
      <c r="CV157" s="137" t="s">
        <v>947</v>
      </c>
      <c r="CW157" s="137" t="s">
        <v>947</v>
      </c>
      <c r="CX157" s="137">
        <v>1</v>
      </c>
      <c r="CY157" s="161" t="s">
        <v>1005</v>
      </c>
      <c r="CZ157" s="137">
        <v>2</v>
      </c>
      <c r="DA157" s="137"/>
      <c r="DB157" s="152"/>
    </row>
    <row r="158" spans="1:125" ht="16">
      <c r="A158" s="1" t="s">
        <v>652</v>
      </c>
      <c r="B158" s="137">
        <v>22106107</v>
      </c>
      <c r="C158" s="161" t="s">
        <v>1443</v>
      </c>
      <c r="D158" s="159">
        <v>44579</v>
      </c>
      <c r="E158" s="137">
        <v>72.599999999999994</v>
      </c>
      <c r="F158" s="137">
        <v>9.5</v>
      </c>
      <c r="G158" s="137">
        <v>18.02</v>
      </c>
      <c r="H158" s="137">
        <v>44.5</v>
      </c>
      <c r="I158" s="137">
        <v>29</v>
      </c>
      <c r="J158" s="137">
        <v>6</v>
      </c>
      <c r="K158" s="137">
        <v>1</v>
      </c>
      <c r="L158" s="137">
        <v>1</v>
      </c>
      <c r="M158" s="137">
        <v>0</v>
      </c>
      <c r="N158" s="137">
        <v>6</v>
      </c>
      <c r="O158" s="137">
        <v>9</v>
      </c>
      <c r="P158" s="137">
        <v>1450</v>
      </c>
      <c r="Q158" s="137">
        <v>39</v>
      </c>
      <c r="R158" s="137">
        <v>27</v>
      </c>
      <c r="S158" s="137">
        <v>26</v>
      </c>
      <c r="T158" s="159">
        <v>28651</v>
      </c>
      <c r="U158" s="137">
        <v>42.5</v>
      </c>
      <c r="V158" s="137">
        <v>1</v>
      </c>
      <c r="W158" s="137">
        <v>1</v>
      </c>
      <c r="X158" s="137">
        <v>0</v>
      </c>
      <c r="Y158" s="137">
        <v>3</v>
      </c>
      <c r="Z158" s="137">
        <v>0</v>
      </c>
      <c r="AA158" s="137">
        <v>0</v>
      </c>
      <c r="AB158" s="137">
        <v>0</v>
      </c>
      <c r="AC158" s="137">
        <v>0</v>
      </c>
      <c r="AD158" s="137">
        <v>0</v>
      </c>
      <c r="AE158" s="137">
        <v>1</v>
      </c>
      <c r="AF158" s="137">
        <v>0</v>
      </c>
      <c r="AG158" s="137">
        <v>0</v>
      </c>
      <c r="AH158" s="137">
        <v>1</v>
      </c>
      <c r="AI158" s="137">
        <v>0</v>
      </c>
      <c r="AJ158" s="137">
        <v>0</v>
      </c>
      <c r="AK158" s="137">
        <v>0</v>
      </c>
      <c r="AL158" s="137">
        <v>0</v>
      </c>
      <c r="AM158" s="137">
        <v>0</v>
      </c>
      <c r="AN158" s="137">
        <v>0</v>
      </c>
      <c r="AO158" s="137">
        <v>0</v>
      </c>
      <c r="AP158" s="137">
        <v>0</v>
      </c>
      <c r="AQ158" s="137">
        <v>0</v>
      </c>
      <c r="AR158" s="137" t="s">
        <v>1155</v>
      </c>
      <c r="AS158" s="137">
        <v>0</v>
      </c>
      <c r="AT158" s="137">
        <v>0</v>
      </c>
      <c r="AU158" s="137">
        <v>0</v>
      </c>
      <c r="AV158" s="137">
        <v>0</v>
      </c>
      <c r="AW158" s="137">
        <v>0</v>
      </c>
      <c r="AX158" s="137">
        <v>0</v>
      </c>
      <c r="AY158" s="137">
        <v>0</v>
      </c>
      <c r="AZ158" s="137">
        <v>0</v>
      </c>
      <c r="BA158" s="137">
        <v>0</v>
      </c>
      <c r="BB158" s="137">
        <v>0</v>
      </c>
      <c r="BC158" s="137">
        <v>0</v>
      </c>
      <c r="BD158" s="137">
        <v>0</v>
      </c>
      <c r="BE158" s="137">
        <v>0</v>
      </c>
      <c r="BF158" s="137">
        <v>0</v>
      </c>
      <c r="BG158" s="137">
        <v>0</v>
      </c>
      <c r="BH158" s="137">
        <v>0</v>
      </c>
      <c r="BI158" s="137">
        <v>0</v>
      </c>
      <c r="BJ158" s="137">
        <v>0</v>
      </c>
      <c r="BK158" s="137">
        <v>1</v>
      </c>
      <c r="BL158" s="137">
        <v>0</v>
      </c>
      <c r="BM158" s="137">
        <v>0</v>
      </c>
      <c r="BN158" s="137">
        <v>0</v>
      </c>
      <c r="BO158" s="137">
        <v>0</v>
      </c>
      <c r="BP158" s="137">
        <v>0</v>
      </c>
      <c r="BQ158" s="137">
        <v>1</v>
      </c>
      <c r="BR158" s="137">
        <v>0</v>
      </c>
      <c r="BS158" s="137">
        <v>1</v>
      </c>
      <c r="BT158" s="137">
        <v>0</v>
      </c>
      <c r="BU158" s="137">
        <v>0</v>
      </c>
      <c r="BV158" s="137">
        <v>0</v>
      </c>
      <c r="BW158" s="137">
        <v>0</v>
      </c>
      <c r="BX158" s="137">
        <v>0</v>
      </c>
      <c r="BY158" s="137">
        <v>0</v>
      </c>
      <c r="BZ158" s="137">
        <v>1</v>
      </c>
      <c r="CA158" s="137" t="s">
        <v>1324</v>
      </c>
      <c r="CB158" s="137">
        <v>1</v>
      </c>
      <c r="CC158" s="161" t="s">
        <v>1057</v>
      </c>
      <c r="CD158" s="137">
        <v>1</v>
      </c>
      <c r="CE158" s="161" t="s">
        <v>1109</v>
      </c>
      <c r="CF158" s="161" t="s">
        <v>1441</v>
      </c>
      <c r="CG158" s="137">
        <v>1</v>
      </c>
      <c r="CH158" s="161" t="s">
        <v>1044</v>
      </c>
      <c r="CI158" s="137">
        <v>1</v>
      </c>
      <c r="CJ158" s="161" t="s">
        <v>1044</v>
      </c>
      <c r="CK158" s="161" t="s">
        <v>982</v>
      </c>
      <c r="CL158" s="137">
        <v>1</v>
      </c>
      <c r="CM158" s="161" t="s">
        <v>1044</v>
      </c>
      <c r="CN158" s="161" t="s">
        <v>1442</v>
      </c>
      <c r="CO158" s="161" t="s">
        <v>1060</v>
      </c>
      <c r="CP158" s="161" t="s">
        <v>1044</v>
      </c>
      <c r="CQ158" s="161" t="s">
        <v>993</v>
      </c>
      <c r="CR158" s="137">
        <v>0</v>
      </c>
      <c r="CS158" s="137" t="s">
        <v>947</v>
      </c>
      <c r="CT158" s="137" t="s">
        <v>947</v>
      </c>
      <c r="CU158" s="137">
        <v>0</v>
      </c>
      <c r="CV158" s="137" t="s">
        <v>947</v>
      </c>
      <c r="CW158" s="137" t="s">
        <v>947</v>
      </c>
      <c r="CX158" s="137">
        <v>1</v>
      </c>
      <c r="CY158" s="161" t="s">
        <v>1005</v>
      </c>
      <c r="CZ158" s="137">
        <v>2</v>
      </c>
      <c r="DA158" s="137"/>
      <c r="DB158" s="152"/>
    </row>
    <row r="159" spans="1:125" ht="16">
      <c r="A159" s="1" t="s">
        <v>655</v>
      </c>
      <c r="B159" s="137">
        <v>22107905</v>
      </c>
      <c r="C159" s="161" t="s">
        <v>1444</v>
      </c>
      <c r="D159" s="159">
        <v>44579</v>
      </c>
      <c r="E159" s="137">
        <v>71</v>
      </c>
      <c r="F159" s="137">
        <v>9.1</v>
      </c>
      <c r="G159" s="137">
        <v>18.05</v>
      </c>
      <c r="H159" s="137">
        <v>43</v>
      </c>
      <c r="I159" s="137">
        <v>38</v>
      </c>
      <c r="J159" s="137">
        <v>3</v>
      </c>
      <c r="K159" s="137">
        <v>0</v>
      </c>
      <c r="L159" s="137">
        <v>1</v>
      </c>
      <c r="M159" s="137">
        <v>0</v>
      </c>
      <c r="N159" s="137">
        <v>9</v>
      </c>
      <c r="O159" s="137">
        <v>10</v>
      </c>
      <c r="P159" s="137">
        <v>3180</v>
      </c>
      <c r="Q159" s="137">
        <v>51</v>
      </c>
      <c r="R159" s="137">
        <v>32</v>
      </c>
      <c r="S159" s="137">
        <v>33</v>
      </c>
      <c r="T159" s="159">
        <v>29147</v>
      </c>
      <c r="U159" s="137">
        <v>41.62</v>
      </c>
      <c r="V159" s="137">
        <v>1</v>
      </c>
      <c r="W159" s="137">
        <v>0</v>
      </c>
      <c r="X159" s="137">
        <v>3</v>
      </c>
      <c r="Y159" s="137">
        <v>1</v>
      </c>
      <c r="Z159" s="137">
        <v>0</v>
      </c>
      <c r="AA159" s="137">
        <v>0</v>
      </c>
      <c r="AB159" s="137">
        <v>0</v>
      </c>
      <c r="AC159" s="137">
        <v>0</v>
      </c>
      <c r="AD159" s="137">
        <v>0</v>
      </c>
      <c r="AE159" s="137">
        <v>0</v>
      </c>
      <c r="AF159" s="137">
        <v>0</v>
      </c>
      <c r="AG159" s="137">
        <v>0</v>
      </c>
      <c r="AH159" s="137">
        <v>0</v>
      </c>
      <c r="AI159" s="137">
        <v>0</v>
      </c>
      <c r="AJ159" s="137">
        <v>0</v>
      </c>
      <c r="AK159" s="137">
        <v>0</v>
      </c>
      <c r="AL159" s="137">
        <v>0</v>
      </c>
      <c r="AM159" s="137">
        <v>0</v>
      </c>
      <c r="AN159" s="137">
        <v>0</v>
      </c>
      <c r="AO159" s="137">
        <v>0</v>
      </c>
      <c r="AP159" s="137">
        <v>0</v>
      </c>
      <c r="AQ159" s="137">
        <v>0</v>
      </c>
      <c r="AR159" s="137">
        <v>1</v>
      </c>
      <c r="AS159" s="137">
        <v>0</v>
      </c>
      <c r="AT159" s="137">
        <v>0</v>
      </c>
      <c r="AU159" s="137">
        <v>0</v>
      </c>
      <c r="AV159" s="137">
        <v>0</v>
      </c>
      <c r="AW159" s="137">
        <v>0</v>
      </c>
      <c r="AX159" s="137">
        <v>0</v>
      </c>
      <c r="AY159" s="137">
        <v>0</v>
      </c>
      <c r="AZ159" s="137">
        <v>0</v>
      </c>
      <c r="BA159" s="137">
        <v>0</v>
      </c>
      <c r="BB159" s="137">
        <v>0</v>
      </c>
      <c r="BC159" s="137">
        <v>0</v>
      </c>
      <c r="BD159" s="137">
        <v>0</v>
      </c>
      <c r="BE159" s="137">
        <v>0</v>
      </c>
      <c r="BF159" s="137">
        <v>0</v>
      </c>
      <c r="BG159" s="137">
        <v>0</v>
      </c>
      <c r="BH159" s="137">
        <v>0</v>
      </c>
      <c r="BI159" s="137">
        <v>0</v>
      </c>
      <c r="BJ159" s="137">
        <v>0</v>
      </c>
      <c r="BK159" s="137">
        <v>0</v>
      </c>
      <c r="BL159" s="137">
        <v>0</v>
      </c>
      <c r="BM159" s="137">
        <v>0</v>
      </c>
      <c r="BN159" s="137">
        <v>0</v>
      </c>
      <c r="BO159" s="137">
        <v>0</v>
      </c>
      <c r="BP159" s="137">
        <v>0</v>
      </c>
      <c r="BQ159" s="137">
        <v>0</v>
      </c>
      <c r="BR159" s="137">
        <v>0</v>
      </c>
      <c r="BS159" s="137">
        <v>0</v>
      </c>
      <c r="BT159" s="137">
        <v>0</v>
      </c>
      <c r="BU159" s="137">
        <v>0</v>
      </c>
      <c r="BV159" s="137">
        <v>0</v>
      </c>
      <c r="BW159" s="137">
        <v>0</v>
      </c>
      <c r="BX159" s="137">
        <v>0</v>
      </c>
      <c r="BY159" s="137">
        <v>0</v>
      </c>
      <c r="BZ159" s="137">
        <v>1</v>
      </c>
      <c r="CA159" s="137" t="s">
        <v>1003</v>
      </c>
      <c r="CB159" s="137">
        <v>0</v>
      </c>
      <c r="CC159" s="137" t="s">
        <v>947</v>
      </c>
      <c r="CD159" s="137">
        <v>1</v>
      </c>
      <c r="CE159" s="137" t="s">
        <v>950</v>
      </c>
      <c r="CF159" s="137" t="s">
        <v>1204</v>
      </c>
      <c r="CG159" s="137">
        <v>0</v>
      </c>
      <c r="CH159" s="137" t="s">
        <v>947</v>
      </c>
      <c r="CI159" s="137">
        <v>0</v>
      </c>
      <c r="CJ159" s="137" t="s">
        <v>947</v>
      </c>
      <c r="CK159" s="137" t="s">
        <v>947</v>
      </c>
      <c r="CL159" s="137">
        <v>0</v>
      </c>
      <c r="CM159" s="137" t="s">
        <v>947</v>
      </c>
      <c r="CN159" s="137" t="s">
        <v>947</v>
      </c>
      <c r="CO159" s="161" t="s">
        <v>1445</v>
      </c>
      <c r="CP159" s="137" t="s">
        <v>1446</v>
      </c>
      <c r="CQ159" s="161" t="s">
        <v>991</v>
      </c>
      <c r="CR159" s="137">
        <v>0</v>
      </c>
      <c r="CS159" s="137" t="s">
        <v>947</v>
      </c>
      <c r="CT159" s="137" t="s">
        <v>947</v>
      </c>
      <c r="CU159" s="137">
        <v>0</v>
      </c>
      <c r="CV159" s="137" t="s">
        <v>947</v>
      </c>
      <c r="CW159" s="137" t="s">
        <v>947</v>
      </c>
      <c r="CX159" s="137">
        <v>0</v>
      </c>
      <c r="CY159" s="137" t="s">
        <v>947</v>
      </c>
      <c r="CZ159" s="137">
        <v>2</v>
      </c>
      <c r="DA159" s="137"/>
      <c r="DB159" s="152"/>
    </row>
    <row r="160" spans="1:125" ht="16">
      <c r="A160" s="1" t="s">
        <v>660</v>
      </c>
      <c r="B160" s="137">
        <v>22105736</v>
      </c>
      <c r="C160" s="161" t="s">
        <v>1447</v>
      </c>
      <c r="D160" s="159">
        <v>44585</v>
      </c>
      <c r="E160" s="137">
        <v>68.8</v>
      </c>
      <c r="F160" s="137">
        <v>8.1</v>
      </c>
      <c r="G160" s="137">
        <v>17.11</v>
      </c>
      <c r="H160" s="137">
        <v>44.7</v>
      </c>
      <c r="I160" s="137">
        <v>27</v>
      </c>
      <c r="J160" s="137">
        <v>0</v>
      </c>
      <c r="K160" s="137">
        <v>1</v>
      </c>
      <c r="L160" s="137">
        <v>1</v>
      </c>
      <c r="M160" s="137">
        <v>0</v>
      </c>
      <c r="N160" s="137">
        <v>7</v>
      </c>
      <c r="O160" s="137">
        <v>9</v>
      </c>
      <c r="P160" s="137">
        <v>960</v>
      </c>
      <c r="Q160" s="137">
        <v>31</v>
      </c>
      <c r="R160" s="137">
        <v>24</v>
      </c>
      <c r="S160" s="137">
        <v>22</v>
      </c>
      <c r="T160" s="159">
        <v>34003</v>
      </c>
      <c r="U160" s="137">
        <v>27.75</v>
      </c>
      <c r="V160" s="137">
        <v>0</v>
      </c>
      <c r="W160" s="137">
        <v>1</v>
      </c>
      <c r="X160" s="137">
        <v>0</v>
      </c>
      <c r="Y160" s="137">
        <v>2</v>
      </c>
      <c r="Z160" s="137">
        <v>0</v>
      </c>
      <c r="AA160" s="137">
        <v>0</v>
      </c>
      <c r="AB160" s="137">
        <v>0</v>
      </c>
      <c r="AC160" s="137">
        <v>0</v>
      </c>
      <c r="AD160" s="137">
        <v>0</v>
      </c>
      <c r="AE160" s="137">
        <v>1</v>
      </c>
      <c r="AF160" s="137">
        <v>0</v>
      </c>
      <c r="AG160" s="137">
        <v>0</v>
      </c>
      <c r="AH160" s="137">
        <v>1</v>
      </c>
      <c r="AI160" s="137">
        <v>0</v>
      </c>
      <c r="AJ160" s="137">
        <v>0</v>
      </c>
      <c r="AK160" s="137">
        <v>0</v>
      </c>
      <c r="AL160" s="137">
        <v>0</v>
      </c>
      <c r="AM160" s="137">
        <v>0</v>
      </c>
      <c r="AN160" s="137">
        <v>0</v>
      </c>
      <c r="AO160" s="137">
        <v>0</v>
      </c>
      <c r="AP160" s="137">
        <v>0</v>
      </c>
      <c r="AQ160" s="137">
        <v>0</v>
      </c>
      <c r="AR160" s="137">
        <v>1</v>
      </c>
      <c r="AS160" s="137">
        <v>1</v>
      </c>
      <c r="AT160" s="137">
        <v>0</v>
      </c>
      <c r="AU160" s="137">
        <v>0</v>
      </c>
      <c r="AV160" s="137">
        <v>0</v>
      </c>
      <c r="AW160" s="137">
        <v>0</v>
      </c>
      <c r="AX160" s="137" t="s">
        <v>1448</v>
      </c>
      <c r="AY160" s="137">
        <v>0</v>
      </c>
      <c r="AZ160" s="137">
        <v>0</v>
      </c>
      <c r="BA160" s="137">
        <v>0</v>
      </c>
      <c r="BB160" s="137">
        <v>0</v>
      </c>
      <c r="BC160" s="137">
        <v>0</v>
      </c>
      <c r="BD160" s="137">
        <v>0</v>
      </c>
      <c r="BE160" s="137">
        <v>0</v>
      </c>
      <c r="BF160" s="137">
        <v>0</v>
      </c>
      <c r="BG160" s="137">
        <v>0</v>
      </c>
      <c r="BH160" s="137">
        <v>0</v>
      </c>
      <c r="BI160" s="137">
        <v>0</v>
      </c>
      <c r="BJ160" s="137">
        <v>0</v>
      </c>
      <c r="BK160" s="137">
        <v>0</v>
      </c>
      <c r="BL160" s="137">
        <v>0</v>
      </c>
      <c r="BM160" s="137">
        <v>0</v>
      </c>
      <c r="BN160" s="137">
        <v>0</v>
      </c>
      <c r="BO160" s="137">
        <v>0</v>
      </c>
      <c r="BP160" s="137">
        <v>0</v>
      </c>
      <c r="BQ160" s="137">
        <v>0</v>
      </c>
      <c r="BR160" s="137">
        <v>0</v>
      </c>
      <c r="BS160" s="137">
        <v>0</v>
      </c>
      <c r="BT160" s="137">
        <v>0</v>
      </c>
      <c r="BU160" s="137">
        <v>0</v>
      </c>
      <c r="BV160" s="137">
        <v>0</v>
      </c>
      <c r="BW160" s="137">
        <v>0</v>
      </c>
      <c r="BX160" s="137">
        <v>0</v>
      </c>
      <c r="BY160" s="137">
        <v>0</v>
      </c>
      <c r="BZ160" s="137">
        <v>1</v>
      </c>
      <c r="CA160" s="137" t="s">
        <v>1449</v>
      </c>
      <c r="CB160" s="137">
        <v>1</v>
      </c>
      <c r="CC160" s="161" t="s">
        <v>1057</v>
      </c>
      <c r="CD160" s="137">
        <v>1</v>
      </c>
      <c r="CE160" s="161" t="s">
        <v>1044</v>
      </c>
      <c r="CF160" s="161" t="s">
        <v>1450</v>
      </c>
      <c r="CG160" s="137">
        <v>1</v>
      </c>
      <c r="CH160" s="161" t="s">
        <v>1044</v>
      </c>
      <c r="CI160" s="137">
        <v>0</v>
      </c>
      <c r="CJ160" s="137" t="s">
        <v>947</v>
      </c>
      <c r="CK160" s="137" t="s">
        <v>947</v>
      </c>
      <c r="CL160" s="137">
        <v>1</v>
      </c>
      <c r="CM160" s="137" t="s">
        <v>1451</v>
      </c>
      <c r="CN160" s="161" t="s">
        <v>1452</v>
      </c>
      <c r="CO160" s="161" t="s">
        <v>1086</v>
      </c>
      <c r="CP160" s="161" t="s">
        <v>1044</v>
      </c>
      <c r="CQ160" s="161" t="s">
        <v>993</v>
      </c>
      <c r="CR160" s="137">
        <v>0</v>
      </c>
      <c r="CS160" s="137" t="s">
        <v>947</v>
      </c>
      <c r="CT160" s="137" t="s">
        <v>947</v>
      </c>
      <c r="CU160" s="137">
        <v>1</v>
      </c>
      <c r="CV160" s="159">
        <v>44580</v>
      </c>
      <c r="CW160" s="161" t="s">
        <v>1453</v>
      </c>
      <c r="CX160" s="137">
        <v>1</v>
      </c>
      <c r="CY160" s="182">
        <v>44702</v>
      </c>
      <c r="CZ160" s="137">
        <v>2</v>
      </c>
      <c r="DA160" s="137"/>
      <c r="DB160" s="152"/>
    </row>
    <row r="161" spans="1:140" ht="16">
      <c r="A161" s="1" t="s">
        <v>664</v>
      </c>
      <c r="B161" s="137">
        <v>22105737</v>
      </c>
      <c r="C161" s="161" t="s">
        <v>1454</v>
      </c>
      <c r="D161" s="159">
        <v>44585</v>
      </c>
      <c r="E161" s="137">
        <v>65.099999999999994</v>
      </c>
      <c r="F161" s="137">
        <v>6.5</v>
      </c>
      <c r="G161" s="137">
        <v>15.34</v>
      </c>
      <c r="H161" s="137">
        <v>41.9</v>
      </c>
      <c r="I161" s="137">
        <v>27</v>
      </c>
      <c r="J161" s="137">
        <v>0</v>
      </c>
      <c r="K161" s="137">
        <v>1</v>
      </c>
      <c r="L161" s="137">
        <v>1</v>
      </c>
      <c r="M161" s="137">
        <v>0</v>
      </c>
      <c r="N161" s="137">
        <v>8</v>
      </c>
      <c r="O161" s="137">
        <v>9</v>
      </c>
      <c r="P161" s="137">
        <v>800</v>
      </c>
      <c r="Q161" s="137">
        <v>34</v>
      </c>
      <c r="R161" s="137">
        <v>24</v>
      </c>
      <c r="S161" s="137">
        <v>23</v>
      </c>
      <c r="T161" s="159">
        <v>34003</v>
      </c>
      <c r="U161" s="137">
        <v>27.75</v>
      </c>
      <c r="V161" s="137">
        <v>0</v>
      </c>
      <c r="W161" s="137">
        <v>1</v>
      </c>
      <c r="X161" s="137">
        <v>0</v>
      </c>
      <c r="Y161" s="137">
        <v>2</v>
      </c>
      <c r="Z161" s="137">
        <v>0</v>
      </c>
      <c r="AA161" s="137">
        <v>0</v>
      </c>
      <c r="AB161" s="137">
        <v>0</v>
      </c>
      <c r="AC161" s="137">
        <v>0</v>
      </c>
      <c r="AD161" s="137">
        <v>0</v>
      </c>
      <c r="AE161" s="137">
        <v>1</v>
      </c>
      <c r="AF161" s="137">
        <v>0</v>
      </c>
      <c r="AG161" s="137">
        <v>0</v>
      </c>
      <c r="AH161" s="137">
        <v>1</v>
      </c>
      <c r="AI161" s="137">
        <v>0</v>
      </c>
      <c r="AJ161" s="137">
        <v>0</v>
      </c>
      <c r="AK161" s="137">
        <v>0</v>
      </c>
      <c r="AL161" s="137">
        <v>0</v>
      </c>
      <c r="AM161" s="137">
        <v>0</v>
      </c>
      <c r="AN161" s="137">
        <v>0</v>
      </c>
      <c r="AO161" s="137">
        <v>0</v>
      </c>
      <c r="AP161" s="137">
        <v>0</v>
      </c>
      <c r="AQ161" s="137">
        <v>0</v>
      </c>
      <c r="AR161" s="137">
        <v>1</v>
      </c>
      <c r="AS161" s="137">
        <v>0</v>
      </c>
      <c r="AT161" s="137">
        <v>0</v>
      </c>
      <c r="AU161" s="137">
        <v>0</v>
      </c>
      <c r="AV161" s="137">
        <v>0</v>
      </c>
      <c r="AW161" s="137">
        <v>0</v>
      </c>
      <c r="AX161" s="137">
        <v>0</v>
      </c>
      <c r="AY161" s="137">
        <v>0</v>
      </c>
      <c r="AZ161" s="137">
        <v>0</v>
      </c>
      <c r="BA161" s="137">
        <v>0</v>
      </c>
      <c r="BB161" s="137">
        <v>0</v>
      </c>
      <c r="BC161" s="137">
        <v>0</v>
      </c>
      <c r="BD161" s="137">
        <v>0</v>
      </c>
      <c r="BE161" s="137">
        <v>0</v>
      </c>
      <c r="BF161" s="137">
        <v>0</v>
      </c>
      <c r="BG161" s="137">
        <v>0</v>
      </c>
      <c r="BH161" s="137">
        <v>0</v>
      </c>
      <c r="BI161" s="137">
        <v>0</v>
      </c>
      <c r="BJ161" s="137">
        <v>0</v>
      </c>
      <c r="BK161" s="137">
        <v>1</v>
      </c>
      <c r="BL161" s="137">
        <v>0</v>
      </c>
      <c r="BM161" s="137">
        <v>0</v>
      </c>
      <c r="BN161" s="137">
        <v>0</v>
      </c>
      <c r="BO161" s="137">
        <v>0</v>
      </c>
      <c r="BP161" s="137">
        <v>0</v>
      </c>
      <c r="BQ161" s="137">
        <v>0</v>
      </c>
      <c r="BR161" s="137">
        <v>0</v>
      </c>
      <c r="BS161" s="137">
        <v>0</v>
      </c>
      <c r="BT161" s="137">
        <v>1</v>
      </c>
      <c r="BU161" s="137">
        <v>0</v>
      </c>
      <c r="BV161" s="137">
        <v>0</v>
      </c>
      <c r="BW161" s="137">
        <v>0</v>
      </c>
      <c r="BX161" s="137">
        <v>0</v>
      </c>
      <c r="BY161" s="137">
        <v>0</v>
      </c>
      <c r="BZ161" s="137">
        <v>1</v>
      </c>
      <c r="CA161" s="137" t="s">
        <v>1455</v>
      </c>
      <c r="CB161" s="137">
        <v>1</v>
      </c>
      <c r="CC161" s="161" t="s">
        <v>1057</v>
      </c>
      <c r="CD161" s="137">
        <v>1</v>
      </c>
      <c r="CE161" s="161" t="s">
        <v>1044</v>
      </c>
      <c r="CF161" s="161" t="s">
        <v>1456</v>
      </c>
      <c r="CG161" s="137">
        <v>1</v>
      </c>
      <c r="CH161" s="161" t="s">
        <v>1044</v>
      </c>
      <c r="CI161" s="137">
        <v>0</v>
      </c>
      <c r="CJ161" s="137" t="s">
        <v>947</v>
      </c>
      <c r="CK161" s="137" t="s">
        <v>947</v>
      </c>
      <c r="CL161" s="137">
        <v>1</v>
      </c>
      <c r="CM161" s="137" t="s">
        <v>1451</v>
      </c>
      <c r="CN161" s="161" t="s">
        <v>1452</v>
      </c>
      <c r="CO161" s="161" t="s">
        <v>1086</v>
      </c>
      <c r="CP161" s="161" t="s">
        <v>1044</v>
      </c>
      <c r="CQ161" s="161" t="s">
        <v>993</v>
      </c>
      <c r="CR161" s="137">
        <v>0</v>
      </c>
      <c r="CS161" s="137" t="s">
        <v>947</v>
      </c>
      <c r="CT161" s="137" t="s">
        <v>947</v>
      </c>
      <c r="CU161" s="137">
        <v>0</v>
      </c>
      <c r="CV161" s="137" t="s">
        <v>947</v>
      </c>
      <c r="CW161" s="137" t="s">
        <v>947</v>
      </c>
      <c r="CX161" s="137">
        <v>1</v>
      </c>
      <c r="CY161" s="182">
        <v>44702</v>
      </c>
      <c r="CZ161" s="137">
        <v>2</v>
      </c>
      <c r="DA161" s="137"/>
      <c r="DB161" s="152"/>
    </row>
    <row r="162" spans="1:140" s="127" customFormat="1" ht="16">
      <c r="A162" s="125" t="s">
        <v>667</v>
      </c>
      <c r="B162" s="167">
        <v>22107737</v>
      </c>
      <c r="C162" s="175" t="s">
        <v>1457</v>
      </c>
      <c r="D162" s="167"/>
      <c r="E162" s="167"/>
      <c r="F162" s="167"/>
      <c r="G162" s="167"/>
      <c r="H162" s="167"/>
      <c r="I162" s="167"/>
      <c r="J162" s="167"/>
      <c r="K162" s="167"/>
      <c r="L162" s="167"/>
      <c r="M162" s="167"/>
      <c r="N162" s="167"/>
      <c r="O162" s="167"/>
      <c r="P162" s="167"/>
      <c r="Q162" s="167"/>
      <c r="R162" s="167"/>
      <c r="S162" s="167"/>
      <c r="T162" s="167"/>
      <c r="U162" s="170"/>
      <c r="V162" s="167"/>
      <c r="W162" s="167"/>
      <c r="X162" s="167"/>
      <c r="Y162" s="167"/>
      <c r="Z162" s="167"/>
      <c r="AA162" s="167"/>
      <c r="AB162" s="167"/>
      <c r="AC162" s="167"/>
      <c r="AD162" s="167"/>
      <c r="AE162" s="167"/>
      <c r="AF162" s="167"/>
      <c r="AG162" s="167"/>
      <c r="AH162" s="167"/>
      <c r="AI162" s="167"/>
      <c r="AJ162" s="167"/>
      <c r="AK162" s="167"/>
      <c r="AL162" s="167"/>
      <c r="AM162" s="167"/>
      <c r="AN162" s="167"/>
      <c r="AO162" s="167"/>
      <c r="AP162" s="167"/>
      <c r="AQ162" s="167"/>
      <c r="AR162" s="167"/>
      <c r="AS162" s="167"/>
      <c r="AT162" s="167"/>
      <c r="AU162" s="167"/>
      <c r="AV162" s="167"/>
      <c r="AW162" s="167"/>
      <c r="AX162" s="167"/>
      <c r="AY162" s="167"/>
      <c r="AZ162" s="167"/>
      <c r="BA162" s="167"/>
      <c r="BB162" s="167"/>
      <c r="BC162" s="167"/>
      <c r="BD162" s="167"/>
      <c r="BE162" s="167"/>
      <c r="BF162" s="167"/>
      <c r="BG162" s="167"/>
      <c r="BH162" s="167"/>
      <c r="BI162" s="167"/>
      <c r="BJ162" s="167"/>
      <c r="BK162" s="167"/>
      <c r="BL162" s="167"/>
      <c r="BM162" s="167"/>
      <c r="BN162" s="167"/>
      <c r="BO162" s="167"/>
      <c r="BP162" s="167"/>
      <c r="BQ162" s="167"/>
      <c r="BR162" s="167"/>
      <c r="BS162" s="167"/>
      <c r="BT162" s="167"/>
      <c r="BU162" s="167"/>
      <c r="BV162" s="167"/>
      <c r="BW162" s="167"/>
      <c r="BX162" s="167"/>
      <c r="BY162" s="167"/>
      <c r="BZ162" s="167"/>
      <c r="CA162" s="167"/>
      <c r="CB162" s="167"/>
      <c r="CC162" s="167"/>
      <c r="CD162" s="167"/>
      <c r="CE162" s="167"/>
      <c r="CF162" s="167"/>
      <c r="CG162" s="167"/>
      <c r="CH162" s="167"/>
      <c r="CI162" s="167"/>
      <c r="CJ162" s="167"/>
      <c r="CK162" s="167"/>
      <c r="CL162" s="167"/>
      <c r="CM162" s="167"/>
      <c r="CN162" s="167"/>
      <c r="CO162" s="167"/>
      <c r="CP162" s="167"/>
      <c r="CQ162" s="167"/>
      <c r="CR162" s="167"/>
      <c r="CS162" s="167"/>
      <c r="CT162" s="167"/>
      <c r="CU162" s="167"/>
      <c r="CV162" s="167"/>
      <c r="CW162" s="167"/>
      <c r="CX162" s="167"/>
      <c r="CY162" s="167"/>
      <c r="CZ162" s="167"/>
      <c r="DA162" s="167"/>
      <c r="DB162" s="169"/>
    </row>
    <row r="163" spans="1:140" ht="16">
      <c r="A163" s="1" t="s">
        <v>670</v>
      </c>
      <c r="B163" s="137">
        <v>22107854</v>
      </c>
      <c r="C163" s="161" t="s">
        <v>1458</v>
      </c>
      <c r="D163" s="159">
        <v>44581</v>
      </c>
      <c r="E163" s="137">
        <v>74</v>
      </c>
      <c r="F163" s="137">
        <v>8.9</v>
      </c>
      <c r="G163" s="137">
        <v>16.25</v>
      </c>
      <c r="H163" s="137">
        <v>44</v>
      </c>
      <c r="I163" s="137">
        <v>38</v>
      </c>
      <c r="J163" s="137">
        <v>5</v>
      </c>
      <c r="K163" s="137">
        <v>0</v>
      </c>
      <c r="L163" s="137">
        <v>2</v>
      </c>
      <c r="M163" s="137">
        <v>0</v>
      </c>
      <c r="N163" s="137">
        <v>9</v>
      </c>
      <c r="O163" s="137">
        <v>10</v>
      </c>
      <c r="P163" s="137">
        <v>4240</v>
      </c>
      <c r="Q163" s="137">
        <v>53</v>
      </c>
      <c r="R163" s="137">
        <v>35.5</v>
      </c>
      <c r="S163" s="137">
        <v>36</v>
      </c>
      <c r="T163" s="159">
        <v>33180</v>
      </c>
      <c r="U163" s="137">
        <v>30.57</v>
      </c>
      <c r="V163" s="137">
        <v>1</v>
      </c>
      <c r="W163" s="137">
        <v>0</v>
      </c>
      <c r="X163" s="137">
        <v>0</v>
      </c>
      <c r="Y163" s="137">
        <v>1</v>
      </c>
      <c r="Z163" s="137">
        <v>0</v>
      </c>
      <c r="AA163" s="137">
        <v>0</v>
      </c>
      <c r="AB163" s="137">
        <v>0</v>
      </c>
      <c r="AC163" s="137">
        <v>0</v>
      </c>
      <c r="AD163" s="137">
        <v>0</v>
      </c>
      <c r="AE163" s="137">
        <v>0</v>
      </c>
      <c r="AF163" s="137">
        <v>0</v>
      </c>
      <c r="AG163" s="137">
        <v>0</v>
      </c>
      <c r="AH163" s="137">
        <v>0</v>
      </c>
      <c r="AI163" s="137">
        <v>0</v>
      </c>
      <c r="AJ163" s="137">
        <v>0</v>
      </c>
      <c r="AK163" s="137">
        <v>0</v>
      </c>
      <c r="AL163" s="137">
        <v>0</v>
      </c>
      <c r="AM163" s="137">
        <v>0</v>
      </c>
      <c r="AN163" s="137">
        <v>0</v>
      </c>
      <c r="AO163" s="137">
        <v>0</v>
      </c>
      <c r="AP163" s="137">
        <v>0</v>
      </c>
      <c r="AQ163" s="137">
        <v>0</v>
      </c>
      <c r="AR163" s="137" t="s">
        <v>954</v>
      </c>
      <c r="AS163" s="137">
        <v>0</v>
      </c>
      <c r="AT163" s="137">
        <v>0</v>
      </c>
      <c r="AU163" s="137">
        <v>0</v>
      </c>
      <c r="AV163" s="137">
        <v>0</v>
      </c>
      <c r="AW163" s="137">
        <v>0</v>
      </c>
      <c r="AX163" s="137">
        <v>0</v>
      </c>
      <c r="AY163" s="137">
        <v>0</v>
      </c>
      <c r="AZ163" s="137">
        <v>0</v>
      </c>
      <c r="BA163" s="137">
        <v>0</v>
      </c>
      <c r="BB163" s="137">
        <v>0</v>
      </c>
      <c r="BC163" s="137">
        <v>0</v>
      </c>
      <c r="BD163" s="137">
        <v>0</v>
      </c>
      <c r="BE163" s="137">
        <v>0</v>
      </c>
      <c r="BF163" s="137">
        <v>0</v>
      </c>
      <c r="BG163" s="137">
        <v>0</v>
      </c>
      <c r="BH163" s="137">
        <v>0</v>
      </c>
      <c r="BI163" s="137">
        <v>0</v>
      </c>
      <c r="BJ163" s="137">
        <v>0</v>
      </c>
      <c r="BK163" s="137">
        <v>0</v>
      </c>
      <c r="BL163" s="137">
        <v>0</v>
      </c>
      <c r="BM163" s="137">
        <v>0</v>
      </c>
      <c r="BN163" s="137">
        <v>0</v>
      </c>
      <c r="BO163" s="137">
        <v>0</v>
      </c>
      <c r="BP163" s="137">
        <v>0</v>
      </c>
      <c r="BQ163" s="137">
        <v>0</v>
      </c>
      <c r="BR163" s="137">
        <v>0</v>
      </c>
      <c r="BS163" s="137">
        <v>0</v>
      </c>
      <c r="BT163" s="137">
        <v>0</v>
      </c>
      <c r="BU163" s="137">
        <v>0</v>
      </c>
      <c r="BV163" s="137">
        <v>0</v>
      </c>
      <c r="BW163" s="137">
        <v>0</v>
      </c>
      <c r="BX163" s="137">
        <v>0</v>
      </c>
      <c r="BY163" s="137">
        <v>0</v>
      </c>
      <c r="BZ163" s="137">
        <v>1</v>
      </c>
      <c r="CA163" s="137" t="s">
        <v>1459</v>
      </c>
      <c r="CB163" s="137">
        <v>0</v>
      </c>
      <c r="CC163" s="137" t="s">
        <v>947</v>
      </c>
      <c r="CD163" s="137">
        <v>1</v>
      </c>
      <c r="CE163" s="137" t="s">
        <v>1460</v>
      </c>
      <c r="CF163" s="161" t="s">
        <v>1062</v>
      </c>
      <c r="CG163" s="137">
        <v>0</v>
      </c>
      <c r="CH163" s="137" t="s">
        <v>947</v>
      </c>
      <c r="CI163" s="137">
        <v>1</v>
      </c>
      <c r="CJ163" s="137" t="s">
        <v>1160</v>
      </c>
      <c r="CK163" s="161" t="s">
        <v>982</v>
      </c>
      <c r="CL163" s="137">
        <v>1</v>
      </c>
      <c r="CM163" s="137" t="s">
        <v>1160</v>
      </c>
      <c r="CN163" s="161" t="s">
        <v>1461</v>
      </c>
      <c r="CO163" s="137">
        <v>0</v>
      </c>
      <c r="CP163" s="137" t="s">
        <v>947</v>
      </c>
      <c r="CQ163" s="137" t="s">
        <v>947</v>
      </c>
      <c r="CR163" s="137">
        <v>0</v>
      </c>
      <c r="CS163" s="137" t="s">
        <v>947</v>
      </c>
      <c r="CT163" s="137" t="s">
        <v>947</v>
      </c>
      <c r="CU163" s="137">
        <v>0</v>
      </c>
      <c r="CV163" s="137" t="s">
        <v>947</v>
      </c>
      <c r="CW163" s="137" t="s">
        <v>947</v>
      </c>
      <c r="CX163" s="137">
        <v>1</v>
      </c>
      <c r="CY163" s="159">
        <v>44470</v>
      </c>
      <c r="CZ163" s="137">
        <v>2</v>
      </c>
      <c r="DA163" s="137"/>
      <c r="DB163" s="152"/>
    </row>
    <row r="164" spans="1:140" s="114" customFormat="1" ht="16">
      <c r="A164" s="112" t="s">
        <v>673</v>
      </c>
      <c r="B164" s="162">
        <v>22101304</v>
      </c>
      <c r="C164" s="163" t="s">
        <v>1462</v>
      </c>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c r="AB164" s="176"/>
      <c r="AC164" s="176"/>
      <c r="AD164" s="176"/>
      <c r="AE164" s="176"/>
      <c r="AF164" s="176"/>
      <c r="AG164" s="176"/>
      <c r="AH164" s="176"/>
      <c r="AI164" s="176"/>
      <c r="AJ164" s="176"/>
      <c r="AK164" s="176"/>
      <c r="AL164" s="176"/>
      <c r="AM164" s="176"/>
      <c r="AN164" s="176"/>
      <c r="AO164" s="176"/>
      <c r="AP164" s="176"/>
      <c r="AQ164" s="176"/>
      <c r="AR164" s="176"/>
      <c r="AS164" s="176"/>
      <c r="AT164" s="176"/>
      <c r="AU164" s="176"/>
      <c r="AV164" s="176"/>
      <c r="AW164" s="176"/>
      <c r="AX164" s="176"/>
      <c r="AY164" s="176"/>
      <c r="AZ164" s="176"/>
      <c r="BA164" s="176"/>
      <c r="BB164" s="176"/>
      <c r="BC164" s="176"/>
      <c r="BD164" s="176"/>
      <c r="BE164" s="176"/>
      <c r="BF164" s="176"/>
      <c r="BG164" s="176"/>
      <c r="BH164" s="176"/>
      <c r="BI164" s="176"/>
      <c r="BJ164" s="176"/>
      <c r="BK164" s="176"/>
      <c r="BL164" s="176"/>
      <c r="BM164" s="176"/>
      <c r="BN164" s="176"/>
      <c r="BO164" s="176"/>
      <c r="BP164" s="176"/>
      <c r="BQ164" s="176"/>
      <c r="BR164" s="176"/>
      <c r="BS164" s="176"/>
      <c r="BT164" s="176"/>
      <c r="BU164" s="176"/>
      <c r="BV164" s="176"/>
      <c r="BW164" s="176"/>
      <c r="BX164" s="176"/>
      <c r="BY164" s="176"/>
      <c r="BZ164" s="176"/>
      <c r="CA164" s="176"/>
      <c r="CB164" s="176"/>
      <c r="CC164" s="176"/>
      <c r="CD164" s="176"/>
      <c r="CE164" s="176"/>
      <c r="CF164" s="176"/>
      <c r="CG164" s="176"/>
      <c r="CH164" s="176"/>
      <c r="CI164" s="176"/>
      <c r="CJ164" s="176"/>
      <c r="CK164" s="176"/>
      <c r="CL164" s="176"/>
      <c r="CM164" s="176"/>
      <c r="CN164" s="176"/>
      <c r="CO164" s="176"/>
      <c r="CP164" s="176"/>
      <c r="CQ164" s="176"/>
      <c r="CR164" s="176"/>
      <c r="CS164" s="176"/>
      <c r="CT164" s="176"/>
      <c r="CU164" s="176"/>
      <c r="CV164" s="176"/>
      <c r="CW164" s="176"/>
      <c r="CX164" s="176"/>
      <c r="CY164" s="176"/>
      <c r="CZ164" s="176"/>
      <c r="DA164" s="176"/>
      <c r="DB164" s="176"/>
      <c r="DC164" s="176"/>
      <c r="DD164" s="176"/>
      <c r="DE164" s="176"/>
      <c r="DF164" s="176"/>
      <c r="DG164" s="176"/>
      <c r="DH164" s="176"/>
      <c r="DI164" s="176"/>
      <c r="DJ164" s="176"/>
      <c r="DK164" s="176"/>
      <c r="DL164" s="176"/>
      <c r="DM164" s="176"/>
      <c r="DN164" s="176"/>
      <c r="DO164" s="176"/>
      <c r="DP164" s="176"/>
      <c r="DQ164" s="176"/>
      <c r="DR164" s="176"/>
      <c r="DS164" s="176"/>
      <c r="DT164" s="176"/>
      <c r="DU164" s="176"/>
      <c r="DV164" s="176"/>
      <c r="DW164" s="176"/>
      <c r="DX164" s="176"/>
      <c r="DY164" s="176"/>
      <c r="DZ164" s="176"/>
      <c r="EA164" s="176"/>
      <c r="EB164" s="176"/>
      <c r="EC164" s="176"/>
      <c r="ED164" s="176"/>
      <c r="EE164" s="176"/>
      <c r="EF164" s="176"/>
      <c r="EG164" s="176"/>
      <c r="EH164" s="176"/>
      <c r="EI164" s="176"/>
      <c r="EJ164" s="176"/>
    </row>
    <row r="165" spans="1:140" s="110" customFormat="1" ht="16">
      <c r="A165" s="107" t="s">
        <v>677</v>
      </c>
      <c r="B165" s="153">
        <v>22109289</v>
      </c>
      <c r="C165" s="157" t="s">
        <v>1472</v>
      </c>
      <c r="D165" s="155">
        <v>44733</v>
      </c>
      <c r="E165" s="153">
        <v>65.3</v>
      </c>
      <c r="F165" s="153">
        <v>7.3</v>
      </c>
      <c r="G165" s="153">
        <v>17.12</v>
      </c>
      <c r="H165" s="153">
        <v>41.5</v>
      </c>
      <c r="I165" s="153">
        <v>31</v>
      </c>
      <c r="J165" s="153">
        <v>3</v>
      </c>
      <c r="K165" s="153">
        <v>1</v>
      </c>
      <c r="L165" s="153">
        <v>2</v>
      </c>
      <c r="M165" s="153">
        <v>0</v>
      </c>
      <c r="N165" s="153">
        <v>8</v>
      </c>
      <c r="O165" s="153">
        <v>9</v>
      </c>
      <c r="P165" s="153">
        <v>1630</v>
      </c>
      <c r="Q165" s="153">
        <v>39</v>
      </c>
      <c r="R165" s="153">
        <v>29</v>
      </c>
      <c r="S165" s="153">
        <v>25.5</v>
      </c>
      <c r="T165" s="155">
        <v>32960</v>
      </c>
      <c r="U165" s="153">
        <v>31.591666669999999</v>
      </c>
      <c r="V165" s="153">
        <v>0</v>
      </c>
      <c r="W165" s="153">
        <v>1</v>
      </c>
      <c r="X165" s="153">
        <v>1</v>
      </c>
      <c r="Y165" s="153">
        <v>2</v>
      </c>
      <c r="Z165" s="153">
        <v>0</v>
      </c>
      <c r="AA165" s="153">
        <v>0</v>
      </c>
      <c r="AB165" s="153">
        <v>0</v>
      </c>
      <c r="AC165" s="153">
        <v>1</v>
      </c>
      <c r="AD165" s="153">
        <v>0</v>
      </c>
      <c r="AE165" s="153">
        <v>0</v>
      </c>
      <c r="AF165" s="153">
        <v>0</v>
      </c>
      <c r="AG165" s="153">
        <v>0</v>
      </c>
      <c r="AH165" s="153">
        <v>0</v>
      </c>
      <c r="AI165" s="153">
        <v>0</v>
      </c>
      <c r="AJ165" s="153">
        <v>0</v>
      </c>
      <c r="AK165" s="153">
        <v>0</v>
      </c>
      <c r="AL165" s="153">
        <v>0</v>
      </c>
      <c r="AM165" s="153">
        <v>0</v>
      </c>
      <c r="AN165" s="153">
        <v>0</v>
      </c>
      <c r="AO165" s="153">
        <v>0</v>
      </c>
      <c r="AP165" s="153">
        <v>0</v>
      </c>
      <c r="AQ165" s="153">
        <v>0</v>
      </c>
      <c r="AR165" s="153">
        <v>1</v>
      </c>
      <c r="AS165" s="153">
        <v>0</v>
      </c>
      <c r="AT165" s="153">
        <v>0</v>
      </c>
      <c r="AU165" s="153">
        <v>0</v>
      </c>
      <c r="AV165" s="153">
        <v>0</v>
      </c>
      <c r="AW165" s="153">
        <v>0</v>
      </c>
      <c r="AX165" s="153">
        <v>0</v>
      </c>
      <c r="AY165" s="153">
        <v>0</v>
      </c>
      <c r="AZ165" s="153">
        <v>0</v>
      </c>
      <c r="BA165" s="153">
        <v>0</v>
      </c>
      <c r="BB165" s="153">
        <v>0</v>
      </c>
      <c r="BC165" s="153">
        <v>0</v>
      </c>
      <c r="BD165" s="153">
        <v>0</v>
      </c>
      <c r="BE165" s="153">
        <v>0</v>
      </c>
      <c r="BF165" s="153">
        <v>0</v>
      </c>
      <c r="BG165" s="153">
        <v>0</v>
      </c>
      <c r="BH165" s="153">
        <v>0</v>
      </c>
      <c r="BI165" s="153">
        <v>0</v>
      </c>
      <c r="BJ165" s="153">
        <v>0</v>
      </c>
      <c r="BK165" s="153">
        <v>1</v>
      </c>
      <c r="BL165" s="153">
        <v>0</v>
      </c>
      <c r="BM165" s="153">
        <v>0</v>
      </c>
      <c r="BN165" s="153">
        <v>0</v>
      </c>
      <c r="BO165" s="153">
        <v>0</v>
      </c>
      <c r="BP165" s="153">
        <v>0</v>
      </c>
      <c r="BQ165" s="153">
        <v>1</v>
      </c>
      <c r="BR165" s="153">
        <v>0</v>
      </c>
      <c r="BS165" s="153">
        <v>0</v>
      </c>
      <c r="BT165" s="153">
        <v>0</v>
      </c>
      <c r="BU165" s="153">
        <v>0</v>
      </c>
      <c r="BV165" s="153">
        <v>0</v>
      </c>
      <c r="BW165" s="153">
        <v>0</v>
      </c>
      <c r="BX165" s="153">
        <v>0</v>
      </c>
      <c r="BY165" s="153">
        <v>0</v>
      </c>
      <c r="BZ165" s="153">
        <v>1</v>
      </c>
      <c r="CA165" s="153" t="s">
        <v>1473</v>
      </c>
      <c r="CB165" s="153">
        <v>0</v>
      </c>
      <c r="CC165" s="153" t="s">
        <v>947</v>
      </c>
      <c r="CD165" s="153">
        <v>1</v>
      </c>
      <c r="CE165" s="153" t="s">
        <v>946</v>
      </c>
      <c r="CF165" s="157" t="s">
        <v>1209</v>
      </c>
      <c r="CG165" s="153">
        <v>1</v>
      </c>
      <c r="CH165" s="153" t="s">
        <v>946</v>
      </c>
      <c r="CI165" s="153">
        <v>1</v>
      </c>
      <c r="CJ165" s="153" t="s">
        <v>946</v>
      </c>
      <c r="CK165" s="157" t="s">
        <v>1146</v>
      </c>
      <c r="CL165" s="153">
        <v>1</v>
      </c>
      <c r="CM165" s="153" t="s">
        <v>1474</v>
      </c>
      <c r="CN165" s="157" t="s">
        <v>1475</v>
      </c>
      <c r="CO165" s="157" t="s">
        <v>1060</v>
      </c>
      <c r="CP165" s="153" t="s">
        <v>946</v>
      </c>
      <c r="CQ165" s="157" t="s">
        <v>993</v>
      </c>
      <c r="CR165" s="157" t="s">
        <v>1476</v>
      </c>
      <c r="CS165" s="157" t="s">
        <v>1477</v>
      </c>
      <c r="CT165" s="157" t="s">
        <v>1478</v>
      </c>
      <c r="CU165" s="153">
        <v>0</v>
      </c>
      <c r="CV165" s="153" t="s">
        <v>947</v>
      </c>
      <c r="CW165" s="153" t="s">
        <v>947</v>
      </c>
      <c r="CX165" s="153">
        <v>1</v>
      </c>
      <c r="CY165" s="157" t="s">
        <v>1149</v>
      </c>
      <c r="CZ165" s="153">
        <v>2</v>
      </c>
      <c r="DA165" s="153"/>
      <c r="DB165" s="158"/>
    </row>
    <row r="166" spans="1:140" s="110" customFormat="1" ht="16">
      <c r="A166" s="107" t="s">
        <v>681</v>
      </c>
      <c r="B166" s="153">
        <v>22109290</v>
      </c>
      <c r="C166" s="157" t="s">
        <v>1479</v>
      </c>
      <c r="D166" s="155">
        <v>44733</v>
      </c>
      <c r="E166" s="153">
        <v>68.400000000000006</v>
      </c>
      <c r="F166" s="153">
        <v>7.6</v>
      </c>
      <c r="G166" s="153">
        <v>16.239999999999998</v>
      </c>
      <c r="H166" s="153">
        <v>44.3</v>
      </c>
      <c r="I166" s="153">
        <v>31</v>
      </c>
      <c r="J166" s="153">
        <v>3</v>
      </c>
      <c r="K166" s="153">
        <v>1</v>
      </c>
      <c r="L166" s="153">
        <v>2</v>
      </c>
      <c r="M166" s="153">
        <v>0</v>
      </c>
      <c r="N166" s="153">
        <v>7</v>
      </c>
      <c r="O166" s="153">
        <v>8</v>
      </c>
      <c r="P166" s="153">
        <v>1780</v>
      </c>
      <c r="Q166" s="153">
        <v>41</v>
      </c>
      <c r="R166" s="153">
        <v>31</v>
      </c>
      <c r="S166" s="153">
        <v>25.5</v>
      </c>
      <c r="T166" s="155">
        <v>32960</v>
      </c>
      <c r="U166" s="153">
        <v>31.591666669999999</v>
      </c>
      <c r="V166" s="153">
        <v>0</v>
      </c>
      <c r="W166" s="153">
        <v>1</v>
      </c>
      <c r="X166" s="153">
        <v>1</v>
      </c>
      <c r="Y166" s="153">
        <v>2</v>
      </c>
      <c r="Z166" s="153">
        <v>0</v>
      </c>
      <c r="AA166" s="153">
        <v>0</v>
      </c>
      <c r="AB166" s="153">
        <v>0</v>
      </c>
      <c r="AC166" s="153">
        <v>1</v>
      </c>
      <c r="AD166" s="153">
        <v>0</v>
      </c>
      <c r="AE166" s="153">
        <v>0</v>
      </c>
      <c r="AF166" s="153">
        <v>0</v>
      </c>
      <c r="AG166" s="153">
        <v>0</v>
      </c>
      <c r="AH166" s="153">
        <v>0</v>
      </c>
      <c r="AI166" s="153">
        <v>0</v>
      </c>
      <c r="AJ166" s="153">
        <v>0</v>
      </c>
      <c r="AK166" s="153">
        <v>0</v>
      </c>
      <c r="AL166" s="153">
        <v>0</v>
      </c>
      <c r="AM166" s="153">
        <v>0</v>
      </c>
      <c r="AN166" s="153">
        <v>0</v>
      </c>
      <c r="AO166" s="153">
        <v>0</v>
      </c>
      <c r="AP166" s="153">
        <v>0</v>
      </c>
      <c r="AQ166" s="153">
        <v>0</v>
      </c>
      <c r="AR166" s="153">
        <v>1</v>
      </c>
      <c r="AS166" s="153">
        <v>0</v>
      </c>
      <c r="AT166" s="153">
        <v>0</v>
      </c>
      <c r="AU166" s="153">
        <v>0</v>
      </c>
      <c r="AV166" s="153">
        <v>0</v>
      </c>
      <c r="AW166" s="153">
        <v>0</v>
      </c>
      <c r="AX166" s="153">
        <v>0</v>
      </c>
      <c r="AY166" s="153">
        <v>0</v>
      </c>
      <c r="AZ166" s="153">
        <v>0</v>
      </c>
      <c r="BA166" s="153">
        <v>0</v>
      </c>
      <c r="BB166" s="153">
        <v>0</v>
      </c>
      <c r="BC166" s="153">
        <v>0</v>
      </c>
      <c r="BD166" s="153">
        <v>0</v>
      </c>
      <c r="BE166" s="153">
        <v>0</v>
      </c>
      <c r="BF166" s="153">
        <v>0</v>
      </c>
      <c r="BG166" s="153">
        <v>0</v>
      </c>
      <c r="BH166" s="153">
        <v>0</v>
      </c>
      <c r="BI166" s="153">
        <v>0</v>
      </c>
      <c r="BJ166" s="153">
        <v>0</v>
      </c>
      <c r="BK166" s="153">
        <v>1</v>
      </c>
      <c r="BL166" s="153">
        <v>0</v>
      </c>
      <c r="BM166" s="153">
        <v>0</v>
      </c>
      <c r="BN166" s="153">
        <v>0</v>
      </c>
      <c r="BO166" s="153">
        <v>0</v>
      </c>
      <c r="BP166" s="153">
        <v>0</v>
      </c>
      <c r="BQ166" s="153">
        <v>1</v>
      </c>
      <c r="BR166" s="153">
        <v>0</v>
      </c>
      <c r="BS166" s="153">
        <v>0</v>
      </c>
      <c r="BT166" s="153">
        <v>0</v>
      </c>
      <c r="BU166" s="153">
        <v>0</v>
      </c>
      <c r="BV166" s="153">
        <v>0</v>
      </c>
      <c r="BW166" s="153">
        <v>0</v>
      </c>
      <c r="BX166" s="153">
        <v>0</v>
      </c>
      <c r="BY166" s="153">
        <v>0</v>
      </c>
      <c r="BZ166" s="153">
        <v>1</v>
      </c>
      <c r="CA166" s="153" t="s">
        <v>1473</v>
      </c>
      <c r="CB166" s="153">
        <v>0</v>
      </c>
      <c r="CC166" s="153" t="s">
        <v>947</v>
      </c>
      <c r="CD166" s="153">
        <v>1</v>
      </c>
      <c r="CE166" s="153" t="s">
        <v>946</v>
      </c>
      <c r="CF166" s="157" t="s">
        <v>1209</v>
      </c>
      <c r="CG166" s="153">
        <v>1</v>
      </c>
      <c r="CH166" s="153" t="s">
        <v>946</v>
      </c>
      <c r="CI166" s="153">
        <v>1</v>
      </c>
      <c r="CJ166" s="153" t="s">
        <v>946</v>
      </c>
      <c r="CK166" s="157" t="s">
        <v>1146</v>
      </c>
      <c r="CL166" s="153">
        <v>1</v>
      </c>
      <c r="CM166" s="153" t="s">
        <v>946</v>
      </c>
      <c r="CN166" s="157" t="s">
        <v>1025</v>
      </c>
      <c r="CO166" s="157" t="s">
        <v>1060</v>
      </c>
      <c r="CP166" s="153" t="s">
        <v>946</v>
      </c>
      <c r="CQ166" s="157" t="s">
        <v>993</v>
      </c>
      <c r="CR166" s="157" t="s">
        <v>1476</v>
      </c>
      <c r="CS166" s="157" t="s">
        <v>1477</v>
      </c>
      <c r="CT166" s="157" t="s">
        <v>1478</v>
      </c>
      <c r="CU166" s="153">
        <v>0</v>
      </c>
      <c r="CV166" s="153" t="s">
        <v>947</v>
      </c>
      <c r="CW166" s="153" t="s">
        <v>947</v>
      </c>
      <c r="CX166" s="153">
        <v>1</v>
      </c>
      <c r="CY166" s="157" t="s">
        <v>1149</v>
      </c>
      <c r="CZ166" s="153">
        <v>2</v>
      </c>
      <c r="DA166" s="153"/>
      <c r="DB166" s="158"/>
    </row>
    <row r="167" spans="1:140" ht="16">
      <c r="A167" s="1" t="s">
        <v>683</v>
      </c>
      <c r="B167" s="137">
        <v>22108656</v>
      </c>
      <c r="C167" s="161" t="s">
        <v>1480</v>
      </c>
      <c r="D167" s="159">
        <v>44601</v>
      </c>
      <c r="E167" s="137">
        <v>65.5</v>
      </c>
      <c r="F167" s="137">
        <v>7.7</v>
      </c>
      <c r="G167" s="137">
        <v>17.95</v>
      </c>
      <c r="H167" s="137">
        <v>41.5</v>
      </c>
      <c r="I167" s="137">
        <v>39</v>
      </c>
      <c r="J167" s="137">
        <v>1</v>
      </c>
      <c r="K167" s="137">
        <v>0</v>
      </c>
      <c r="L167" s="137">
        <v>1</v>
      </c>
      <c r="M167" s="137">
        <v>1</v>
      </c>
      <c r="N167" s="137">
        <v>8</v>
      </c>
      <c r="O167" s="137">
        <v>10</v>
      </c>
      <c r="P167" s="137">
        <v>2850</v>
      </c>
      <c r="Q167" s="137">
        <v>49</v>
      </c>
      <c r="R167" s="137">
        <v>33</v>
      </c>
      <c r="S167" s="137">
        <v>32</v>
      </c>
      <c r="T167" s="159">
        <v>33911</v>
      </c>
      <c r="U167" s="137">
        <v>28.8</v>
      </c>
      <c r="V167" s="137">
        <v>1</v>
      </c>
      <c r="W167" s="137">
        <v>0</v>
      </c>
      <c r="X167" s="137">
        <v>0</v>
      </c>
      <c r="Y167" s="137">
        <v>1</v>
      </c>
      <c r="Z167" s="137">
        <v>0</v>
      </c>
      <c r="AA167" s="137">
        <v>0</v>
      </c>
      <c r="AB167" s="137">
        <v>0</v>
      </c>
      <c r="AC167" s="137">
        <v>0</v>
      </c>
      <c r="AD167" s="137">
        <v>0</v>
      </c>
      <c r="AE167" s="137">
        <v>0</v>
      </c>
      <c r="AF167" s="137">
        <v>0</v>
      </c>
      <c r="AG167" s="137">
        <v>0</v>
      </c>
      <c r="AH167" s="137">
        <v>0</v>
      </c>
      <c r="AI167" s="137">
        <v>0</v>
      </c>
      <c r="AJ167" s="137">
        <v>0</v>
      </c>
      <c r="AK167" s="137">
        <v>0</v>
      </c>
      <c r="AL167" s="137">
        <v>0</v>
      </c>
      <c r="AM167" s="137">
        <v>0</v>
      </c>
      <c r="AN167" s="137">
        <v>0</v>
      </c>
      <c r="AO167" s="137">
        <v>0</v>
      </c>
      <c r="AP167" s="137">
        <v>0</v>
      </c>
      <c r="AQ167" s="137">
        <v>0</v>
      </c>
      <c r="AR167" s="137" t="s">
        <v>954</v>
      </c>
      <c r="AS167" s="137">
        <v>0</v>
      </c>
      <c r="AT167" s="137">
        <v>0</v>
      </c>
      <c r="AU167" s="137">
        <v>0</v>
      </c>
      <c r="AV167" s="137">
        <v>0</v>
      </c>
      <c r="AW167" s="137">
        <v>0</v>
      </c>
      <c r="AX167" s="137">
        <v>0</v>
      </c>
      <c r="AY167" s="137">
        <v>0</v>
      </c>
      <c r="AZ167" s="137">
        <v>0</v>
      </c>
      <c r="BA167" s="137">
        <v>0</v>
      </c>
      <c r="BB167" s="137">
        <v>0</v>
      </c>
      <c r="BC167" s="137">
        <v>0</v>
      </c>
      <c r="BD167" s="137">
        <v>0</v>
      </c>
      <c r="BE167" s="137">
        <v>0</v>
      </c>
      <c r="BF167" s="137">
        <v>0</v>
      </c>
      <c r="BG167" s="137">
        <v>0</v>
      </c>
      <c r="BH167" s="137">
        <v>0</v>
      </c>
      <c r="BI167" s="137">
        <v>0</v>
      </c>
      <c r="BJ167" s="137">
        <v>0</v>
      </c>
      <c r="BK167" s="137">
        <v>0</v>
      </c>
      <c r="BL167" s="137">
        <v>0</v>
      </c>
      <c r="BM167" s="137">
        <v>0</v>
      </c>
      <c r="BN167" s="137">
        <v>0</v>
      </c>
      <c r="BO167" s="137">
        <v>0</v>
      </c>
      <c r="BP167" s="137">
        <v>0</v>
      </c>
      <c r="BQ167" s="137">
        <v>0</v>
      </c>
      <c r="BR167" s="137">
        <v>0</v>
      </c>
      <c r="BS167" s="137">
        <v>0</v>
      </c>
      <c r="BT167" s="137">
        <v>0</v>
      </c>
      <c r="BU167" s="137">
        <v>0</v>
      </c>
      <c r="BV167" s="137">
        <v>0</v>
      </c>
      <c r="BW167" s="137">
        <v>0</v>
      </c>
      <c r="BX167" s="137">
        <v>0</v>
      </c>
      <c r="BY167" s="137">
        <v>0</v>
      </c>
      <c r="BZ167" s="137">
        <v>1</v>
      </c>
      <c r="CA167" s="137" t="s">
        <v>1278</v>
      </c>
      <c r="CB167" s="137">
        <v>0</v>
      </c>
      <c r="CC167" s="137" t="s">
        <v>947</v>
      </c>
      <c r="CD167" s="137">
        <v>1</v>
      </c>
      <c r="CE167" s="137" t="s">
        <v>946</v>
      </c>
      <c r="CF167" s="161" t="s">
        <v>1057</v>
      </c>
      <c r="CG167" s="137">
        <v>0</v>
      </c>
      <c r="CH167" s="137" t="s">
        <v>947</v>
      </c>
      <c r="CI167" s="137">
        <v>1</v>
      </c>
      <c r="CJ167" s="137" t="s">
        <v>1481</v>
      </c>
      <c r="CK167" s="161" t="s">
        <v>1482</v>
      </c>
      <c r="CL167" s="137">
        <v>1</v>
      </c>
      <c r="CM167" s="137" t="s">
        <v>1160</v>
      </c>
      <c r="CN167" s="161" t="s">
        <v>1483</v>
      </c>
      <c r="CO167" s="137">
        <v>0</v>
      </c>
      <c r="CP167" s="137" t="s">
        <v>947</v>
      </c>
      <c r="CQ167" s="137" t="s">
        <v>947</v>
      </c>
      <c r="CR167" s="137">
        <v>0</v>
      </c>
      <c r="CS167" s="137" t="s">
        <v>947</v>
      </c>
      <c r="CT167" s="137" t="s">
        <v>947</v>
      </c>
      <c r="CU167" s="137">
        <v>0</v>
      </c>
      <c r="CV167" s="137" t="s">
        <v>947</v>
      </c>
      <c r="CW167" s="137" t="s">
        <v>947</v>
      </c>
      <c r="CX167" s="137">
        <v>1</v>
      </c>
      <c r="CY167" s="159">
        <v>44561</v>
      </c>
      <c r="CZ167" s="137">
        <v>2</v>
      </c>
      <c r="DA167" s="137"/>
      <c r="DB167" s="152"/>
    </row>
    <row r="168" spans="1:140" ht="16">
      <c r="A168" s="1" t="s">
        <v>686</v>
      </c>
      <c r="B168" s="137">
        <v>22105237</v>
      </c>
      <c r="C168" s="161" t="s">
        <v>1484</v>
      </c>
      <c r="D168" s="159">
        <v>44567</v>
      </c>
      <c r="E168" s="137">
        <v>73.900000000000006</v>
      </c>
      <c r="F168" s="137">
        <v>10</v>
      </c>
      <c r="G168" s="137">
        <v>18.309999999999999</v>
      </c>
      <c r="H168" s="137">
        <v>44.7</v>
      </c>
      <c r="I168" s="137">
        <v>26</v>
      </c>
      <c r="J168" s="137">
        <v>0</v>
      </c>
      <c r="K168" s="137">
        <v>1</v>
      </c>
      <c r="L168" s="137">
        <v>1</v>
      </c>
      <c r="M168" s="137">
        <v>0</v>
      </c>
      <c r="N168" s="137">
        <v>5</v>
      </c>
      <c r="O168" s="137">
        <v>8</v>
      </c>
      <c r="P168" s="137">
        <v>885</v>
      </c>
      <c r="Q168" s="137">
        <v>34</v>
      </c>
      <c r="R168" s="137">
        <v>24</v>
      </c>
      <c r="S168" s="137">
        <v>20.5</v>
      </c>
      <c r="T168" s="159">
        <v>31455</v>
      </c>
      <c r="U168" s="137">
        <v>34.58</v>
      </c>
      <c r="V168" s="137">
        <v>0</v>
      </c>
      <c r="W168" s="137">
        <v>1</v>
      </c>
      <c r="X168" s="137">
        <v>0</v>
      </c>
      <c r="Y168" s="137">
        <v>1</v>
      </c>
      <c r="Z168" s="137">
        <v>0</v>
      </c>
      <c r="AA168" s="137">
        <v>0</v>
      </c>
      <c r="AB168" s="137">
        <v>0</v>
      </c>
      <c r="AC168" s="137">
        <v>0</v>
      </c>
      <c r="AD168" s="137">
        <v>0</v>
      </c>
      <c r="AE168" s="137">
        <v>0</v>
      </c>
      <c r="AF168" s="137">
        <v>0</v>
      </c>
      <c r="AG168" s="137">
        <v>0</v>
      </c>
      <c r="AH168" s="137">
        <v>0</v>
      </c>
      <c r="AI168" s="137">
        <v>0</v>
      </c>
      <c r="AJ168" s="137">
        <v>0</v>
      </c>
      <c r="AK168" s="137">
        <v>0</v>
      </c>
      <c r="AL168" s="137">
        <v>0</v>
      </c>
      <c r="AM168" s="137">
        <v>0</v>
      </c>
      <c r="AN168" s="137">
        <v>0</v>
      </c>
      <c r="AO168" s="137">
        <v>0</v>
      </c>
      <c r="AP168" s="137">
        <v>0</v>
      </c>
      <c r="AQ168" s="137">
        <v>0</v>
      </c>
      <c r="AR168" s="137" t="s">
        <v>954</v>
      </c>
      <c r="AS168" s="137">
        <v>0</v>
      </c>
      <c r="AT168" s="137">
        <v>0</v>
      </c>
      <c r="AU168" s="137">
        <v>0</v>
      </c>
      <c r="AV168" s="137">
        <v>0</v>
      </c>
      <c r="AW168" s="137">
        <v>0</v>
      </c>
      <c r="AX168" s="137">
        <v>0</v>
      </c>
      <c r="AY168" s="137">
        <v>0</v>
      </c>
      <c r="AZ168" s="137">
        <v>0</v>
      </c>
      <c r="BA168" s="137">
        <v>0</v>
      </c>
      <c r="BB168" s="137">
        <v>0</v>
      </c>
      <c r="BC168" s="137">
        <v>0</v>
      </c>
      <c r="BD168" s="137">
        <v>0</v>
      </c>
      <c r="BE168" s="137">
        <v>0</v>
      </c>
      <c r="BF168" s="137">
        <v>0</v>
      </c>
      <c r="BG168" s="137">
        <v>0</v>
      </c>
      <c r="BH168" s="137">
        <v>0</v>
      </c>
      <c r="BI168" s="137">
        <v>0</v>
      </c>
      <c r="BJ168" s="137">
        <v>0</v>
      </c>
      <c r="BK168" s="137">
        <v>1</v>
      </c>
      <c r="BL168" s="137">
        <v>1</v>
      </c>
      <c r="BM168" s="137">
        <v>0</v>
      </c>
      <c r="BN168" s="137">
        <v>0</v>
      </c>
      <c r="BO168" s="137">
        <v>0</v>
      </c>
      <c r="BP168" s="137">
        <v>0</v>
      </c>
      <c r="BQ168" s="137">
        <v>1</v>
      </c>
      <c r="BR168" s="137">
        <v>0</v>
      </c>
      <c r="BS168" s="137">
        <v>0</v>
      </c>
      <c r="BT168" s="137">
        <v>1</v>
      </c>
      <c r="BU168" s="137">
        <v>0</v>
      </c>
      <c r="BV168" s="137">
        <v>0</v>
      </c>
      <c r="BW168" s="137">
        <v>0</v>
      </c>
      <c r="BX168" s="137">
        <v>0</v>
      </c>
      <c r="BY168" s="137">
        <v>0</v>
      </c>
      <c r="BZ168" s="137">
        <v>1</v>
      </c>
      <c r="CA168" s="137" t="s">
        <v>1289</v>
      </c>
      <c r="CB168" s="137">
        <v>1</v>
      </c>
      <c r="CC168" s="161" t="s">
        <v>1057</v>
      </c>
      <c r="CD168" s="137">
        <v>1</v>
      </c>
      <c r="CE168" s="161" t="s">
        <v>1205</v>
      </c>
      <c r="CF168" s="137" t="s">
        <v>1121</v>
      </c>
      <c r="CG168" s="137">
        <v>1</v>
      </c>
      <c r="CH168" s="161" t="s">
        <v>1485</v>
      </c>
      <c r="CI168" s="137">
        <v>0</v>
      </c>
      <c r="CJ168" s="137" t="s">
        <v>947</v>
      </c>
      <c r="CK168" s="137" t="s">
        <v>947</v>
      </c>
      <c r="CL168" s="137">
        <v>1</v>
      </c>
      <c r="CM168" s="161" t="s">
        <v>1044</v>
      </c>
      <c r="CN168" s="161" t="s">
        <v>1127</v>
      </c>
      <c r="CO168" s="161" t="s">
        <v>1060</v>
      </c>
      <c r="CP168" s="161" t="s">
        <v>1485</v>
      </c>
      <c r="CQ168" s="161" t="s">
        <v>993</v>
      </c>
      <c r="CR168" s="137">
        <v>0</v>
      </c>
      <c r="CS168" s="137" t="s">
        <v>947</v>
      </c>
      <c r="CT168" s="137" t="s">
        <v>947</v>
      </c>
      <c r="CU168" s="137">
        <v>0</v>
      </c>
      <c r="CV168" s="137" t="s">
        <v>947</v>
      </c>
      <c r="CW168" s="137" t="s">
        <v>947</v>
      </c>
      <c r="CX168" s="137">
        <v>1</v>
      </c>
      <c r="CY168" s="161" t="s">
        <v>1005</v>
      </c>
      <c r="CZ168" s="137">
        <v>2</v>
      </c>
      <c r="DA168" s="137"/>
      <c r="DB168" s="152"/>
    </row>
    <row r="169" spans="1:140" s="127" customFormat="1" ht="16">
      <c r="A169" s="125" t="s">
        <v>690</v>
      </c>
      <c r="B169" s="167">
        <v>22108457</v>
      </c>
      <c r="C169" s="175" t="s">
        <v>1486</v>
      </c>
      <c r="D169" s="167"/>
      <c r="E169" s="167"/>
      <c r="F169" s="167"/>
      <c r="G169" s="167"/>
      <c r="H169" s="167"/>
      <c r="I169" s="167"/>
      <c r="J169" s="167"/>
      <c r="K169" s="167"/>
      <c r="L169" s="167"/>
      <c r="M169" s="167"/>
      <c r="N169" s="167"/>
      <c r="O169" s="167"/>
      <c r="P169" s="167"/>
      <c r="Q169" s="167"/>
      <c r="R169" s="167"/>
      <c r="S169" s="167"/>
      <c r="T169" s="167"/>
      <c r="U169" s="170"/>
      <c r="V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7"/>
      <c r="AU169" s="167"/>
      <c r="AV169" s="167"/>
      <c r="AW169" s="167"/>
      <c r="AX169" s="167"/>
      <c r="AY169" s="167"/>
      <c r="AZ169" s="167"/>
      <c r="BA169" s="167"/>
      <c r="BB169" s="167"/>
      <c r="BC169" s="167"/>
      <c r="BD169" s="167"/>
      <c r="BE169" s="167"/>
      <c r="BF169" s="167"/>
      <c r="BG169" s="167"/>
      <c r="BH169" s="167"/>
      <c r="BI169" s="167"/>
      <c r="BJ169" s="167"/>
      <c r="BK169" s="167"/>
      <c r="BL169" s="167"/>
      <c r="BM169" s="167"/>
      <c r="BN169" s="167"/>
      <c r="BO169" s="167"/>
      <c r="BP169" s="167"/>
      <c r="BQ169" s="167"/>
      <c r="BR169" s="167"/>
      <c r="BS169" s="167"/>
      <c r="BT169" s="167"/>
      <c r="BU169" s="167"/>
      <c r="BV169" s="167"/>
      <c r="BW169" s="167"/>
      <c r="BX169" s="167"/>
      <c r="BY169" s="167"/>
      <c r="BZ169" s="167"/>
      <c r="CA169" s="167"/>
      <c r="CB169" s="167"/>
      <c r="CC169" s="167"/>
      <c r="CD169" s="167"/>
      <c r="CE169" s="167"/>
      <c r="CF169" s="167"/>
      <c r="CG169" s="167"/>
      <c r="CH169" s="167"/>
      <c r="CI169" s="167"/>
      <c r="CJ169" s="167"/>
      <c r="CK169" s="167"/>
      <c r="CL169" s="167"/>
      <c r="CM169" s="167"/>
      <c r="CN169" s="167"/>
      <c r="CO169" s="167"/>
      <c r="CP169" s="167"/>
      <c r="CQ169" s="167"/>
      <c r="CR169" s="167"/>
      <c r="CS169" s="167"/>
      <c r="CT169" s="167"/>
      <c r="CU169" s="167"/>
      <c r="CV169" s="167"/>
      <c r="CW169" s="167"/>
      <c r="CX169" s="167"/>
      <c r="CY169" s="167"/>
      <c r="CZ169" s="167"/>
      <c r="DA169" s="167"/>
      <c r="DB169" s="169"/>
    </row>
    <row r="170" spans="1:140" ht="16">
      <c r="A170" s="1" t="s">
        <v>694</v>
      </c>
      <c r="B170" s="137">
        <v>22109237</v>
      </c>
      <c r="C170" s="161" t="s">
        <v>1487</v>
      </c>
      <c r="D170" s="159">
        <v>44692</v>
      </c>
      <c r="E170" s="137">
        <v>66.099999999999994</v>
      </c>
      <c r="F170" s="137">
        <v>6.5</v>
      </c>
      <c r="G170" s="137">
        <v>14.88</v>
      </c>
      <c r="H170" s="137">
        <v>43.2</v>
      </c>
      <c r="I170" s="137">
        <v>38</v>
      </c>
      <c r="J170" s="137">
        <v>1</v>
      </c>
      <c r="K170" s="137">
        <v>0</v>
      </c>
      <c r="L170" s="137">
        <v>1</v>
      </c>
      <c r="M170" s="137">
        <v>0</v>
      </c>
      <c r="N170" s="137">
        <v>9</v>
      </c>
      <c r="O170" s="137">
        <v>10</v>
      </c>
      <c r="P170" s="137">
        <v>3350</v>
      </c>
      <c r="Q170" s="137">
        <v>51</v>
      </c>
      <c r="R170" s="137">
        <v>36.5</v>
      </c>
      <c r="S170" s="137">
        <v>32.5</v>
      </c>
      <c r="T170" s="159">
        <v>30734</v>
      </c>
      <c r="U170" s="137">
        <v>37.68</v>
      </c>
      <c r="V170" s="137">
        <v>2</v>
      </c>
      <c r="W170" s="137">
        <v>0</v>
      </c>
      <c r="X170" s="137">
        <v>0</v>
      </c>
      <c r="Y170" s="137">
        <v>2</v>
      </c>
      <c r="Z170" s="137">
        <v>0</v>
      </c>
      <c r="AA170" s="137">
        <v>0</v>
      </c>
      <c r="AB170" s="137">
        <v>0</v>
      </c>
      <c r="AC170" s="137">
        <v>0</v>
      </c>
      <c r="AD170" s="137">
        <v>0</v>
      </c>
      <c r="AE170" s="137">
        <v>0</v>
      </c>
      <c r="AF170" s="137">
        <v>0</v>
      </c>
      <c r="AG170" s="137">
        <v>0</v>
      </c>
      <c r="AH170" s="137">
        <v>0</v>
      </c>
      <c r="AI170" s="137">
        <v>0</v>
      </c>
      <c r="AJ170" s="137">
        <v>0</v>
      </c>
      <c r="AK170" s="137">
        <v>0</v>
      </c>
      <c r="AL170" s="137">
        <v>0</v>
      </c>
      <c r="AM170" s="137">
        <v>0</v>
      </c>
      <c r="AN170" s="137">
        <v>0</v>
      </c>
      <c r="AO170" s="137">
        <v>0</v>
      </c>
      <c r="AP170" s="137">
        <v>0</v>
      </c>
      <c r="AQ170" s="137">
        <v>0</v>
      </c>
      <c r="AR170" s="137">
        <v>1</v>
      </c>
      <c r="AS170" s="137">
        <v>1</v>
      </c>
      <c r="AT170" s="137">
        <v>0</v>
      </c>
      <c r="AU170" s="137">
        <v>0</v>
      </c>
      <c r="AV170" s="137">
        <v>0</v>
      </c>
      <c r="AW170" s="137">
        <v>0</v>
      </c>
      <c r="AX170" s="137" t="s">
        <v>1488</v>
      </c>
      <c r="AY170" s="137">
        <v>0</v>
      </c>
      <c r="AZ170" s="137">
        <v>0</v>
      </c>
      <c r="BA170" s="137">
        <v>0</v>
      </c>
      <c r="BB170" s="137">
        <v>0</v>
      </c>
      <c r="BC170" s="137">
        <v>0</v>
      </c>
      <c r="BD170" s="137">
        <v>0</v>
      </c>
      <c r="BE170" s="137">
        <v>0</v>
      </c>
      <c r="BF170" s="137">
        <v>0</v>
      </c>
      <c r="BG170" s="137">
        <v>0</v>
      </c>
      <c r="BH170" s="137">
        <v>0</v>
      </c>
      <c r="BI170" s="137">
        <v>0</v>
      </c>
      <c r="BJ170" s="137">
        <v>0</v>
      </c>
      <c r="BK170" s="137">
        <v>0</v>
      </c>
      <c r="BL170" s="137">
        <v>0</v>
      </c>
      <c r="BM170" s="137">
        <v>0</v>
      </c>
      <c r="BN170" s="137">
        <v>0</v>
      </c>
      <c r="BO170" s="137">
        <v>0</v>
      </c>
      <c r="BP170" s="137">
        <v>0</v>
      </c>
      <c r="BQ170" s="137">
        <v>0</v>
      </c>
      <c r="BR170" s="137">
        <v>0</v>
      </c>
      <c r="BS170" s="137">
        <v>0</v>
      </c>
      <c r="BT170" s="137">
        <v>0</v>
      </c>
      <c r="BU170" s="137">
        <v>0</v>
      </c>
      <c r="BV170" s="137">
        <v>0</v>
      </c>
      <c r="BW170" s="137">
        <v>0</v>
      </c>
      <c r="BX170" s="137">
        <v>0</v>
      </c>
      <c r="BY170" s="137">
        <v>0</v>
      </c>
      <c r="BZ170" s="137">
        <v>1</v>
      </c>
      <c r="CA170" s="137" t="s">
        <v>946</v>
      </c>
      <c r="CB170" s="137">
        <v>0</v>
      </c>
      <c r="CC170" s="137" t="s">
        <v>947</v>
      </c>
      <c r="CD170" s="137">
        <v>1</v>
      </c>
      <c r="CE170" s="159" t="s">
        <v>1489</v>
      </c>
      <c r="CF170" s="161" t="s">
        <v>1137</v>
      </c>
      <c r="CG170" s="137">
        <v>1</v>
      </c>
      <c r="CH170" s="137" t="s">
        <v>1490</v>
      </c>
      <c r="CI170" s="137">
        <v>1</v>
      </c>
      <c r="CJ170" s="137" t="s">
        <v>1491</v>
      </c>
      <c r="CK170" s="161" t="s">
        <v>982</v>
      </c>
      <c r="CL170" s="137">
        <v>1</v>
      </c>
      <c r="CM170" s="137" t="s">
        <v>1492</v>
      </c>
      <c r="CN170" s="161" t="s">
        <v>982</v>
      </c>
      <c r="CO170" s="137">
        <v>0</v>
      </c>
      <c r="CP170" s="137" t="s">
        <v>947</v>
      </c>
      <c r="CQ170" s="137" t="s">
        <v>947</v>
      </c>
      <c r="CR170" s="137">
        <v>0</v>
      </c>
      <c r="CS170" s="137" t="s">
        <v>947</v>
      </c>
      <c r="CT170" s="137" t="s">
        <v>947</v>
      </c>
      <c r="CU170" s="137">
        <v>0</v>
      </c>
      <c r="CV170" s="137" t="s">
        <v>947</v>
      </c>
      <c r="CW170" s="137" t="s">
        <v>947</v>
      </c>
      <c r="CX170" s="137">
        <v>1</v>
      </c>
      <c r="CY170" s="137" t="s">
        <v>1493</v>
      </c>
      <c r="CZ170" s="137">
        <v>2</v>
      </c>
      <c r="DA170" s="137"/>
      <c r="DB170" s="152"/>
    </row>
    <row r="171" spans="1:140" ht="16">
      <c r="A171" s="1" t="s">
        <v>699</v>
      </c>
      <c r="B171" s="137">
        <v>22108488</v>
      </c>
      <c r="C171" s="161" t="s">
        <v>1494</v>
      </c>
      <c r="D171" s="159">
        <v>44698</v>
      </c>
      <c r="E171" s="137"/>
      <c r="F171" s="137"/>
      <c r="G171" s="137"/>
      <c r="H171" s="137"/>
      <c r="I171" s="137">
        <v>27</v>
      </c>
      <c r="J171" s="137">
        <v>4</v>
      </c>
      <c r="K171" s="137">
        <v>1</v>
      </c>
      <c r="L171" s="137">
        <v>2</v>
      </c>
      <c r="M171" s="137">
        <v>0</v>
      </c>
      <c r="N171" s="137">
        <v>6</v>
      </c>
      <c r="O171" s="137">
        <v>8</v>
      </c>
      <c r="P171" s="137">
        <v>680</v>
      </c>
      <c r="Q171" s="137">
        <v>32.5</v>
      </c>
      <c r="R171" s="137">
        <v>22.5</v>
      </c>
      <c r="S171" s="137">
        <v>19</v>
      </c>
      <c r="T171" s="159">
        <v>31410</v>
      </c>
      <c r="U171" s="137">
        <v>35.590000000000003</v>
      </c>
      <c r="V171" s="137">
        <v>0</v>
      </c>
      <c r="W171" s="137">
        <v>1</v>
      </c>
      <c r="X171" s="137">
        <v>2</v>
      </c>
      <c r="Y171" s="137">
        <v>1</v>
      </c>
      <c r="Z171" s="137">
        <v>1</v>
      </c>
      <c r="AA171" s="137">
        <v>0</v>
      </c>
      <c r="AB171" s="137">
        <v>0</v>
      </c>
      <c r="AC171" s="137">
        <v>0</v>
      </c>
      <c r="AD171" s="137">
        <v>0</v>
      </c>
      <c r="AE171" s="137">
        <v>0</v>
      </c>
      <c r="AF171" s="137">
        <v>0</v>
      </c>
      <c r="AG171" s="137">
        <v>0</v>
      </c>
      <c r="AH171" s="137">
        <v>0</v>
      </c>
      <c r="AI171" s="137">
        <v>1</v>
      </c>
      <c r="AJ171" s="137">
        <v>0</v>
      </c>
      <c r="AK171" s="137">
        <v>0</v>
      </c>
      <c r="AL171" s="137">
        <v>1</v>
      </c>
      <c r="AM171" s="137">
        <v>10</v>
      </c>
      <c r="AN171" s="137">
        <v>1</v>
      </c>
      <c r="AO171" s="137">
        <v>10</v>
      </c>
      <c r="AP171" s="137">
        <v>0</v>
      </c>
      <c r="AQ171" s="137">
        <v>0</v>
      </c>
      <c r="AR171" s="137" t="s">
        <v>954</v>
      </c>
      <c r="AS171" s="137">
        <v>0</v>
      </c>
      <c r="AT171" s="137">
        <v>0</v>
      </c>
      <c r="AU171" s="137">
        <v>0</v>
      </c>
      <c r="AV171" s="137">
        <v>0</v>
      </c>
      <c r="AW171" s="137">
        <v>0</v>
      </c>
      <c r="AX171" s="137">
        <v>0</v>
      </c>
      <c r="AY171" s="137">
        <v>0</v>
      </c>
      <c r="AZ171" s="137">
        <v>0</v>
      </c>
      <c r="BA171" s="137">
        <v>0</v>
      </c>
      <c r="BB171" s="137">
        <v>0</v>
      </c>
      <c r="BC171" s="137">
        <v>0</v>
      </c>
      <c r="BD171" s="137">
        <v>0</v>
      </c>
      <c r="BE171" s="137">
        <v>0</v>
      </c>
      <c r="BF171" s="137">
        <v>0</v>
      </c>
      <c r="BG171" s="137">
        <v>0</v>
      </c>
      <c r="BH171" s="137">
        <v>0</v>
      </c>
      <c r="BI171" s="137">
        <v>0</v>
      </c>
      <c r="BJ171" s="137">
        <v>0</v>
      </c>
      <c r="BK171" s="137">
        <v>1</v>
      </c>
      <c r="BL171" s="137">
        <v>0</v>
      </c>
      <c r="BM171" s="137">
        <v>1</v>
      </c>
      <c r="BN171" s="137">
        <v>0</v>
      </c>
      <c r="BO171" s="137">
        <v>0</v>
      </c>
      <c r="BP171" s="137">
        <v>0</v>
      </c>
      <c r="BQ171" s="137">
        <v>0</v>
      </c>
      <c r="BR171" s="137">
        <v>0</v>
      </c>
      <c r="BS171" s="137">
        <v>0</v>
      </c>
      <c r="BT171" s="137">
        <v>0</v>
      </c>
      <c r="BU171" s="137">
        <v>0</v>
      </c>
      <c r="BV171" s="137">
        <v>0</v>
      </c>
      <c r="BW171" s="137">
        <v>0</v>
      </c>
      <c r="BX171" s="137">
        <v>0</v>
      </c>
      <c r="BY171" s="137">
        <v>0</v>
      </c>
      <c r="BZ171" s="137">
        <v>1</v>
      </c>
      <c r="CA171" s="137" t="s">
        <v>1293</v>
      </c>
      <c r="CB171" s="137">
        <v>0</v>
      </c>
      <c r="CC171" s="137" t="s">
        <v>947</v>
      </c>
      <c r="CD171" s="137">
        <v>1</v>
      </c>
      <c r="CE171" s="137" t="s">
        <v>1495</v>
      </c>
      <c r="CF171" s="161" t="s">
        <v>1496</v>
      </c>
      <c r="CG171" s="137">
        <v>1</v>
      </c>
      <c r="CH171" s="137" t="s">
        <v>1497</v>
      </c>
      <c r="CI171" s="137">
        <v>0</v>
      </c>
      <c r="CJ171" s="137" t="s">
        <v>947</v>
      </c>
      <c r="CK171" s="137" t="s">
        <v>947</v>
      </c>
      <c r="CL171" s="137">
        <v>1</v>
      </c>
      <c r="CM171" s="137" t="s">
        <v>1497</v>
      </c>
      <c r="CN171" s="161" t="s">
        <v>1004</v>
      </c>
      <c r="CO171" s="161" t="s">
        <v>1086</v>
      </c>
      <c r="CP171" s="137" t="s">
        <v>1497</v>
      </c>
      <c r="CQ171" s="161" t="s">
        <v>993</v>
      </c>
      <c r="CR171" s="137">
        <v>0</v>
      </c>
      <c r="CS171" s="137" t="s">
        <v>947</v>
      </c>
      <c r="CT171" s="137" t="s">
        <v>947</v>
      </c>
      <c r="CU171" s="137">
        <v>0</v>
      </c>
      <c r="CV171" s="137" t="s">
        <v>947</v>
      </c>
      <c r="CW171" s="137" t="s">
        <v>947</v>
      </c>
      <c r="CX171" s="137">
        <v>1</v>
      </c>
      <c r="CY171" s="159">
        <v>44666</v>
      </c>
      <c r="CZ171" s="137">
        <v>2</v>
      </c>
      <c r="DA171" s="137"/>
      <c r="DB171" s="152"/>
    </row>
    <row r="172" spans="1:140" s="110" customFormat="1" ht="16">
      <c r="A172" s="107" t="s">
        <v>703</v>
      </c>
      <c r="B172" s="153">
        <v>22107816</v>
      </c>
      <c r="C172" s="157" t="s">
        <v>1498</v>
      </c>
      <c r="D172" s="155">
        <v>44573</v>
      </c>
      <c r="E172" s="153">
        <v>69</v>
      </c>
      <c r="F172" s="153">
        <v>8.3000000000000007</v>
      </c>
      <c r="G172" s="153">
        <v>17.43</v>
      </c>
      <c r="H172" s="153">
        <v>43.8</v>
      </c>
      <c r="I172" s="153">
        <v>40</v>
      </c>
      <c r="J172" s="153">
        <v>0</v>
      </c>
      <c r="K172" s="153">
        <v>0</v>
      </c>
      <c r="L172" s="153">
        <v>1</v>
      </c>
      <c r="M172" s="153">
        <v>0</v>
      </c>
      <c r="N172" s="153">
        <v>9</v>
      </c>
      <c r="O172" s="153">
        <v>10</v>
      </c>
      <c r="P172" s="153">
        <v>3040</v>
      </c>
      <c r="Q172" s="153">
        <v>50</v>
      </c>
      <c r="R172" s="153">
        <v>34</v>
      </c>
      <c r="S172" s="153">
        <v>31.5</v>
      </c>
      <c r="T172" s="155">
        <v>31791</v>
      </c>
      <c r="U172" s="153">
        <v>34.36</v>
      </c>
      <c r="V172" s="153">
        <v>1</v>
      </c>
      <c r="W172" s="153">
        <v>0</v>
      </c>
      <c r="X172" s="153">
        <v>0</v>
      </c>
      <c r="Y172" s="153">
        <v>1</v>
      </c>
      <c r="Z172" s="153">
        <v>0</v>
      </c>
      <c r="AA172" s="153">
        <v>0</v>
      </c>
      <c r="AB172" s="153">
        <v>0</v>
      </c>
      <c r="AC172" s="153">
        <v>0</v>
      </c>
      <c r="AD172" s="153">
        <v>0</v>
      </c>
      <c r="AE172" s="153">
        <v>0</v>
      </c>
      <c r="AF172" s="153">
        <v>0</v>
      </c>
      <c r="AG172" s="153">
        <v>1</v>
      </c>
      <c r="AH172" s="153">
        <v>0</v>
      </c>
      <c r="AI172" s="153">
        <v>0</v>
      </c>
      <c r="AJ172" s="153">
        <v>0</v>
      </c>
      <c r="AK172" s="153">
        <v>0</v>
      </c>
      <c r="AL172" s="153">
        <v>0</v>
      </c>
      <c r="AM172" s="153">
        <v>0</v>
      </c>
      <c r="AN172" s="153">
        <v>0</v>
      </c>
      <c r="AO172" s="153">
        <v>0</v>
      </c>
      <c r="AP172" s="153">
        <v>0</v>
      </c>
      <c r="AQ172" s="153">
        <v>0</v>
      </c>
      <c r="AR172" s="153" t="s">
        <v>954</v>
      </c>
      <c r="AS172" s="153">
        <v>0</v>
      </c>
      <c r="AT172" s="153">
        <v>0</v>
      </c>
      <c r="AU172" s="153">
        <v>0</v>
      </c>
      <c r="AV172" s="153">
        <v>0</v>
      </c>
      <c r="AW172" s="153">
        <v>0</v>
      </c>
      <c r="AX172" s="153">
        <v>0</v>
      </c>
      <c r="AY172" s="153">
        <v>0</v>
      </c>
      <c r="AZ172" s="153">
        <v>0</v>
      </c>
      <c r="BA172" s="153">
        <v>0</v>
      </c>
      <c r="BB172" s="153">
        <v>0</v>
      </c>
      <c r="BC172" s="153">
        <v>0</v>
      </c>
      <c r="BD172" s="153">
        <v>0</v>
      </c>
      <c r="BE172" s="153">
        <v>0</v>
      </c>
      <c r="BF172" s="153">
        <v>0</v>
      </c>
      <c r="BG172" s="153">
        <v>0</v>
      </c>
      <c r="BH172" s="153">
        <v>0</v>
      </c>
      <c r="BI172" s="153">
        <v>0</v>
      </c>
      <c r="BJ172" s="153">
        <v>0</v>
      </c>
      <c r="BK172" s="153">
        <v>0</v>
      </c>
      <c r="BL172" s="153">
        <v>0</v>
      </c>
      <c r="BM172" s="153">
        <v>0</v>
      </c>
      <c r="BN172" s="153">
        <v>0</v>
      </c>
      <c r="BO172" s="153">
        <v>0</v>
      </c>
      <c r="BP172" s="153">
        <v>0</v>
      </c>
      <c r="BQ172" s="153">
        <v>0</v>
      </c>
      <c r="BR172" s="153">
        <v>0</v>
      </c>
      <c r="BS172" s="153">
        <v>0</v>
      </c>
      <c r="BT172" s="153">
        <v>0</v>
      </c>
      <c r="BU172" s="153">
        <v>0</v>
      </c>
      <c r="BV172" s="153">
        <v>0</v>
      </c>
      <c r="BW172" s="153">
        <v>0</v>
      </c>
      <c r="BX172" s="153">
        <v>0</v>
      </c>
      <c r="BY172" s="153">
        <v>0</v>
      </c>
      <c r="BZ172" s="153">
        <v>1</v>
      </c>
      <c r="CA172" s="153" t="s">
        <v>968</v>
      </c>
      <c r="CB172" s="153">
        <v>0</v>
      </c>
      <c r="CC172" s="153" t="s">
        <v>947</v>
      </c>
      <c r="CD172" s="153">
        <v>1</v>
      </c>
      <c r="CE172" s="153" t="s">
        <v>946</v>
      </c>
      <c r="CF172" s="157" t="s">
        <v>1499</v>
      </c>
      <c r="CG172" s="153">
        <v>0</v>
      </c>
      <c r="CH172" s="153" t="s">
        <v>947</v>
      </c>
      <c r="CI172" s="153">
        <v>1</v>
      </c>
      <c r="CJ172" s="153" t="s">
        <v>1160</v>
      </c>
      <c r="CK172" s="157" t="s">
        <v>1186</v>
      </c>
      <c r="CL172" s="153">
        <v>1</v>
      </c>
      <c r="CM172" s="153" t="s">
        <v>1160</v>
      </c>
      <c r="CN172" s="157" t="s">
        <v>1500</v>
      </c>
      <c r="CO172" s="153">
        <v>0</v>
      </c>
      <c r="CP172" s="153" t="s">
        <v>947</v>
      </c>
      <c r="CQ172" s="153" t="s">
        <v>947</v>
      </c>
      <c r="CR172" s="153">
        <v>0</v>
      </c>
      <c r="CS172" s="153" t="s">
        <v>947</v>
      </c>
      <c r="CT172" s="153" t="s">
        <v>947</v>
      </c>
      <c r="CU172" s="153">
        <v>0</v>
      </c>
      <c r="CV172" s="153" t="s">
        <v>947</v>
      </c>
      <c r="CW172" s="153" t="s">
        <v>947</v>
      </c>
      <c r="CX172" s="153">
        <v>1</v>
      </c>
      <c r="CY172" s="153" t="s">
        <v>965</v>
      </c>
      <c r="CZ172" s="153">
        <v>2</v>
      </c>
      <c r="DA172" s="153"/>
      <c r="DB172" s="158"/>
    </row>
    <row r="173" spans="1:140" ht="16">
      <c r="A173" s="1" t="s">
        <v>707</v>
      </c>
      <c r="B173" s="137">
        <v>22109442</v>
      </c>
      <c r="C173" s="161" t="s">
        <v>1501</v>
      </c>
      <c r="D173" s="159">
        <v>44662</v>
      </c>
      <c r="E173" s="137">
        <v>55.9</v>
      </c>
      <c r="F173" s="137">
        <v>6.2</v>
      </c>
      <c r="G173" s="137">
        <v>19.84</v>
      </c>
      <c r="H173" s="137">
        <v>39.5</v>
      </c>
      <c r="I173" s="137">
        <v>28</v>
      </c>
      <c r="J173" s="137">
        <v>0</v>
      </c>
      <c r="K173" s="137">
        <v>1</v>
      </c>
      <c r="L173" s="137">
        <v>2</v>
      </c>
      <c r="M173" s="137">
        <v>0</v>
      </c>
      <c r="N173" s="137">
        <v>3</v>
      </c>
      <c r="O173" s="137">
        <v>6</v>
      </c>
      <c r="P173" s="137">
        <v>955</v>
      </c>
      <c r="Q173" s="137">
        <v>35.5</v>
      </c>
      <c r="R173" s="137">
        <v>25.3</v>
      </c>
      <c r="S173" s="137">
        <v>23</v>
      </c>
      <c r="T173" s="159">
        <v>36870</v>
      </c>
      <c r="U173" s="137">
        <v>20.59</v>
      </c>
      <c r="V173" s="137">
        <v>0</v>
      </c>
      <c r="W173" s="137">
        <v>1</v>
      </c>
      <c r="X173" s="137">
        <v>0</v>
      </c>
      <c r="Y173" s="137">
        <v>1</v>
      </c>
      <c r="Z173" s="137">
        <v>0</v>
      </c>
      <c r="AA173" s="137">
        <v>0</v>
      </c>
      <c r="AB173" s="137">
        <v>0</v>
      </c>
      <c r="AC173" s="137">
        <v>0</v>
      </c>
      <c r="AD173" s="137">
        <v>0</v>
      </c>
      <c r="AE173" s="137">
        <v>0</v>
      </c>
      <c r="AF173" s="137">
        <v>0</v>
      </c>
      <c r="AG173" s="137">
        <v>0</v>
      </c>
      <c r="AH173" s="137">
        <v>0</v>
      </c>
      <c r="AI173" s="137">
        <v>1</v>
      </c>
      <c r="AJ173" s="137">
        <v>1</v>
      </c>
      <c r="AK173" s="137">
        <v>5</v>
      </c>
      <c r="AL173" s="137">
        <v>1</v>
      </c>
      <c r="AM173" s="137">
        <v>5</v>
      </c>
      <c r="AN173" s="137">
        <v>0</v>
      </c>
      <c r="AO173" s="137">
        <v>0</v>
      </c>
      <c r="AP173" s="137">
        <v>0</v>
      </c>
      <c r="AQ173" s="137">
        <v>0</v>
      </c>
      <c r="AR173" s="137">
        <v>1</v>
      </c>
      <c r="AS173" s="137">
        <v>0</v>
      </c>
      <c r="AT173" s="137">
        <v>0</v>
      </c>
      <c r="AU173" s="137">
        <v>0</v>
      </c>
      <c r="AV173" s="137">
        <v>0</v>
      </c>
      <c r="AW173" s="137">
        <v>0</v>
      </c>
      <c r="AX173" s="137">
        <v>0</v>
      </c>
      <c r="AY173" s="137">
        <v>0</v>
      </c>
      <c r="AZ173" s="137">
        <v>0</v>
      </c>
      <c r="BA173" s="137">
        <v>0</v>
      </c>
      <c r="BB173" s="137">
        <v>0</v>
      </c>
      <c r="BC173" s="137">
        <v>0</v>
      </c>
      <c r="BD173" s="137">
        <v>0</v>
      </c>
      <c r="BE173" s="137">
        <v>0</v>
      </c>
      <c r="BF173" s="137">
        <v>0</v>
      </c>
      <c r="BG173" s="137">
        <v>0</v>
      </c>
      <c r="BH173" s="137">
        <v>0</v>
      </c>
      <c r="BI173" s="137">
        <v>0</v>
      </c>
      <c r="BJ173" s="137">
        <v>0</v>
      </c>
      <c r="BK173" s="137">
        <v>1</v>
      </c>
      <c r="BL173" s="137">
        <v>0</v>
      </c>
      <c r="BM173" s="137">
        <v>0</v>
      </c>
      <c r="BN173" s="137">
        <v>0</v>
      </c>
      <c r="BO173" s="137">
        <v>0</v>
      </c>
      <c r="BP173" s="137">
        <v>0</v>
      </c>
      <c r="BQ173" s="137">
        <v>0</v>
      </c>
      <c r="BR173" s="137">
        <v>0</v>
      </c>
      <c r="BS173" s="137">
        <v>0</v>
      </c>
      <c r="BT173" s="137">
        <v>0</v>
      </c>
      <c r="BU173" s="137">
        <v>0</v>
      </c>
      <c r="BV173" s="161" t="s">
        <v>1502</v>
      </c>
      <c r="BW173" s="137">
        <v>0</v>
      </c>
      <c r="BX173" s="137">
        <v>0</v>
      </c>
      <c r="BY173" s="137">
        <v>0</v>
      </c>
      <c r="BZ173" s="137">
        <v>1</v>
      </c>
      <c r="CA173" s="137" t="s">
        <v>1207</v>
      </c>
      <c r="CB173" s="137">
        <v>0</v>
      </c>
      <c r="CC173" s="137" t="s">
        <v>947</v>
      </c>
      <c r="CD173" s="137">
        <v>1</v>
      </c>
      <c r="CE173" s="161" t="s">
        <v>1314</v>
      </c>
      <c r="CF173" s="161" t="s">
        <v>1503</v>
      </c>
      <c r="CG173" s="137">
        <v>1</v>
      </c>
      <c r="CH173" s="137" t="s">
        <v>946</v>
      </c>
      <c r="CI173" s="137" t="s">
        <v>978</v>
      </c>
      <c r="CJ173" s="137"/>
      <c r="CK173" s="161" t="s">
        <v>1504</v>
      </c>
      <c r="CL173" s="137">
        <v>0</v>
      </c>
      <c r="CM173" s="137" t="s">
        <v>947</v>
      </c>
      <c r="CN173" s="137" t="s">
        <v>947</v>
      </c>
      <c r="CO173" s="137">
        <v>0</v>
      </c>
      <c r="CP173" s="137" t="s">
        <v>947</v>
      </c>
      <c r="CQ173" s="137" t="s">
        <v>947</v>
      </c>
      <c r="CR173" s="137">
        <v>0</v>
      </c>
      <c r="CS173" s="137" t="s">
        <v>947</v>
      </c>
      <c r="CT173" s="137" t="s">
        <v>947</v>
      </c>
      <c r="CU173" s="137">
        <v>1</v>
      </c>
      <c r="CV173" s="161" t="s">
        <v>1094</v>
      </c>
      <c r="CW173" s="161" t="s">
        <v>1110</v>
      </c>
      <c r="CX173" s="137">
        <v>1</v>
      </c>
      <c r="CY173" s="182">
        <v>44642</v>
      </c>
      <c r="CZ173" s="137">
        <v>2</v>
      </c>
      <c r="DA173" s="137"/>
      <c r="DB173" s="152"/>
    </row>
    <row r="174" spans="1:140" ht="16">
      <c r="A174" s="1" t="s">
        <v>711</v>
      </c>
      <c r="B174" s="137">
        <v>22109297</v>
      </c>
      <c r="C174" s="161" t="s">
        <v>1505</v>
      </c>
      <c r="D174" s="159">
        <v>44692</v>
      </c>
      <c r="E174" s="137">
        <v>66</v>
      </c>
      <c r="F174" s="137">
        <v>7.5</v>
      </c>
      <c r="G174" s="137">
        <v>17.22</v>
      </c>
      <c r="H174" s="137">
        <v>42.2</v>
      </c>
      <c r="I174" s="137">
        <v>38</v>
      </c>
      <c r="J174" s="137">
        <v>3</v>
      </c>
      <c r="K174" s="137">
        <v>0</v>
      </c>
      <c r="L174" s="137">
        <v>1</v>
      </c>
      <c r="M174" s="137">
        <v>0</v>
      </c>
      <c r="N174" s="137">
        <v>9</v>
      </c>
      <c r="O174" s="137">
        <v>10</v>
      </c>
      <c r="P174" s="137">
        <v>3120</v>
      </c>
      <c r="Q174" s="137">
        <v>48</v>
      </c>
      <c r="R174" s="137">
        <v>32</v>
      </c>
      <c r="S174" s="137">
        <v>32.5</v>
      </c>
      <c r="T174" s="159">
        <v>35707</v>
      </c>
      <c r="U174" s="137">
        <v>24.08</v>
      </c>
      <c r="V174" s="137">
        <v>1</v>
      </c>
      <c r="W174" s="137">
        <v>0</v>
      </c>
      <c r="X174" s="137">
        <v>0</v>
      </c>
      <c r="Y174" s="137">
        <v>1</v>
      </c>
      <c r="Z174" s="137">
        <v>0</v>
      </c>
      <c r="AA174" s="137">
        <v>0</v>
      </c>
      <c r="AB174" s="137">
        <v>0</v>
      </c>
      <c r="AC174" s="137">
        <v>0</v>
      </c>
      <c r="AD174" s="137">
        <v>0</v>
      </c>
      <c r="AE174" s="137">
        <v>0</v>
      </c>
      <c r="AF174" s="137">
        <v>0</v>
      </c>
      <c r="AG174" s="137">
        <v>0</v>
      </c>
      <c r="AH174" s="137">
        <v>0</v>
      </c>
      <c r="AI174" s="137">
        <v>0</v>
      </c>
      <c r="AJ174" s="137">
        <v>0</v>
      </c>
      <c r="AK174" s="137">
        <v>0</v>
      </c>
      <c r="AL174" s="137">
        <v>0</v>
      </c>
      <c r="AM174" s="137">
        <v>0</v>
      </c>
      <c r="AN174" s="137">
        <v>0</v>
      </c>
      <c r="AO174" s="137">
        <v>0</v>
      </c>
      <c r="AP174" s="137">
        <v>0</v>
      </c>
      <c r="AQ174" s="137">
        <v>0</v>
      </c>
      <c r="AR174" s="137">
        <v>1</v>
      </c>
      <c r="AS174" s="137">
        <v>0</v>
      </c>
      <c r="AT174" s="137">
        <v>0</v>
      </c>
      <c r="AU174" s="137">
        <v>0</v>
      </c>
      <c r="AV174" s="137">
        <v>0</v>
      </c>
      <c r="AW174" s="137">
        <v>0</v>
      </c>
      <c r="AX174" s="137">
        <v>0</v>
      </c>
      <c r="AY174" s="137">
        <v>0</v>
      </c>
      <c r="AZ174" s="137">
        <v>0</v>
      </c>
      <c r="BA174" s="137">
        <v>0</v>
      </c>
      <c r="BB174" s="137">
        <v>0</v>
      </c>
      <c r="BC174" s="137">
        <v>0</v>
      </c>
      <c r="BD174" s="137">
        <v>0</v>
      </c>
      <c r="BE174" s="137">
        <v>0</v>
      </c>
      <c r="BF174" s="137">
        <v>0</v>
      </c>
      <c r="BG174" s="137">
        <v>0</v>
      </c>
      <c r="BH174" s="137">
        <v>0</v>
      </c>
      <c r="BI174" s="137">
        <v>0</v>
      </c>
      <c r="BJ174" s="137">
        <v>0</v>
      </c>
      <c r="BK174" s="137">
        <v>0</v>
      </c>
      <c r="BL174" s="137">
        <v>0</v>
      </c>
      <c r="BM174" s="137">
        <v>0</v>
      </c>
      <c r="BN174" s="137">
        <v>0</v>
      </c>
      <c r="BO174" s="137">
        <v>0</v>
      </c>
      <c r="BP174" s="137">
        <v>0</v>
      </c>
      <c r="BQ174" s="137">
        <v>0</v>
      </c>
      <c r="BR174" s="137">
        <v>0</v>
      </c>
      <c r="BS174" s="137">
        <v>0</v>
      </c>
      <c r="BT174" s="137">
        <v>0</v>
      </c>
      <c r="BU174" s="137">
        <v>0</v>
      </c>
      <c r="BV174" s="137">
        <v>0</v>
      </c>
      <c r="BW174" s="137">
        <v>0</v>
      </c>
      <c r="BX174" s="137">
        <v>0</v>
      </c>
      <c r="BY174" s="137">
        <v>0</v>
      </c>
      <c r="BZ174" s="137">
        <v>1</v>
      </c>
      <c r="CA174" s="137" t="s">
        <v>1278</v>
      </c>
      <c r="CB174" s="137">
        <v>0</v>
      </c>
      <c r="CC174" s="137" t="s">
        <v>947</v>
      </c>
      <c r="CD174" s="137">
        <v>1</v>
      </c>
      <c r="CE174" s="137" t="s">
        <v>946</v>
      </c>
      <c r="CF174" s="137" t="s">
        <v>1506</v>
      </c>
      <c r="CG174" s="137">
        <v>0</v>
      </c>
      <c r="CH174" s="137" t="s">
        <v>947</v>
      </c>
      <c r="CI174" s="137">
        <v>1</v>
      </c>
      <c r="CJ174" s="137" t="s">
        <v>960</v>
      </c>
      <c r="CK174" s="161" t="s">
        <v>982</v>
      </c>
      <c r="CL174" s="137">
        <v>1</v>
      </c>
      <c r="CM174" s="137" t="s">
        <v>946</v>
      </c>
      <c r="CN174" s="137" t="s">
        <v>1507</v>
      </c>
      <c r="CO174" s="137">
        <v>0</v>
      </c>
      <c r="CP174" s="137" t="s">
        <v>947</v>
      </c>
      <c r="CQ174" s="137" t="s">
        <v>947</v>
      </c>
      <c r="CR174" s="137">
        <v>0</v>
      </c>
      <c r="CS174" s="137" t="s">
        <v>947</v>
      </c>
      <c r="CT174" s="137" t="s">
        <v>947</v>
      </c>
      <c r="CU174" s="137">
        <v>1</v>
      </c>
      <c r="CV174" s="137" t="s">
        <v>1508</v>
      </c>
      <c r="CW174" s="161" t="s">
        <v>1509</v>
      </c>
      <c r="CX174" s="137">
        <v>1</v>
      </c>
      <c r="CY174" s="137" t="s">
        <v>965</v>
      </c>
      <c r="CZ174" s="137">
        <v>2</v>
      </c>
      <c r="DA174" s="137"/>
      <c r="DB174" s="152"/>
    </row>
    <row r="175" spans="1:140" s="114" customFormat="1" ht="16">
      <c r="A175" s="112" t="s">
        <v>714</v>
      </c>
      <c r="B175" s="162">
        <v>22103382</v>
      </c>
      <c r="C175" s="163" t="s">
        <v>1510</v>
      </c>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c r="AB175" s="176"/>
      <c r="AC175" s="176"/>
      <c r="AD175" s="176"/>
      <c r="AE175" s="176"/>
      <c r="AF175" s="176"/>
      <c r="AG175" s="176"/>
      <c r="AH175" s="176"/>
      <c r="AI175" s="176"/>
      <c r="AJ175" s="176"/>
      <c r="AK175" s="176"/>
      <c r="AL175" s="176"/>
      <c r="AM175" s="176"/>
      <c r="AN175" s="176"/>
      <c r="AO175" s="176"/>
      <c r="AP175" s="176"/>
      <c r="AQ175" s="176"/>
      <c r="AR175" s="176"/>
      <c r="AS175" s="176"/>
      <c r="AT175" s="176"/>
      <c r="AU175" s="176"/>
      <c r="AV175" s="176"/>
      <c r="AW175" s="176"/>
      <c r="AX175" s="176"/>
      <c r="AY175" s="176"/>
      <c r="AZ175" s="176"/>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c r="DH175" s="162"/>
      <c r="DI175" s="162"/>
      <c r="DJ175" s="162"/>
      <c r="DK175" s="162"/>
      <c r="DL175" s="162"/>
      <c r="DM175" s="162"/>
      <c r="DN175" s="162"/>
      <c r="DO175" s="162"/>
      <c r="DP175" s="162"/>
      <c r="DQ175" s="162"/>
      <c r="DR175" s="162"/>
      <c r="DS175" s="162"/>
      <c r="DT175" s="162"/>
      <c r="DU175" s="162"/>
      <c r="DV175" s="162"/>
      <c r="DW175" s="162"/>
      <c r="DX175" s="162"/>
      <c r="DY175" s="162"/>
      <c r="DZ175" s="162"/>
      <c r="EA175" s="162"/>
      <c r="EB175" s="162"/>
      <c r="EC175" s="162"/>
      <c r="ED175" s="162"/>
      <c r="EE175" s="162"/>
      <c r="EF175" s="162"/>
      <c r="EG175" s="162"/>
      <c r="EH175" s="162"/>
      <c r="EI175" s="162"/>
    </row>
    <row r="176" spans="1:140" s="114" customFormat="1" ht="16">
      <c r="A176" s="112" t="s">
        <v>718</v>
      </c>
      <c r="B176" s="162">
        <v>22103953</v>
      </c>
      <c r="C176" s="163" t="s">
        <v>1512</v>
      </c>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176"/>
      <c r="AX176" s="176"/>
      <c r="AY176" s="176"/>
      <c r="AZ176" s="176"/>
      <c r="BA176" s="176"/>
      <c r="BB176" s="176"/>
      <c r="BC176" s="176"/>
      <c r="BD176" s="176"/>
      <c r="BE176" s="176"/>
      <c r="BF176" s="176"/>
      <c r="BG176" s="176"/>
      <c r="BH176" s="176"/>
      <c r="BI176" s="176"/>
      <c r="BJ176" s="176"/>
      <c r="BK176" s="176"/>
      <c r="BL176" s="176"/>
      <c r="BM176" s="176"/>
      <c r="BN176" s="176"/>
      <c r="BO176" s="176"/>
      <c r="BP176" s="176"/>
      <c r="BQ176" s="176"/>
      <c r="BR176" s="176"/>
      <c r="BS176" s="176"/>
      <c r="BT176" s="176"/>
      <c r="BU176" s="176"/>
      <c r="BV176" s="176"/>
      <c r="BW176" s="176"/>
      <c r="BX176" s="176"/>
      <c r="BY176" s="176"/>
      <c r="BZ176" s="176"/>
      <c r="CA176" s="176"/>
      <c r="CB176" s="176"/>
      <c r="CC176" s="176"/>
      <c r="CD176" s="176"/>
      <c r="CE176" s="176"/>
      <c r="CF176" s="176"/>
      <c r="CG176" s="176"/>
      <c r="CH176" s="176"/>
      <c r="CI176" s="176"/>
      <c r="CJ176" s="176"/>
      <c r="CK176" s="176"/>
      <c r="CL176" s="176"/>
      <c r="CM176" s="176"/>
      <c r="CN176" s="176"/>
      <c r="CO176" s="176"/>
      <c r="CP176" s="176"/>
      <c r="CQ176" s="176"/>
      <c r="CR176" s="176"/>
      <c r="CS176" s="176"/>
      <c r="CT176" s="176"/>
      <c r="CU176" s="176"/>
      <c r="CV176" s="176"/>
      <c r="CW176" s="176"/>
      <c r="CX176" s="176"/>
      <c r="CY176" s="176"/>
      <c r="CZ176" s="176"/>
      <c r="DA176" s="176"/>
      <c r="DB176" s="176"/>
      <c r="DC176" s="176"/>
      <c r="DD176" s="162"/>
      <c r="DE176" s="162"/>
      <c r="DF176" s="162"/>
      <c r="DG176" s="162"/>
      <c r="DH176" s="162"/>
      <c r="DI176" s="162"/>
      <c r="DJ176" s="162"/>
      <c r="DK176" s="162"/>
      <c r="DL176" s="162"/>
      <c r="DM176" s="162"/>
      <c r="DN176" s="162"/>
      <c r="DO176" s="162"/>
      <c r="DP176" s="162"/>
      <c r="DQ176" s="162"/>
      <c r="DR176" s="162"/>
      <c r="DS176" s="162"/>
      <c r="DT176" s="162"/>
      <c r="DU176" s="162"/>
      <c r="DV176" s="162"/>
      <c r="DW176" s="162"/>
      <c r="DX176" s="162"/>
      <c r="DY176" s="162"/>
      <c r="DZ176" s="162"/>
      <c r="EA176" s="162"/>
      <c r="EB176" s="162"/>
      <c r="EC176" s="162"/>
      <c r="ED176" s="162"/>
      <c r="EE176" s="162"/>
      <c r="EF176" s="162"/>
      <c r="EG176" s="162"/>
      <c r="EH176" s="162"/>
      <c r="EI176" s="162"/>
    </row>
    <row r="177" spans="1:106" ht="16">
      <c r="A177" s="1" t="s">
        <v>722</v>
      </c>
      <c r="B177" s="137">
        <v>22109329</v>
      </c>
      <c r="C177" s="161" t="s">
        <v>1514</v>
      </c>
      <c r="D177" s="159">
        <v>44698</v>
      </c>
      <c r="E177" s="137">
        <v>66</v>
      </c>
      <c r="F177" s="137">
        <v>8</v>
      </c>
      <c r="G177" s="137">
        <v>18.37</v>
      </c>
      <c r="H177" s="137">
        <v>42.7</v>
      </c>
      <c r="I177" s="137">
        <v>38</v>
      </c>
      <c r="J177" s="137">
        <v>5</v>
      </c>
      <c r="K177" s="137">
        <v>0</v>
      </c>
      <c r="L177" s="137">
        <v>2</v>
      </c>
      <c r="M177" s="137">
        <v>0</v>
      </c>
      <c r="N177" s="137">
        <v>9</v>
      </c>
      <c r="O177" s="137">
        <v>10</v>
      </c>
      <c r="P177" s="137">
        <v>2660</v>
      </c>
      <c r="Q177" s="137">
        <v>46.5</v>
      </c>
      <c r="R177" s="137">
        <v>33</v>
      </c>
      <c r="S177" s="137">
        <v>32</v>
      </c>
      <c r="T177" s="159">
        <v>31539</v>
      </c>
      <c r="U177" s="137">
        <v>35.49</v>
      </c>
      <c r="V177" s="137">
        <v>1</v>
      </c>
      <c r="W177" s="137">
        <v>1</v>
      </c>
      <c r="X177" s="137">
        <v>0</v>
      </c>
      <c r="Y177" s="137">
        <v>2</v>
      </c>
      <c r="Z177" s="137">
        <v>0</v>
      </c>
      <c r="AA177" s="137">
        <v>1</v>
      </c>
      <c r="AB177" s="137">
        <v>0</v>
      </c>
      <c r="AC177" s="137">
        <v>0</v>
      </c>
      <c r="AD177" s="137">
        <v>0</v>
      </c>
      <c r="AE177" s="137">
        <v>0</v>
      </c>
      <c r="AF177" s="137">
        <v>0</v>
      </c>
      <c r="AG177" s="137">
        <v>0</v>
      </c>
      <c r="AH177" s="137">
        <v>0</v>
      </c>
      <c r="AI177" s="137">
        <v>0</v>
      </c>
      <c r="AJ177" s="137">
        <v>0</v>
      </c>
      <c r="AK177" s="137">
        <v>0</v>
      </c>
      <c r="AL177" s="137">
        <v>0</v>
      </c>
      <c r="AM177" s="137">
        <v>0</v>
      </c>
      <c r="AN177" s="137">
        <v>0</v>
      </c>
      <c r="AO177" s="137">
        <v>0</v>
      </c>
      <c r="AP177" s="137">
        <v>0</v>
      </c>
      <c r="AQ177" s="137">
        <v>0</v>
      </c>
      <c r="AR177" s="137" t="s">
        <v>998</v>
      </c>
      <c r="AS177" s="137">
        <v>0</v>
      </c>
      <c r="AT177" s="137">
        <v>0</v>
      </c>
      <c r="AU177" s="137">
        <v>0</v>
      </c>
      <c r="AV177" s="137">
        <v>0</v>
      </c>
      <c r="AW177" s="137">
        <v>0</v>
      </c>
      <c r="AX177" s="137">
        <v>0</v>
      </c>
      <c r="AY177" s="137">
        <v>0</v>
      </c>
      <c r="AZ177" s="137">
        <v>0</v>
      </c>
      <c r="BA177" s="137">
        <v>0</v>
      </c>
      <c r="BB177" s="137">
        <v>0</v>
      </c>
      <c r="BC177" s="137">
        <v>0</v>
      </c>
      <c r="BD177" s="137">
        <v>0</v>
      </c>
      <c r="BE177" s="137">
        <v>0</v>
      </c>
      <c r="BF177" s="137">
        <v>0</v>
      </c>
      <c r="BG177" s="137">
        <v>0</v>
      </c>
      <c r="BH177" s="137">
        <v>0</v>
      </c>
      <c r="BI177" s="137">
        <v>0</v>
      </c>
      <c r="BJ177" s="137">
        <v>0</v>
      </c>
      <c r="BK177" s="137">
        <v>1</v>
      </c>
      <c r="BL177" s="137">
        <v>0</v>
      </c>
      <c r="BM177" s="137">
        <v>0</v>
      </c>
      <c r="BN177" s="137">
        <v>0</v>
      </c>
      <c r="BO177" s="137">
        <v>1</v>
      </c>
      <c r="BP177" s="137">
        <v>0</v>
      </c>
      <c r="BQ177" s="137">
        <v>0</v>
      </c>
      <c r="BR177" s="137">
        <v>0</v>
      </c>
      <c r="BS177" s="137">
        <v>0</v>
      </c>
      <c r="BT177" s="137">
        <v>0</v>
      </c>
      <c r="BU177" s="137">
        <v>0</v>
      </c>
      <c r="BV177" s="137">
        <v>0</v>
      </c>
      <c r="BW177" s="137">
        <v>0</v>
      </c>
      <c r="BX177" s="137">
        <v>0</v>
      </c>
      <c r="BY177" s="137">
        <v>0</v>
      </c>
      <c r="BZ177" s="137">
        <v>1</v>
      </c>
      <c r="CA177" s="137" t="s">
        <v>946</v>
      </c>
      <c r="CB177" s="137">
        <v>0</v>
      </c>
      <c r="CC177" s="137" t="s">
        <v>947</v>
      </c>
      <c r="CD177" s="137">
        <v>1</v>
      </c>
      <c r="CE177" s="137" t="s">
        <v>1515</v>
      </c>
      <c r="CF177" s="161" t="s">
        <v>1516</v>
      </c>
      <c r="CG177" s="137">
        <v>0</v>
      </c>
      <c r="CH177" s="137" t="s">
        <v>947</v>
      </c>
      <c r="CI177" s="137">
        <v>1</v>
      </c>
      <c r="CJ177" s="137" t="s">
        <v>1160</v>
      </c>
      <c r="CK177" s="161" t="s">
        <v>1146</v>
      </c>
      <c r="CL177" s="137">
        <v>1</v>
      </c>
      <c r="CM177" s="137" t="s">
        <v>1160</v>
      </c>
      <c r="CN177" s="161" t="s">
        <v>1146</v>
      </c>
      <c r="CO177" s="161" t="s">
        <v>1086</v>
      </c>
      <c r="CP177" s="161" t="s">
        <v>1517</v>
      </c>
      <c r="CQ177" s="161" t="s">
        <v>1002</v>
      </c>
      <c r="CR177" s="137">
        <v>0</v>
      </c>
      <c r="CS177" s="137" t="s">
        <v>947</v>
      </c>
      <c r="CT177" s="137" t="s">
        <v>947</v>
      </c>
      <c r="CU177" s="137">
        <v>1</v>
      </c>
      <c r="CV177" s="159" t="s">
        <v>1518</v>
      </c>
      <c r="CW177" s="161" t="s">
        <v>1519</v>
      </c>
      <c r="CX177" s="137">
        <v>1</v>
      </c>
      <c r="CY177" s="137" t="s">
        <v>965</v>
      </c>
      <c r="CZ177" s="137">
        <v>2</v>
      </c>
      <c r="DA177" s="137"/>
      <c r="DB177" s="152"/>
    </row>
    <row r="178" spans="1:106" ht="16">
      <c r="A178" s="1" t="s">
        <v>726</v>
      </c>
      <c r="B178" s="137">
        <v>22108528</v>
      </c>
      <c r="C178" s="161" t="s">
        <v>1520</v>
      </c>
      <c r="D178" s="159">
        <v>44573</v>
      </c>
      <c r="E178" s="137">
        <v>63.9</v>
      </c>
      <c r="F178" s="137">
        <v>7</v>
      </c>
      <c r="G178" s="137">
        <v>17.14</v>
      </c>
      <c r="H178" s="137">
        <v>41</v>
      </c>
      <c r="I178" s="137">
        <v>39</v>
      </c>
      <c r="J178" s="137">
        <v>1</v>
      </c>
      <c r="K178" s="137">
        <v>0</v>
      </c>
      <c r="L178" s="137">
        <v>1</v>
      </c>
      <c r="M178" s="137">
        <v>0</v>
      </c>
      <c r="N178" s="137">
        <v>9</v>
      </c>
      <c r="O178" s="137">
        <v>10</v>
      </c>
      <c r="P178" s="137">
        <v>2660</v>
      </c>
      <c r="Q178" s="137">
        <v>48</v>
      </c>
      <c r="R178" s="137">
        <v>32</v>
      </c>
      <c r="S178" s="137">
        <v>31</v>
      </c>
      <c r="T178" s="159">
        <v>32271</v>
      </c>
      <c r="U178" s="137">
        <v>33.24</v>
      </c>
      <c r="V178" s="137">
        <v>1</v>
      </c>
      <c r="W178" s="137">
        <v>0</v>
      </c>
      <c r="X178" s="137">
        <v>0</v>
      </c>
      <c r="Y178" s="137">
        <v>1</v>
      </c>
      <c r="Z178" s="137">
        <v>0</v>
      </c>
      <c r="AA178" s="137">
        <v>0</v>
      </c>
      <c r="AB178" s="137">
        <v>0</v>
      </c>
      <c r="AC178" s="137">
        <v>0</v>
      </c>
      <c r="AD178" s="137">
        <v>0</v>
      </c>
      <c r="AE178" s="137">
        <v>0</v>
      </c>
      <c r="AF178" s="137">
        <v>0</v>
      </c>
      <c r="AG178" s="137">
        <v>0</v>
      </c>
      <c r="AH178" s="137">
        <v>0</v>
      </c>
      <c r="AI178" s="137">
        <v>0</v>
      </c>
      <c r="AJ178" s="137">
        <v>0</v>
      </c>
      <c r="AK178" s="137">
        <v>0</v>
      </c>
      <c r="AL178" s="137">
        <v>0</v>
      </c>
      <c r="AM178" s="137">
        <v>0</v>
      </c>
      <c r="AN178" s="137">
        <v>0</v>
      </c>
      <c r="AO178" s="137">
        <v>0</v>
      </c>
      <c r="AP178" s="137">
        <v>0</v>
      </c>
      <c r="AQ178" s="137">
        <v>0</v>
      </c>
      <c r="AR178" s="137">
        <v>1</v>
      </c>
      <c r="AS178" s="137">
        <v>1</v>
      </c>
      <c r="AT178" s="137">
        <v>0</v>
      </c>
      <c r="AU178" s="137">
        <v>0</v>
      </c>
      <c r="AV178" s="137">
        <v>0</v>
      </c>
      <c r="AW178" s="137">
        <v>0</v>
      </c>
      <c r="AX178" s="137" t="s">
        <v>1521</v>
      </c>
      <c r="AY178" s="137">
        <v>0</v>
      </c>
      <c r="AZ178" s="137">
        <v>0</v>
      </c>
      <c r="BA178" s="137">
        <v>0</v>
      </c>
      <c r="BB178" s="137">
        <v>0</v>
      </c>
      <c r="BC178" s="137">
        <v>0</v>
      </c>
      <c r="BD178" s="137">
        <v>0</v>
      </c>
      <c r="BE178" s="137">
        <v>0</v>
      </c>
      <c r="BF178" s="137">
        <v>0</v>
      </c>
      <c r="BG178" s="137">
        <v>0</v>
      </c>
      <c r="BH178" s="137">
        <v>0</v>
      </c>
      <c r="BI178" s="137">
        <v>0</v>
      </c>
      <c r="BJ178" s="137">
        <v>0</v>
      </c>
      <c r="BK178" s="137">
        <v>0</v>
      </c>
      <c r="BL178" s="137">
        <v>0</v>
      </c>
      <c r="BM178" s="137">
        <v>0</v>
      </c>
      <c r="BN178" s="137">
        <v>0</v>
      </c>
      <c r="BO178" s="137">
        <v>0</v>
      </c>
      <c r="BP178" s="137">
        <v>0</v>
      </c>
      <c r="BQ178" s="137">
        <v>0</v>
      </c>
      <c r="BR178" s="137">
        <v>0</v>
      </c>
      <c r="BS178" s="137">
        <v>0</v>
      </c>
      <c r="BT178" s="137">
        <v>0</v>
      </c>
      <c r="BU178" s="137">
        <v>0</v>
      </c>
      <c r="BV178" s="137">
        <v>0</v>
      </c>
      <c r="BW178" s="137">
        <v>0</v>
      </c>
      <c r="BX178" s="137">
        <v>0</v>
      </c>
      <c r="BY178" s="137">
        <v>0</v>
      </c>
      <c r="BZ178" s="137">
        <v>1</v>
      </c>
      <c r="CA178" s="137" t="s">
        <v>968</v>
      </c>
      <c r="CB178" s="137">
        <v>0</v>
      </c>
      <c r="CC178" s="137" t="s">
        <v>947</v>
      </c>
      <c r="CD178" s="137">
        <v>1</v>
      </c>
      <c r="CE178" s="137" t="s">
        <v>1000</v>
      </c>
      <c r="CF178" s="137" t="s">
        <v>1204</v>
      </c>
      <c r="CG178" s="137">
        <v>0</v>
      </c>
      <c r="CH178" s="137" t="s">
        <v>947</v>
      </c>
      <c r="CI178" s="137">
        <v>0</v>
      </c>
      <c r="CJ178" s="137" t="s">
        <v>947</v>
      </c>
      <c r="CK178" s="137" t="s">
        <v>947</v>
      </c>
      <c r="CL178" s="137">
        <v>1</v>
      </c>
      <c r="CM178" s="137" t="s">
        <v>1522</v>
      </c>
      <c r="CN178" s="161" t="s">
        <v>1523</v>
      </c>
      <c r="CO178" s="137">
        <v>0</v>
      </c>
      <c r="CP178" s="137" t="s">
        <v>947</v>
      </c>
      <c r="CQ178" s="137" t="s">
        <v>947</v>
      </c>
      <c r="CR178" s="137">
        <v>0</v>
      </c>
      <c r="CS178" s="137" t="s">
        <v>947</v>
      </c>
      <c r="CT178" s="137" t="s">
        <v>947</v>
      </c>
      <c r="CU178" s="137">
        <v>0</v>
      </c>
      <c r="CV178" s="137" t="s">
        <v>947</v>
      </c>
      <c r="CW178" s="137" t="s">
        <v>947</v>
      </c>
      <c r="CX178" s="137">
        <v>1</v>
      </c>
      <c r="CY178" s="159">
        <v>44554</v>
      </c>
      <c r="CZ178" s="137">
        <v>2</v>
      </c>
      <c r="DA178" s="137"/>
      <c r="DB178" s="152"/>
    </row>
    <row r="179" spans="1:106" ht="16">
      <c r="A179" s="1" t="s">
        <v>729</v>
      </c>
      <c r="B179" s="137">
        <v>22108317</v>
      </c>
      <c r="C179" s="161" t="s">
        <v>1524</v>
      </c>
      <c r="D179" s="159">
        <v>44677</v>
      </c>
      <c r="E179" s="137">
        <v>63</v>
      </c>
      <c r="F179" s="137">
        <v>6.9</v>
      </c>
      <c r="G179" s="137">
        <v>17.38</v>
      </c>
      <c r="H179" s="137">
        <v>39.9</v>
      </c>
      <c r="I179" s="137">
        <v>24</v>
      </c>
      <c r="J179" s="137">
        <v>6</v>
      </c>
      <c r="K179" s="137">
        <v>1</v>
      </c>
      <c r="L179" s="137">
        <v>2</v>
      </c>
      <c r="M179" s="137">
        <v>0</v>
      </c>
      <c r="N179" s="137">
        <v>7</v>
      </c>
      <c r="O179" s="137">
        <v>9</v>
      </c>
      <c r="P179" s="137">
        <v>770</v>
      </c>
      <c r="Q179" s="137">
        <v>34</v>
      </c>
      <c r="R179" s="137">
        <v>23</v>
      </c>
      <c r="S179" s="137">
        <v>20</v>
      </c>
      <c r="T179" s="159">
        <v>31838</v>
      </c>
      <c r="U179" s="137">
        <v>34.369999999999997</v>
      </c>
      <c r="V179" s="137">
        <v>0</v>
      </c>
      <c r="W179" s="137">
        <v>1</v>
      </c>
      <c r="X179" s="137">
        <v>0</v>
      </c>
      <c r="Y179" s="137">
        <v>1</v>
      </c>
      <c r="Z179" s="137">
        <v>0</v>
      </c>
      <c r="AA179" s="137">
        <v>0</v>
      </c>
      <c r="AB179" s="137">
        <v>0</v>
      </c>
      <c r="AC179" s="137">
        <v>1</v>
      </c>
      <c r="AD179" s="137">
        <v>0</v>
      </c>
      <c r="AE179" s="137">
        <v>0</v>
      </c>
      <c r="AF179" s="137">
        <v>0</v>
      </c>
      <c r="AG179" s="137">
        <v>1</v>
      </c>
      <c r="AH179" s="137">
        <v>0</v>
      </c>
      <c r="AI179" s="137">
        <v>0</v>
      </c>
      <c r="AJ179" s="137">
        <v>0</v>
      </c>
      <c r="AK179" s="137">
        <v>0</v>
      </c>
      <c r="AL179" s="137">
        <v>0</v>
      </c>
      <c r="AM179" s="137">
        <v>0</v>
      </c>
      <c r="AN179" s="137">
        <v>0</v>
      </c>
      <c r="AO179" s="137">
        <v>0</v>
      </c>
      <c r="AP179" s="137">
        <v>0</v>
      </c>
      <c r="AQ179" s="137">
        <v>0</v>
      </c>
      <c r="AR179" s="137" t="s">
        <v>954</v>
      </c>
      <c r="AS179" s="137">
        <v>0</v>
      </c>
      <c r="AT179" s="137">
        <v>0</v>
      </c>
      <c r="AU179" s="137">
        <v>0</v>
      </c>
      <c r="AV179" s="137">
        <v>0</v>
      </c>
      <c r="AW179" s="137">
        <v>0</v>
      </c>
      <c r="AX179" s="137">
        <v>0</v>
      </c>
      <c r="AY179" s="137">
        <v>0</v>
      </c>
      <c r="AZ179" s="137">
        <v>0</v>
      </c>
      <c r="BA179" s="137">
        <v>0</v>
      </c>
      <c r="BB179" s="137">
        <v>0</v>
      </c>
      <c r="BC179" s="137">
        <v>0</v>
      </c>
      <c r="BD179" s="137">
        <v>0</v>
      </c>
      <c r="BE179" s="137">
        <v>0</v>
      </c>
      <c r="BF179" s="137">
        <v>0</v>
      </c>
      <c r="BG179" s="137">
        <v>0</v>
      </c>
      <c r="BH179" s="137">
        <v>0</v>
      </c>
      <c r="BI179" s="137">
        <v>0</v>
      </c>
      <c r="BJ179" s="137">
        <v>0</v>
      </c>
      <c r="BK179" s="137">
        <v>1</v>
      </c>
      <c r="BL179" s="137">
        <v>0</v>
      </c>
      <c r="BM179" s="137">
        <v>1</v>
      </c>
      <c r="BN179" s="137">
        <v>0</v>
      </c>
      <c r="BO179" s="137">
        <v>0</v>
      </c>
      <c r="BP179" s="137">
        <v>0</v>
      </c>
      <c r="BQ179" s="137">
        <v>0</v>
      </c>
      <c r="BR179" s="137">
        <v>0</v>
      </c>
      <c r="BS179" s="137">
        <v>0</v>
      </c>
      <c r="BT179" s="137">
        <v>1</v>
      </c>
      <c r="BU179" s="137">
        <v>0</v>
      </c>
      <c r="BV179" s="137">
        <v>0</v>
      </c>
      <c r="BW179" s="137">
        <v>0</v>
      </c>
      <c r="BX179" s="137">
        <v>0</v>
      </c>
      <c r="BY179" s="137">
        <v>0</v>
      </c>
      <c r="BZ179" s="137">
        <v>1</v>
      </c>
      <c r="CA179" s="137" t="s">
        <v>946</v>
      </c>
      <c r="CB179" s="137">
        <v>1</v>
      </c>
      <c r="CC179" s="161" t="s">
        <v>1525</v>
      </c>
      <c r="CD179" s="137">
        <v>1</v>
      </c>
      <c r="CE179" s="183" t="s">
        <v>1526</v>
      </c>
      <c r="CF179" s="161" t="s">
        <v>1132</v>
      </c>
      <c r="CG179" s="137">
        <v>1</v>
      </c>
      <c r="CH179" s="183" t="s">
        <v>1526</v>
      </c>
      <c r="CI179" s="137">
        <v>0</v>
      </c>
      <c r="CJ179" s="137" t="s">
        <v>947</v>
      </c>
      <c r="CK179" s="137" t="s">
        <v>947</v>
      </c>
      <c r="CL179" s="137">
        <v>1</v>
      </c>
      <c r="CM179" s="161" t="s">
        <v>1419</v>
      </c>
      <c r="CN179" s="161" t="s">
        <v>982</v>
      </c>
      <c r="CO179" s="161" t="s">
        <v>1060</v>
      </c>
      <c r="CP179" s="137" t="s">
        <v>946</v>
      </c>
      <c r="CQ179" s="161" t="s">
        <v>993</v>
      </c>
      <c r="CR179" s="137">
        <v>0</v>
      </c>
      <c r="CS179" s="137" t="s">
        <v>947</v>
      </c>
      <c r="CT179" s="137" t="s">
        <v>947</v>
      </c>
      <c r="CU179" s="137">
        <v>1</v>
      </c>
      <c r="CV179" s="161" t="s">
        <v>1527</v>
      </c>
      <c r="CW179" s="137" t="s">
        <v>1528</v>
      </c>
      <c r="CX179" s="137">
        <v>1</v>
      </c>
      <c r="CY179" s="159">
        <v>44621</v>
      </c>
      <c r="CZ179" s="137">
        <v>2</v>
      </c>
      <c r="DA179" s="137"/>
      <c r="DB179" s="152"/>
    </row>
    <row r="180" spans="1:106" s="127" customFormat="1" ht="16">
      <c r="A180" s="125" t="s">
        <v>734</v>
      </c>
      <c r="B180" s="167">
        <v>22104263</v>
      </c>
      <c r="C180" s="175" t="s">
        <v>1529</v>
      </c>
      <c r="D180" s="167"/>
      <c r="E180" s="167"/>
      <c r="F180" s="167"/>
      <c r="G180" s="167"/>
      <c r="H180" s="167"/>
      <c r="I180" s="167"/>
      <c r="J180" s="167"/>
      <c r="K180" s="167"/>
      <c r="L180" s="167"/>
      <c r="M180" s="167"/>
      <c r="N180" s="167"/>
      <c r="O180" s="167"/>
      <c r="P180" s="167"/>
      <c r="Q180" s="167"/>
      <c r="R180" s="167"/>
      <c r="S180" s="167"/>
      <c r="T180" s="167"/>
      <c r="U180" s="170"/>
      <c r="V180" s="167"/>
      <c r="W180" s="167"/>
      <c r="X180" s="167"/>
      <c r="Y180" s="167"/>
      <c r="Z180" s="167"/>
      <c r="AA180" s="167"/>
      <c r="AB180" s="167"/>
      <c r="AC180" s="167"/>
      <c r="AD180" s="167"/>
      <c r="AE180" s="167"/>
      <c r="AF180" s="167"/>
      <c r="AG180" s="167"/>
      <c r="AH180" s="167"/>
      <c r="AI180" s="167"/>
      <c r="AJ180" s="167"/>
      <c r="AK180" s="167"/>
      <c r="AL180" s="167"/>
      <c r="AM180" s="167"/>
      <c r="AN180" s="167"/>
      <c r="AO180" s="167"/>
      <c r="AP180" s="167"/>
      <c r="AQ180" s="167"/>
      <c r="AR180" s="167"/>
      <c r="AS180" s="167"/>
      <c r="AT180" s="167"/>
      <c r="AU180" s="167"/>
      <c r="AV180" s="167"/>
      <c r="AW180" s="167"/>
      <c r="AX180" s="167"/>
      <c r="AY180" s="167"/>
      <c r="AZ180" s="167"/>
      <c r="BA180" s="167"/>
      <c r="BB180" s="167"/>
      <c r="BC180" s="167"/>
      <c r="BD180" s="167"/>
      <c r="BE180" s="167"/>
      <c r="BF180" s="167"/>
      <c r="BG180" s="167"/>
      <c r="BH180" s="167"/>
      <c r="BI180" s="167"/>
      <c r="BJ180" s="167"/>
      <c r="BK180" s="167"/>
      <c r="BL180" s="167"/>
      <c r="BM180" s="167"/>
      <c r="BN180" s="167"/>
      <c r="BO180" s="167"/>
      <c r="BP180" s="167"/>
      <c r="BQ180" s="167"/>
      <c r="BR180" s="167"/>
      <c r="BS180" s="167"/>
      <c r="BT180" s="167"/>
      <c r="BU180" s="167"/>
      <c r="BV180" s="167"/>
      <c r="BW180" s="167"/>
      <c r="BX180" s="167"/>
      <c r="BY180" s="167"/>
      <c r="BZ180" s="167"/>
      <c r="CA180" s="167"/>
      <c r="CB180" s="167"/>
      <c r="CC180" s="167"/>
      <c r="CD180" s="167"/>
      <c r="CE180" s="167"/>
      <c r="CF180" s="167"/>
      <c r="CG180" s="167"/>
      <c r="CH180" s="167"/>
      <c r="CI180" s="167"/>
      <c r="CJ180" s="167"/>
      <c r="CK180" s="167"/>
      <c r="CL180" s="167"/>
      <c r="CM180" s="167"/>
      <c r="CN180" s="167"/>
      <c r="CO180" s="167"/>
      <c r="CP180" s="167"/>
      <c r="CQ180" s="167"/>
      <c r="CR180" s="167"/>
      <c r="CS180" s="167"/>
      <c r="CT180" s="167"/>
      <c r="CU180" s="167"/>
      <c r="CV180" s="167"/>
      <c r="CW180" s="167"/>
      <c r="CX180" s="167"/>
      <c r="CY180" s="167"/>
      <c r="CZ180" s="167"/>
      <c r="DA180" s="167"/>
      <c r="DB180" s="169"/>
    </row>
    <row r="181" spans="1:106" ht="16">
      <c r="A181" s="1" t="s">
        <v>737</v>
      </c>
      <c r="B181" s="137">
        <v>22109759</v>
      </c>
      <c r="C181" s="161" t="s">
        <v>1530</v>
      </c>
      <c r="D181" s="159">
        <v>44727</v>
      </c>
      <c r="E181" s="137">
        <v>68.900000000000006</v>
      </c>
      <c r="F181" s="137">
        <v>7.8</v>
      </c>
      <c r="G181" s="137">
        <v>16.43</v>
      </c>
      <c r="H181" s="137">
        <v>45.5</v>
      </c>
      <c r="I181" s="137">
        <v>37</v>
      </c>
      <c r="J181" s="137">
        <v>1</v>
      </c>
      <c r="K181" s="137">
        <v>0</v>
      </c>
      <c r="L181" s="137">
        <v>1</v>
      </c>
      <c r="M181" s="137">
        <v>0</v>
      </c>
      <c r="N181" s="137">
        <v>9</v>
      </c>
      <c r="O181" s="137">
        <v>10</v>
      </c>
      <c r="P181" s="137">
        <v>3340</v>
      </c>
      <c r="Q181" s="137">
        <v>49.5</v>
      </c>
      <c r="R181" s="137">
        <v>35</v>
      </c>
      <c r="S181" s="137">
        <v>32</v>
      </c>
      <c r="T181" s="159">
        <v>29753</v>
      </c>
      <c r="U181" s="137">
        <v>40.520000000000003</v>
      </c>
      <c r="V181" s="137">
        <v>2</v>
      </c>
      <c r="W181" s="137">
        <v>0</v>
      </c>
      <c r="X181" s="137">
        <v>1</v>
      </c>
      <c r="Y181" s="137">
        <v>2</v>
      </c>
      <c r="Z181" s="137">
        <v>0</v>
      </c>
      <c r="AA181" s="137">
        <v>0</v>
      </c>
      <c r="AB181" s="137">
        <v>0</v>
      </c>
      <c r="AC181" s="137">
        <v>0</v>
      </c>
      <c r="AD181" s="137">
        <v>0</v>
      </c>
      <c r="AE181" s="137">
        <v>0</v>
      </c>
      <c r="AF181" s="137">
        <v>0</v>
      </c>
      <c r="AG181" s="137">
        <v>0</v>
      </c>
      <c r="AH181" s="137">
        <v>0</v>
      </c>
      <c r="AI181" s="137">
        <v>0</v>
      </c>
      <c r="AJ181" s="137">
        <v>0</v>
      </c>
      <c r="AK181" s="137">
        <v>0</v>
      </c>
      <c r="AL181" s="137">
        <v>0</v>
      </c>
      <c r="AM181" s="137">
        <v>0</v>
      </c>
      <c r="AN181" s="137">
        <v>0</v>
      </c>
      <c r="AO181" s="137">
        <v>0</v>
      </c>
      <c r="AP181" s="137">
        <v>0</v>
      </c>
      <c r="AQ181" s="137">
        <v>0</v>
      </c>
      <c r="AR181" s="137" t="s">
        <v>1155</v>
      </c>
      <c r="AS181" s="137">
        <v>0</v>
      </c>
      <c r="AT181" s="137">
        <v>0</v>
      </c>
      <c r="AU181" s="137">
        <v>0</v>
      </c>
      <c r="AV181" s="137">
        <v>0</v>
      </c>
      <c r="AW181" s="137">
        <v>0</v>
      </c>
      <c r="AX181" s="137">
        <v>0</v>
      </c>
      <c r="AY181" s="137">
        <v>0</v>
      </c>
      <c r="AZ181" s="137">
        <v>0</v>
      </c>
      <c r="BA181" s="137">
        <v>0</v>
      </c>
      <c r="BB181" s="137">
        <v>0</v>
      </c>
      <c r="BC181" s="137">
        <v>0</v>
      </c>
      <c r="BD181" s="137">
        <v>0</v>
      </c>
      <c r="BE181" s="137">
        <v>0</v>
      </c>
      <c r="BF181" s="137">
        <v>0</v>
      </c>
      <c r="BG181" s="137">
        <v>0</v>
      </c>
      <c r="BH181" s="137">
        <v>0</v>
      </c>
      <c r="BI181" s="137">
        <v>0</v>
      </c>
      <c r="BJ181" s="137">
        <v>0</v>
      </c>
      <c r="BK181" s="137">
        <v>0</v>
      </c>
      <c r="BL181" s="137">
        <v>0</v>
      </c>
      <c r="BM181" s="137">
        <v>0</v>
      </c>
      <c r="BN181" s="137">
        <v>0</v>
      </c>
      <c r="BO181" s="137">
        <v>0</v>
      </c>
      <c r="BP181" s="137">
        <v>0</v>
      </c>
      <c r="BQ181" s="137">
        <v>0</v>
      </c>
      <c r="BR181" s="137">
        <v>0</v>
      </c>
      <c r="BS181" s="137">
        <v>0</v>
      </c>
      <c r="BT181" s="137">
        <v>0</v>
      </c>
      <c r="BU181" s="137">
        <v>0</v>
      </c>
      <c r="BV181" s="137">
        <v>0</v>
      </c>
      <c r="BW181" s="137">
        <v>0</v>
      </c>
      <c r="BX181" s="137">
        <v>0</v>
      </c>
      <c r="BY181" s="137">
        <v>0</v>
      </c>
      <c r="BZ181" s="137">
        <v>1</v>
      </c>
      <c r="CA181" s="137" t="s">
        <v>946</v>
      </c>
      <c r="CB181" s="137">
        <v>0</v>
      </c>
      <c r="CC181" s="137" t="s">
        <v>947</v>
      </c>
      <c r="CD181" s="137">
        <v>1</v>
      </c>
      <c r="CE181" s="137" t="s">
        <v>946</v>
      </c>
      <c r="CF181" s="161" t="s">
        <v>1531</v>
      </c>
      <c r="CG181" s="137">
        <v>0</v>
      </c>
      <c r="CH181" s="137" t="s">
        <v>947</v>
      </c>
      <c r="CI181" s="137">
        <v>0</v>
      </c>
      <c r="CJ181" s="137" t="s">
        <v>947</v>
      </c>
      <c r="CK181" s="137" t="s">
        <v>947</v>
      </c>
      <c r="CL181" s="137">
        <v>0</v>
      </c>
      <c r="CM181" s="137" t="s">
        <v>947</v>
      </c>
      <c r="CN181" s="137" t="s">
        <v>947</v>
      </c>
      <c r="CO181" s="137">
        <v>0</v>
      </c>
      <c r="CP181" s="137" t="s">
        <v>947</v>
      </c>
      <c r="CQ181" s="137" t="s">
        <v>947</v>
      </c>
      <c r="CR181" s="137">
        <v>0</v>
      </c>
      <c r="CS181" s="137" t="s">
        <v>947</v>
      </c>
      <c r="CT181" s="137" t="s">
        <v>947</v>
      </c>
      <c r="CU181" s="137">
        <v>0</v>
      </c>
      <c r="CV181" s="137" t="s">
        <v>947</v>
      </c>
      <c r="CW181" s="137" t="s">
        <v>947</v>
      </c>
      <c r="CX181" s="137">
        <v>1</v>
      </c>
      <c r="CY181" s="159">
        <v>44696</v>
      </c>
      <c r="CZ181" s="137">
        <v>2</v>
      </c>
      <c r="DA181" s="137"/>
      <c r="DB181" s="152"/>
    </row>
    <row r="182" spans="1:106" ht="16">
      <c r="A182" s="1" t="s">
        <v>742</v>
      </c>
      <c r="B182" s="137">
        <v>16903095</v>
      </c>
      <c r="C182" s="161" t="s">
        <v>1532</v>
      </c>
      <c r="D182" s="159">
        <v>44719</v>
      </c>
      <c r="E182" s="137">
        <v>64.2</v>
      </c>
      <c r="F182" s="137">
        <v>7.4</v>
      </c>
      <c r="G182" s="137">
        <v>17.95</v>
      </c>
      <c r="H182" s="137">
        <v>45.6</v>
      </c>
      <c r="I182" s="137">
        <v>39</v>
      </c>
      <c r="J182" s="137">
        <v>4</v>
      </c>
      <c r="K182" s="137">
        <v>0</v>
      </c>
      <c r="L182" s="137">
        <v>1</v>
      </c>
      <c r="M182" s="137">
        <v>1</v>
      </c>
      <c r="N182" s="137">
        <v>8</v>
      </c>
      <c r="O182" s="137">
        <v>10</v>
      </c>
      <c r="P182" s="137">
        <v>3485</v>
      </c>
      <c r="Q182" s="137">
        <v>50</v>
      </c>
      <c r="R182" s="137">
        <v>34.5</v>
      </c>
      <c r="S182" s="137">
        <v>33</v>
      </c>
      <c r="T182" s="159">
        <v>30701</v>
      </c>
      <c r="U182" s="137">
        <v>37.840000000000003</v>
      </c>
      <c r="V182" s="137">
        <v>1</v>
      </c>
      <c r="W182" s="137">
        <v>0</v>
      </c>
      <c r="X182" s="137">
        <v>2</v>
      </c>
      <c r="Y182" s="137">
        <v>1</v>
      </c>
      <c r="Z182" s="137">
        <v>0</v>
      </c>
      <c r="AA182" s="137">
        <v>0</v>
      </c>
      <c r="AB182" s="137">
        <v>1</v>
      </c>
      <c r="AC182" s="137">
        <v>0</v>
      </c>
      <c r="AD182" s="137">
        <v>0</v>
      </c>
      <c r="AE182" s="137">
        <v>0</v>
      </c>
      <c r="AF182" s="137">
        <v>0</v>
      </c>
      <c r="AG182" s="137">
        <v>1</v>
      </c>
      <c r="AH182" s="137">
        <v>0</v>
      </c>
      <c r="AI182" s="137">
        <v>0</v>
      </c>
      <c r="AJ182" s="137">
        <v>0</v>
      </c>
      <c r="AK182" s="137">
        <v>0</v>
      </c>
      <c r="AL182" s="137">
        <v>0</v>
      </c>
      <c r="AM182" s="137">
        <v>0</v>
      </c>
      <c r="AN182" s="137">
        <v>0</v>
      </c>
      <c r="AO182" s="137">
        <v>0</v>
      </c>
      <c r="AP182" s="137">
        <v>0</v>
      </c>
      <c r="AQ182" s="137">
        <v>0</v>
      </c>
      <c r="AR182" s="137" t="s">
        <v>954</v>
      </c>
      <c r="AS182" s="137">
        <v>0</v>
      </c>
      <c r="AT182" s="137">
        <v>0</v>
      </c>
      <c r="AU182" s="137">
        <v>0</v>
      </c>
      <c r="AV182" s="137">
        <v>0</v>
      </c>
      <c r="AW182" s="137">
        <v>0</v>
      </c>
      <c r="AX182" s="137">
        <v>0</v>
      </c>
      <c r="AY182" s="137">
        <v>0</v>
      </c>
      <c r="AZ182" s="137">
        <v>0</v>
      </c>
      <c r="BA182" s="137">
        <v>0</v>
      </c>
      <c r="BB182" s="137">
        <v>0</v>
      </c>
      <c r="BC182" s="137">
        <v>0</v>
      </c>
      <c r="BD182" s="137">
        <v>0</v>
      </c>
      <c r="BE182" s="137">
        <v>0</v>
      </c>
      <c r="BF182" s="137">
        <v>0</v>
      </c>
      <c r="BG182" s="137">
        <v>0</v>
      </c>
      <c r="BH182" s="137">
        <v>0</v>
      </c>
      <c r="BI182" s="137">
        <v>0</v>
      </c>
      <c r="BJ182" s="137">
        <v>0</v>
      </c>
      <c r="BK182" s="137">
        <v>0</v>
      </c>
      <c r="BL182" s="137">
        <v>0</v>
      </c>
      <c r="BM182" s="137">
        <v>0</v>
      </c>
      <c r="BN182" s="137">
        <v>0</v>
      </c>
      <c r="BO182" s="137">
        <v>0</v>
      </c>
      <c r="BP182" s="137">
        <v>0</v>
      </c>
      <c r="BQ182" s="137">
        <v>0</v>
      </c>
      <c r="BR182" s="137">
        <v>0</v>
      </c>
      <c r="BS182" s="137">
        <v>0</v>
      </c>
      <c r="BT182" s="137">
        <v>0</v>
      </c>
      <c r="BU182" s="137">
        <v>0</v>
      </c>
      <c r="BV182" s="137">
        <v>0</v>
      </c>
      <c r="BW182" s="137">
        <v>0</v>
      </c>
      <c r="BX182" s="137">
        <v>0</v>
      </c>
      <c r="BY182" s="137">
        <v>0</v>
      </c>
      <c r="BZ182" s="137">
        <v>1</v>
      </c>
      <c r="CA182" s="137" t="s">
        <v>946</v>
      </c>
      <c r="CB182" s="137">
        <v>0</v>
      </c>
      <c r="CC182" s="137" t="s">
        <v>947</v>
      </c>
      <c r="CD182" s="137">
        <v>1</v>
      </c>
      <c r="CE182" s="137" t="s">
        <v>946</v>
      </c>
      <c r="CF182" s="161" t="s">
        <v>1533</v>
      </c>
      <c r="CG182" s="137">
        <v>0</v>
      </c>
      <c r="CH182" s="137" t="s">
        <v>947</v>
      </c>
      <c r="CI182" s="137">
        <v>0</v>
      </c>
      <c r="CJ182" s="137" t="s">
        <v>947</v>
      </c>
      <c r="CK182" s="137" t="s">
        <v>947</v>
      </c>
      <c r="CL182" s="137">
        <v>0</v>
      </c>
      <c r="CM182" s="137" t="s">
        <v>947</v>
      </c>
      <c r="CN182" s="137" t="s">
        <v>947</v>
      </c>
      <c r="CO182" s="137">
        <v>0</v>
      </c>
      <c r="CP182" s="137" t="s">
        <v>947</v>
      </c>
      <c r="CQ182" s="137" t="s">
        <v>947</v>
      </c>
      <c r="CR182" s="137">
        <v>0</v>
      </c>
      <c r="CS182" s="137" t="s">
        <v>947</v>
      </c>
      <c r="CT182" s="137" t="s">
        <v>947</v>
      </c>
      <c r="CU182" s="137">
        <v>0</v>
      </c>
      <c r="CV182" s="137" t="s">
        <v>947</v>
      </c>
      <c r="CW182" s="137" t="s">
        <v>947</v>
      </c>
      <c r="CX182" s="137">
        <v>1</v>
      </c>
      <c r="CY182" s="159">
        <v>44660</v>
      </c>
      <c r="CZ182" s="137">
        <v>2</v>
      </c>
      <c r="DA182" s="137"/>
      <c r="DB182" s="152"/>
    </row>
    <row r="183" spans="1:106" ht="16">
      <c r="A183" s="1" t="s">
        <v>747</v>
      </c>
      <c r="B183" s="137">
        <v>22109538</v>
      </c>
      <c r="C183" s="161" t="s">
        <v>1534</v>
      </c>
      <c r="D183" s="159">
        <v>44732</v>
      </c>
      <c r="E183" s="137">
        <v>63.9</v>
      </c>
      <c r="F183" s="137">
        <v>6.7</v>
      </c>
      <c r="G183" s="137">
        <v>16.41</v>
      </c>
      <c r="H183" s="137">
        <v>43.5</v>
      </c>
      <c r="I183" s="137">
        <v>37</v>
      </c>
      <c r="J183" s="137">
        <v>6</v>
      </c>
      <c r="K183" s="137">
        <v>0</v>
      </c>
      <c r="L183" s="137">
        <v>1</v>
      </c>
      <c r="M183" s="137">
        <v>0</v>
      </c>
      <c r="N183" s="137">
        <v>9</v>
      </c>
      <c r="O183" s="137">
        <v>10</v>
      </c>
      <c r="P183" s="137">
        <v>2830</v>
      </c>
      <c r="Q183" s="137">
        <v>48</v>
      </c>
      <c r="R183" s="137">
        <v>34</v>
      </c>
      <c r="S183" s="137">
        <v>31.5</v>
      </c>
      <c r="T183" s="159">
        <v>32591</v>
      </c>
      <c r="U183" s="137">
        <v>32.672222220000002</v>
      </c>
      <c r="V183" s="137">
        <v>1</v>
      </c>
      <c r="W183" s="137">
        <v>0</v>
      </c>
      <c r="X183" s="137">
        <v>0</v>
      </c>
      <c r="Y183" s="137">
        <v>1</v>
      </c>
      <c r="Z183" s="137">
        <v>0</v>
      </c>
      <c r="AA183" s="137">
        <v>0</v>
      </c>
      <c r="AB183" s="137">
        <v>0</v>
      </c>
      <c r="AC183" s="137">
        <v>0</v>
      </c>
      <c r="AD183" s="137">
        <v>0</v>
      </c>
      <c r="AE183" s="137">
        <v>0</v>
      </c>
      <c r="AF183" s="137">
        <v>0</v>
      </c>
      <c r="AG183" s="137">
        <v>0</v>
      </c>
      <c r="AH183" s="137">
        <v>0</v>
      </c>
      <c r="AI183" s="137">
        <v>0</v>
      </c>
      <c r="AJ183" s="137">
        <v>0</v>
      </c>
      <c r="AK183" s="137">
        <v>0</v>
      </c>
      <c r="AL183" s="137" t="s">
        <v>1345</v>
      </c>
      <c r="AM183" s="137">
        <v>0</v>
      </c>
      <c r="AN183" s="137">
        <v>0</v>
      </c>
      <c r="AO183" s="137">
        <v>0</v>
      </c>
      <c r="AP183" s="137">
        <v>0</v>
      </c>
      <c r="AQ183" s="137">
        <v>0</v>
      </c>
      <c r="AR183" s="137">
        <v>1</v>
      </c>
      <c r="AS183" s="137">
        <v>0</v>
      </c>
      <c r="AT183" s="137">
        <v>0</v>
      </c>
      <c r="AU183" s="137">
        <v>0</v>
      </c>
      <c r="AV183" s="137">
        <v>0</v>
      </c>
      <c r="AW183" s="137">
        <v>0</v>
      </c>
      <c r="AX183" s="137">
        <v>0</v>
      </c>
      <c r="AY183" s="137">
        <v>1</v>
      </c>
      <c r="AZ183" s="137">
        <v>0</v>
      </c>
      <c r="BA183" s="137">
        <v>0</v>
      </c>
      <c r="BB183" s="137">
        <v>0</v>
      </c>
      <c r="BC183" s="137">
        <v>0</v>
      </c>
      <c r="BD183" s="137">
        <v>0</v>
      </c>
      <c r="BE183" s="137">
        <v>0</v>
      </c>
      <c r="BF183" s="137">
        <v>0</v>
      </c>
      <c r="BG183" s="137">
        <v>0</v>
      </c>
      <c r="BH183" s="137">
        <v>0</v>
      </c>
      <c r="BI183" s="137">
        <v>0</v>
      </c>
      <c r="BJ183" s="137" t="s">
        <v>1535</v>
      </c>
      <c r="BK183" s="137">
        <v>1</v>
      </c>
      <c r="BL183" s="137">
        <v>0</v>
      </c>
      <c r="BM183" s="137">
        <v>0</v>
      </c>
      <c r="BN183" s="137">
        <v>0</v>
      </c>
      <c r="BO183" s="137">
        <v>0</v>
      </c>
      <c r="BP183" s="137">
        <v>0</v>
      </c>
      <c r="BQ183" s="137">
        <v>0</v>
      </c>
      <c r="BR183" s="137">
        <v>0</v>
      </c>
      <c r="BS183" s="137">
        <v>0</v>
      </c>
      <c r="BT183" s="137">
        <v>0</v>
      </c>
      <c r="BU183" s="137">
        <v>0</v>
      </c>
      <c r="BV183" s="161" t="s">
        <v>1536</v>
      </c>
      <c r="BW183" s="137">
        <v>0</v>
      </c>
      <c r="BX183" s="137">
        <v>0</v>
      </c>
      <c r="BY183" s="137">
        <v>0</v>
      </c>
      <c r="BZ183" s="137">
        <v>1</v>
      </c>
      <c r="CA183" s="137" t="s">
        <v>946</v>
      </c>
      <c r="CB183" s="137">
        <v>0</v>
      </c>
      <c r="CC183" s="137" t="s">
        <v>947</v>
      </c>
      <c r="CD183" s="137">
        <v>1</v>
      </c>
      <c r="CE183" s="137" t="s">
        <v>1537</v>
      </c>
      <c r="CF183" s="161" t="s">
        <v>1137</v>
      </c>
      <c r="CG183" s="137">
        <v>0</v>
      </c>
      <c r="CH183" s="137" t="s">
        <v>947</v>
      </c>
      <c r="CI183" s="137">
        <v>0</v>
      </c>
      <c r="CJ183" s="137" t="s">
        <v>947</v>
      </c>
      <c r="CK183" s="137" t="s">
        <v>947</v>
      </c>
      <c r="CL183" s="137">
        <v>0</v>
      </c>
      <c r="CM183" s="137" t="s">
        <v>947</v>
      </c>
      <c r="CN183" s="137" t="s">
        <v>947</v>
      </c>
      <c r="CO183" s="137">
        <v>0</v>
      </c>
      <c r="CP183" s="137" t="s">
        <v>947</v>
      </c>
      <c r="CQ183" s="137" t="s">
        <v>947</v>
      </c>
      <c r="CR183" s="137">
        <v>0</v>
      </c>
      <c r="CS183" s="137" t="s">
        <v>947</v>
      </c>
      <c r="CT183" s="137" t="s">
        <v>947</v>
      </c>
      <c r="CU183" s="137">
        <v>0</v>
      </c>
      <c r="CV183" s="137" t="s">
        <v>947</v>
      </c>
      <c r="CW183" s="137" t="s">
        <v>947</v>
      </c>
      <c r="CX183" s="137">
        <v>1</v>
      </c>
      <c r="CY183" s="137" t="s">
        <v>962</v>
      </c>
      <c r="CZ183" s="137">
        <v>2</v>
      </c>
      <c r="DA183" s="137"/>
      <c r="DB183" s="152"/>
    </row>
    <row r="184" spans="1:106" ht="16">
      <c r="A184" s="1" t="s">
        <v>752</v>
      </c>
      <c r="B184" s="137">
        <v>22109793</v>
      </c>
      <c r="C184" s="161" t="s">
        <v>1538</v>
      </c>
      <c r="D184" s="159">
        <v>44741</v>
      </c>
      <c r="E184" s="137">
        <v>71.5</v>
      </c>
      <c r="F184" s="137">
        <v>9</v>
      </c>
      <c r="G184" s="137">
        <v>17.600000000000001</v>
      </c>
      <c r="H184" s="137">
        <v>45</v>
      </c>
      <c r="I184" s="137">
        <v>39</v>
      </c>
      <c r="J184" s="137">
        <v>1</v>
      </c>
      <c r="K184" s="137">
        <v>0</v>
      </c>
      <c r="L184" s="137">
        <v>1</v>
      </c>
      <c r="M184" s="137">
        <v>0</v>
      </c>
      <c r="N184" s="137">
        <v>9</v>
      </c>
      <c r="O184" s="137">
        <v>10</v>
      </c>
      <c r="P184" s="137">
        <v>3690</v>
      </c>
      <c r="Q184" s="137">
        <v>50.5</v>
      </c>
      <c r="R184" s="137">
        <v>36</v>
      </c>
      <c r="S184" s="137">
        <v>34</v>
      </c>
      <c r="T184" s="159">
        <v>33567</v>
      </c>
      <c r="U184" s="137">
        <v>30.083333329999999</v>
      </c>
      <c r="V184" s="137">
        <v>1</v>
      </c>
      <c r="W184" s="137">
        <v>0</v>
      </c>
      <c r="X184" s="137">
        <v>0</v>
      </c>
      <c r="Y184" s="137">
        <v>1</v>
      </c>
      <c r="Z184" s="137">
        <v>0</v>
      </c>
      <c r="AA184" s="137">
        <v>0</v>
      </c>
      <c r="AB184" s="137">
        <v>0</v>
      </c>
      <c r="AC184" s="137">
        <v>0</v>
      </c>
      <c r="AD184" s="137">
        <v>0</v>
      </c>
      <c r="AE184" s="137">
        <v>0</v>
      </c>
      <c r="AF184" s="137">
        <v>0</v>
      </c>
      <c r="AG184" s="137">
        <v>0</v>
      </c>
      <c r="AH184" s="137">
        <v>0</v>
      </c>
      <c r="AI184" s="137">
        <v>0</v>
      </c>
      <c r="AJ184" s="137">
        <v>0</v>
      </c>
      <c r="AK184" s="137">
        <v>0</v>
      </c>
      <c r="AL184" s="137">
        <v>0</v>
      </c>
      <c r="AM184" s="137">
        <v>0</v>
      </c>
      <c r="AN184" s="137">
        <v>0</v>
      </c>
      <c r="AO184" s="137">
        <v>0</v>
      </c>
      <c r="AP184" s="137">
        <v>0</v>
      </c>
      <c r="AQ184" s="137">
        <v>0</v>
      </c>
      <c r="AR184" s="137" t="s">
        <v>954</v>
      </c>
      <c r="AS184" s="137">
        <v>0</v>
      </c>
      <c r="AT184" s="137">
        <v>0</v>
      </c>
      <c r="AU184" s="137">
        <v>0</v>
      </c>
      <c r="AV184" s="137">
        <v>0</v>
      </c>
      <c r="AW184" s="137">
        <v>0</v>
      </c>
      <c r="AX184" s="137">
        <v>0</v>
      </c>
      <c r="AY184" s="137">
        <v>0</v>
      </c>
      <c r="AZ184" s="137">
        <v>0</v>
      </c>
      <c r="BA184" s="137">
        <v>0</v>
      </c>
      <c r="BB184" s="137">
        <v>0</v>
      </c>
      <c r="BC184" s="137">
        <v>0</v>
      </c>
      <c r="BD184" s="137">
        <v>0</v>
      </c>
      <c r="BE184" s="137">
        <v>0</v>
      </c>
      <c r="BF184" s="137">
        <v>0</v>
      </c>
      <c r="BG184" s="137">
        <v>0</v>
      </c>
      <c r="BH184" s="137">
        <v>0</v>
      </c>
      <c r="BI184" s="137">
        <v>0</v>
      </c>
      <c r="BJ184" s="137">
        <v>0</v>
      </c>
      <c r="BK184" s="137">
        <v>0</v>
      </c>
      <c r="BL184" s="137">
        <v>0</v>
      </c>
      <c r="BM184" s="137">
        <v>0</v>
      </c>
      <c r="BN184" s="137">
        <v>0</v>
      </c>
      <c r="BO184" s="137">
        <v>0</v>
      </c>
      <c r="BP184" s="137">
        <v>0</v>
      </c>
      <c r="BQ184" s="137">
        <v>0</v>
      </c>
      <c r="BR184" s="137">
        <v>0</v>
      </c>
      <c r="BS184" s="137">
        <v>0</v>
      </c>
      <c r="BT184" s="137">
        <v>0</v>
      </c>
      <c r="BU184" s="137">
        <v>0</v>
      </c>
      <c r="BV184" s="137">
        <v>0</v>
      </c>
      <c r="BW184" s="137">
        <v>0</v>
      </c>
      <c r="BX184" s="137">
        <v>0</v>
      </c>
      <c r="BY184" s="137">
        <v>0</v>
      </c>
      <c r="BZ184" s="137">
        <v>1</v>
      </c>
      <c r="CA184" s="137" t="s">
        <v>946</v>
      </c>
      <c r="CB184" s="137">
        <v>0</v>
      </c>
      <c r="CC184" s="137" t="s">
        <v>947</v>
      </c>
      <c r="CD184" s="137">
        <v>0</v>
      </c>
      <c r="CE184" s="137" t="s">
        <v>947</v>
      </c>
      <c r="CF184" s="137" t="s">
        <v>947</v>
      </c>
      <c r="CG184" s="137">
        <v>0</v>
      </c>
      <c r="CH184" s="137" t="s">
        <v>947</v>
      </c>
      <c r="CI184" s="137">
        <v>0</v>
      </c>
      <c r="CJ184" s="137" t="s">
        <v>947</v>
      </c>
      <c r="CK184" s="137" t="s">
        <v>947</v>
      </c>
      <c r="CL184" s="137">
        <v>0</v>
      </c>
      <c r="CM184" s="137" t="s">
        <v>947</v>
      </c>
      <c r="CN184" s="137" t="s">
        <v>947</v>
      </c>
      <c r="CO184" s="137">
        <v>0</v>
      </c>
      <c r="CP184" s="137" t="s">
        <v>947</v>
      </c>
      <c r="CQ184" s="137" t="s">
        <v>947</v>
      </c>
      <c r="CR184" s="137">
        <v>0</v>
      </c>
      <c r="CS184" s="137" t="s">
        <v>947</v>
      </c>
      <c r="CT184" s="137" t="s">
        <v>947</v>
      </c>
      <c r="CU184" s="137">
        <v>0</v>
      </c>
      <c r="CV184" s="137" t="s">
        <v>947</v>
      </c>
      <c r="CW184" s="137" t="s">
        <v>947</v>
      </c>
      <c r="CX184" s="137">
        <v>1</v>
      </c>
      <c r="CY184" s="137" t="s">
        <v>965</v>
      </c>
      <c r="CZ184" s="137">
        <v>2</v>
      </c>
      <c r="DA184" s="137"/>
      <c r="DB184" s="152"/>
    </row>
    <row r="185" spans="1:106" s="127" customFormat="1" ht="16">
      <c r="A185" s="125" t="s">
        <v>756</v>
      </c>
      <c r="B185" s="167">
        <v>22109501</v>
      </c>
      <c r="C185" s="175" t="s">
        <v>1539</v>
      </c>
      <c r="D185" s="167"/>
      <c r="E185" s="167"/>
      <c r="F185" s="167"/>
      <c r="G185" s="167"/>
      <c r="H185" s="167"/>
      <c r="I185" s="167"/>
      <c r="J185" s="167"/>
      <c r="K185" s="167"/>
      <c r="L185" s="167"/>
      <c r="M185" s="167"/>
      <c r="N185" s="167"/>
      <c r="O185" s="167"/>
      <c r="P185" s="167"/>
      <c r="Q185" s="167"/>
      <c r="R185" s="167"/>
      <c r="S185" s="167"/>
      <c r="T185" s="167"/>
      <c r="U185" s="170"/>
      <c r="V185" s="167"/>
      <c r="W185" s="167"/>
      <c r="X185" s="167"/>
      <c r="Y185" s="167"/>
      <c r="Z185" s="167"/>
      <c r="AA185" s="167"/>
      <c r="AB185" s="167"/>
      <c r="AC185" s="167"/>
      <c r="AD185" s="167"/>
      <c r="AE185" s="167"/>
      <c r="AF185" s="167"/>
      <c r="AG185" s="167"/>
      <c r="AH185" s="167"/>
      <c r="AI185" s="167"/>
      <c r="AJ185" s="167"/>
      <c r="AK185" s="167"/>
      <c r="AL185" s="167"/>
      <c r="AM185" s="167"/>
      <c r="AN185" s="167"/>
      <c r="AO185" s="167"/>
      <c r="AP185" s="167"/>
      <c r="AQ185" s="167"/>
      <c r="AR185" s="167"/>
      <c r="AS185" s="167"/>
      <c r="AT185" s="167"/>
      <c r="AU185" s="167"/>
      <c r="AV185" s="167"/>
      <c r="AW185" s="167"/>
      <c r="AX185" s="167"/>
      <c r="AY185" s="167"/>
      <c r="AZ185" s="167"/>
      <c r="BA185" s="167"/>
      <c r="BB185" s="167"/>
      <c r="BC185" s="167"/>
      <c r="BD185" s="167"/>
      <c r="BE185" s="167"/>
      <c r="BF185" s="167"/>
      <c r="BG185" s="167"/>
      <c r="BH185" s="167"/>
      <c r="BI185" s="167"/>
      <c r="BJ185" s="167"/>
      <c r="BK185" s="167"/>
      <c r="BL185" s="167"/>
      <c r="BM185" s="167"/>
      <c r="BN185" s="167"/>
      <c r="BO185" s="167"/>
      <c r="BP185" s="167"/>
      <c r="BQ185" s="167"/>
      <c r="BR185" s="167"/>
      <c r="BS185" s="167"/>
      <c r="BT185" s="167"/>
      <c r="BU185" s="167"/>
      <c r="BV185" s="167"/>
      <c r="BW185" s="167"/>
      <c r="BX185" s="167"/>
      <c r="BY185" s="167"/>
      <c r="BZ185" s="167"/>
      <c r="CA185" s="167"/>
      <c r="CB185" s="167"/>
      <c r="CC185" s="167"/>
      <c r="CD185" s="167"/>
      <c r="CE185" s="167"/>
      <c r="CF185" s="167"/>
      <c r="CG185" s="167"/>
      <c r="CH185" s="167"/>
      <c r="CI185" s="167"/>
      <c r="CJ185" s="167"/>
      <c r="CK185" s="167"/>
      <c r="CL185" s="167"/>
      <c r="CM185" s="167"/>
      <c r="CN185" s="167"/>
      <c r="CO185" s="167"/>
      <c r="CP185" s="167"/>
      <c r="CQ185" s="167"/>
      <c r="CR185" s="167"/>
      <c r="CS185" s="167"/>
      <c r="CT185" s="167"/>
      <c r="CU185" s="167"/>
      <c r="CV185" s="167"/>
      <c r="CW185" s="167"/>
      <c r="CX185" s="167"/>
      <c r="CY185" s="167"/>
      <c r="CZ185" s="167"/>
      <c r="DA185" s="167"/>
      <c r="DB185" s="169"/>
    </row>
    <row r="186" spans="1:106" ht="16">
      <c r="A186" s="1" t="s">
        <v>759</v>
      </c>
      <c r="B186" s="137">
        <v>22109705</v>
      </c>
      <c r="C186" s="161" t="s">
        <v>1540</v>
      </c>
      <c r="D186" s="159">
        <v>44757</v>
      </c>
      <c r="E186" s="137">
        <v>67</v>
      </c>
      <c r="F186" s="137">
        <v>7.4</v>
      </c>
      <c r="G186" s="137">
        <v>16.48</v>
      </c>
      <c r="H186" s="137">
        <v>42</v>
      </c>
      <c r="I186" s="137">
        <v>38</v>
      </c>
      <c r="J186" s="137">
        <v>1</v>
      </c>
      <c r="K186" s="137">
        <v>0</v>
      </c>
      <c r="L186" s="137">
        <v>2</v>
      </c>
      <c r="M186" s="137">
        <v>0</v>
      </c>
      <c r="N186" s="137">
        <v>9</v>
      </c>
      <c r="O186" s="137">
        <v>10</v>
      </c>
      <c r="P186" s="137">
        <v>3050</v>
      </c>
      <c r="Q186" s="137">
        <v>47</v>
      </c>
      <c r="R186" s="137">
        <v>34</v>
      </c>
      <c r="S186" s="137">
        <v>33.5</v>
      </c>
      <c r="T186" s="159">
        <v>29692</v>
      </c>
      <c r="U186" s="137">
        <v>40.659999999999997</v>
      </c>
      <c r="V186" s="137">
        <v>0</v>
      </c>
      <c r="W186" s="137">
        <v>0</v>
      </c>
      <c r="X186" s="137">
        <v>3</v>
      </c>
      <c r="Y186" s="137">
        <v>1</v>
      </c>
      <c r="Z186" s="137">
        <v>0</v>
      </c>
      <c r="AA186" s="137">
        <v>0</v>
      </c>
      <c r="AB186" s="137">
        <v>0</v>
      </c>
      <c r="AC186" s="137">
        <v>0</v>
      </c>
      <c r="AD186" s="137">
        <v>0</v>
      </c>
      <c r="AE186" s="137">
        <v>0</v>
      </c>
      <c r="AF186" s="137">
        <v>0</v>
      </c>
      <c r="AG186" s="137">
        <v>0</v>
      </c>
      <c r="AH186" s="137">
        <v>0</v>
      </c>
      <c r="AI186" s="137">
        <v>0</v>
      </c>
      <c r="AJ186" s="137">
        <v>0</v>
      </c>
      <c r="AK186" s="137">
        <v>0</v>
      </c>
      <c r="AL186" s="137">
        <v>0</v>
      </c>
      <c r="AM186" s="137">
        <v>0</v>
      </c>
      <c r="AN186" s="137">
        <v>0</v>
      </c>
      <c r="AO186" s="137">
        <v>0</v>
      </c>
      <c r="AP186" s="137">
        <v>0</v>
      </c>
      <c r="AQ186" s="137">
        <v>0</v>
      </c>
      <c r="AR186" s="137" t="s">
        <v>954</v>
      </c>
      <c r="AS186" s="137">
        <v>0</v>
      </c>
      <c r="AT186" s="137">
        <v>0</v>
      </c>
      <c r="AU186" s="137">
        <v>0</v>
      </c>
      <c r="AV186" s="137">
        <v>0</v>
      </c>
      <c r="AW186" s="137">
        <v>0</v>
      </c>
      <c r="AX186" s="137">
        <v>0</v>
      </c>
      <c r="AY186" s="137">
        <v>0</v>
      </c>
      <c r="AZ186" s="137">
        <v>0</v>
      </c>
      <c r="BA186" s="137">
        <v>0</v>
      </c>
      <c r="BB186" s="137">
        <v>0</v>
      </c>
      <c r="BC186" s="137">
        <v>0</v>
      </c>
      <c r="BD186" s="137">
        <v>0</v>
      </c>
      <c r="BE186" s="137">
        <v>0</v>
      </c>
      <c r="BF186" s="137">
        <v>0</v>
      </c>
      <c r="BG186" s="137">
        <v>0</v>
      </c>
      <c r="BH186" s="137">
        <v>0</v>
      </c>
      <c r="BI186" s="137">
        <v>0</v>
      </c>
      <c r="BJ186" s="137">
        <v>0</v>
      </c>
      <c r="BK186" s="137">
        <v>0</v>
      </c>
      <c r="BL186" s="137">
        <v>0</v>
      </c>
      <c r="BM186" s="137">
        <v>0</v>
      </c>
      <c r="BN186" s="137">
        <v>0</v>
      </c>
      <c r="BO186" s="137">
        <v>0</v>
      </c>
      <c r="BP186" s="137">
        <v>0</v>
      </c>
      <c r="BQ186" s="137">
        <v>0</v>
      </c>
      <c r="BR186" s="137">
        <v>0</v>
      </c>
      <c r="BS186" s="137">
        <v>0</v>
      </c>
      <c r="BT186" s="137">
        <v>0</v>
      </c>
      <c r="BU186" s="137">
        <v>0</v>
      </c>
      <c r="BV186" s="137">
        <v>0</v>
      </c>
      <c r="BW186" s="137">
        <v>0</v>
      </c>
      <c r="BX186" s="137">
        <v>0</v>
      </c>
      <c r="BY186" s="137">
        <v>0</v>
      </c>
      <c r="BZ186" s="137">
        <v>1</v>
      </c>
      <c r="CA186" s="137" t="s">
        <v>946</v>
      </c>
      <c r="CB186" s="137">
        <v>0</v>
      </c>
      <c r="CC186" s="137" t="s">
        <v>947</v>
      </c>
      <c r="CD186" s="137">
        <v>0</v>
      </c>
      <c r="CE186" s="137" t="s">
        <v>947</v>
      </c>
      <c r="CF186" s="137" t="s">
        <v>947</v>
      </c>
      <c r="CG186" s="137">
        <v>0</v>
      </c>
      <c r="CH186" s="137" t="s">
        <v>947</v>
      </c>
      <c r="CI186" s="137">
        <v>1</v>
      </c>
      <c r="CJ186" s="137" t="s">
        <v>1541</v>
      </c>
      <c r="CK186" s="161" t="s">
        <v>1542</v>
      </c>
      <c r="CL186" s="137">
        <v>0</v>
      </c>
      <c r="CM186" s="137" t="s">
        <v>947</v>
      </c>
      <c r="CN186" s="137" t="s">
        <v>947</v>
      </c>
      <c r="CO186" s="137">
        <v>0</v>
      </c>
      <c r="CP186" s="137" t="s">
        <v>947</v>
      </c>
      <c r="CQ186" s="137" t="s">
        <v>947</v>
      </c>
      <c r="CR186" s="137">
        <v>0</v>
      </c>
      <c r="CS186" s="137" t="s">
        <v>947</v>
      </c>
      <c r="CT186" s="137" t="s">
        <v>947</v>
      </c>
      <c r="CU186" s="137">
        <v>0</v>
      </c>
      <c r="CV186" s="137" t="s">
        <v>947</v>
      </c>
      <c r="CW186" s="137" t="s">
        <v>947</v>
      </c>
      <c r="CX186" s="137">
        <v>1</v>
      </c>
      <c r="CY186" s="137" t="s">
        <v>962</v>
      </c>
      <c r="CZ186" s="137">
        <v>2</v>
      </c>
      <c r="DA186" s="137"/>
      <c r="DB186" s="152"/>
    </row>
    <row r="187" spans="1:106" s="110" customFormat="1" ht="16">
      <c r="A187" s="107" t="s">
        <v>762</v>
      </c>
      <c r="B187" s="153">
        <v>22109441</v>
      </c>
      <c r="C187" s="157" t="s">
        <v>1543</v>
      </c>
      <c r="D187" s="155">
        <v>44789</v>
      </c>
      <c r="E187" s="153">
        <v>67.5</v>
      </c>
      <c r="F187" s="153">
        <v>8.1</v>
      </c>
      <c r="G187" s="153">
        <v>17.78</v>
      </c>
      <c r="H187" s="153">
        <v>42.1</v>
      </c>
      <c r="I187" s="153">
        <v>27</v>
      </c>
      <c r="J187" s="153">
        <v>4</v>
      </c>
      <c r="K187" s="153">
        <v>1</v>
      </c>
      <c r="L187" s="153">
        <v>2</v>
      </c>
      <c r="M187" s="153">
        <v>0</v>
      </c>
      <c r="N187" s="153">
        <v>5</v>
      </c>
      <c r="O187" s="153">
        <v>8</v>
      </c>
      <c r="P187" s="153">
        <v>682</v>
      </c>
      <c r="Q187" s="153">
        <v>31.5</v>
      </c>
      <c r="R187" s="153">
        <v>22.5</v>
      </c>
      <c r="S187" s="153">
        <v>19.5</v>
      </c>
      <c r="T187" s="155">
        <v>32856</v>
      </c>
      <c r="U187" s="153">
        <v>31.93</v>
      </c>
      <c r="V187" s="153">
        <v>3</v>
      </c>
      <c r="W187" s="153">
        <v>2</v>
      </c>
      <c r="X187" s="153">
        <v>3</v>
      </c>
      <c r="Y187" s="153">
        <v>4</v>
      </c>
      <c r="Z187" s="153">
        <v>1</v>
      </c>
      <c r="AA187" s="153">
        <v>1</v>
      </c>
      <c r="AB187" s="153">
        <v>0</v>
      </c>
      <c r="AC187" s="153">
        <v>0</v>
      </c>
      <c r="AD187" s="153">
        <v>0</v>
      </c>
      <c r="AE187" s="153">
        <v>0</v>
      </c>
      <c r="AF187" s="153">
        <v>0</v>
      </c>
      <c r="AG187" s="153">
        <v>0</v>
      </c>
      <c r="AH187" s="153">
        <v>0</v>
      </c>
      <c r="AI187" s="153">
        <v>0</v>
      </c>
      <c r="AJ187" s="153">
        <v>0</v>
      </c>
      <c r="AK187" s="153">
        <v>0</v>
      </c>
      <c r="AL187" s="153">
        <v>0</v>
      </c>
      <c r="AM187" s="153">
        <v>0</v>
      </c>
      <c r="AN187" s="153">
        <v>0</v>
      </c>
      <c r="AO187" s="153">
        <v>0</v>
      </c>
      <c r="AP187" s="153">
        <v>0</v>
      </c>
      <c r="AQ187" s="153">
        <v>0</v>
      </c>
      <c r="AR187" s="153" t="s">
        <v>954</v>
      </c>
      <c r="AS187" s="153">
        <v>0</v>
      </c>
      <c r="AT187" s="153">
        <v>0</v>
      </c>
      <c r="AU187" s="153">
        <v>0</v>
      </c>
      <c r="AV187" s="153">
        <v>0</v>
      </c>
      <c r="AW187" s="153">
        <v>0</v>
      </c>
      <c r="AX187" s="153">
        <v>0</v>
      </c>
      <c r="AY187" s="153">
        <v>1</v>
      </c>
      <c r="AZ187" s="153">
        <v>0</v>
      </c>
      <c r="BA187" s="153">
        <v>0</v>
      </c>
      <c r="BB187" s="153">
        <v>0</v>
      </c>
      <c r="BC187" s="153">
        <v>0</v>
      </c>
      <c r="BD187" s="153">
        <v>0</v>
      </c>
      <c r="BE187" s="153">
        <v>0</v>
      </c>
      <c r="BF187" s="153">
        <v>0</v>
      </c>
      <c r="BG187" s="153">
        <v>0</v>
      </c>
      <c r="BH187" s="153">
        <v>1</v>
      </c>
      <c r="BI187" s="153">
        <v>0</v>
      </c>
      <c r="BJ187" s="153">
        <v>0</v>
      </c>
      <c r="BK187" s="153">
        <v>0</v>
      </c>
      <c r="BL187" s="153">
        <v>0</v>
      </c>
      <c r="BM187" s="153">
        <v>0</v>
      </c>
      <c r="BN187" s="153">
        <v>0</v>
      </c>
      <c r="BO187" s="153">
        <v>0</v>
      </c>
      <c r="BP187" s="153">
        <v>0</v>
      </c>
      <c r="BQ187" s="153">
        <v>0</v>
      </c>
      <c r="BR187" s="153">
        <v>0</v>
      </c>
      <c r="BS187" s="153">
        <v>0</v>
      </c>
      <c r="BT187" s="153">
        <v>0</v>
      </c>
      <c r="BU187" s="153">
        <v>0</v>
      </c>
      <c r="BV187" s="153">
        <v>0</v>
      </c>
      <c r="BW187" s="153">
        <v>0</v>
      </c>
      <c r="BX187" s="153">
        <v>0</v>
      </c>
      <c r="BY187" s="153">
        <v>0</v>
      </c>
      <c r="BZ187" s="153">
        <v>1</v>
      </c>
      <c r="CA187" s="153" t="s">
        <v>1170</v>
      </c>
      <c r="CB187" s="153">
        <v>1</v>
      </c>
      <c r="CC187" s="157" t="s">
        <v>1057</v>
      </c>
      <c r="CD187" s="153">
        <v>1</v>
      </c>
      <c r="CE187" s="157" t="s">
        <v>1268</v>
      </c>
      <c r="CF187" s="157" t="s">
        <v>1544</v>
      </c>
      <c r="CG187" s="153">
        <v>1</v>
      </c>
      <c r="CH187" s="153" t="s">
        <v>1545</v>
      </c>
      <c r="CI187" s="153">
        <v>0</v>
      </c>
      <c r="CJ187" s="153" t="s">
        <v>947</v>
      </c>
      <c r="CK187" s="153" t="s">
        <v>947</v>
      </c>
      <c r="CL187" s="153">
        <v>1</v>
      </c>
      <c r="CM187" s="157" t="s">
        <v>1546</v>
      </c>
      <c r="CN187" s="157" t="s">
        <v>1004</v>
      </c>
      <c r="CO187" s="157" t="s">
        <v>1060</v>
      </c>
      <c r="CP187" s="157" t="s">
        <v>1547</v>
      </c>
      <c r="CQ187" s="157" t="s">
        <v>993</v>
      </c>
      <c r="CR187" s="153">
        <v>0</v>
      </c>
      <c r="CS187" s="153" t="s">
        <v>947</v>
      </c>
      <c r="CT187" s="153" t="s">
        <v>947</v>
      </c>
      <c r="CU187" s="153">
        <v>0</v>
      </c>
      <c r="CV187" s="153" t="s">
        <v>947</v>
      </c>
      <c r="CW187" s="153" t="s">
        <v>947</v>
      </c>
      <c r="CX187" s="153">
        <v>1</v>
      </c>
      <c r="CY187" s="153" t="s">
        <v>1548</v>
      </c>
      <c r="CZ187" s="153"/>
      <c r="DA187" s="153"/>
      <c r="DB187" s="158"/>
    </row>
    <row r="188" spans="1:106" ht="16">
      <c r="A188" s="1" t="s">
        <v>766</v>
      </c>
      <c r="B188" s="137">
        <v>22108398</v>
      </c>
      <c r="C188" s="161" t="s">
        <v>1549</v>
      </c>
      <c r="D188" s="159">
        <v>44675</v>
      </c>
      <c r="E188" s="137">
        <v>66</v>
      </c>
      <c r="F188" s="137">
        <v>8</v>
      </c>
      <c r="G188" s="137">
        <v>18.37</v>
      </c>
      <c r="H188" s="137">
        <v>43.1</v>
      </c>
      <c r="I188" s="137">
        <v>27</v>
      </c>
      <c r="J188" s="137">
        <v>3</v>
      </c>
      <c r="K188" s="137">
        <v>1</v>
      </c>
      <c r="L188" s="137">
        <v>1</v>
      </c>
      <c r="M188" s="137">
        <v>0</v>
      </c>
      <c r="N188" s="137">
        <v>3</v>
      </c>
      <c r="O188" s="137">
        <v>7</v>
      </c>
      <c r="P188" s="137">
        <v>1350</v>
      </c>
      <c r="Q188" s="137">
        <v>38.5</v>
      </c>
      <c r="R188" s="137">
        <v>26</v>
      </c>
      <c r="S188" s="137">
        <v>24</v>
      </c>
      <c r="T188" s="159">
        <v>32241</v>
      </c>
      <c r="U188" s="137">
        <v>33.29</v>
      </c>
      <c r="V188" s="137">
        <v>0</v>
      </c>
      <c r="W188" s="137">
        <v>1</v>
      </c>
      <c r="X188" s="137">
        <v>0</v>
      </c>
      <c r="Y188" s="137">
        <v>1</v>
      </c>
      <c r="Z188" s="137">
        <v>0</v>
      </c>
      <c r="AA188" s="137">
        <v>0</v>
      </c>
      <c r="AB188" s="137">
        <v>0</v>
      </c>
      <c r="AC188" s="137">
        <v>1</v>
      </c>
      <c r="AD188" s="137">
        <v>0</v>
      </c>
      <c r="AE188" s="137">
        <v>0</v>
      </c>
      <c r="AF188" s="137">
        <v>0</v>
      </c>
      <c r="AG188" s="137">
        <v>0</v>
      </c>
      <c r="AH188" s="137">
        <v>1</v>
      </c>
      <c r="AI188" s="137">
        <v>1</v>
      </c>
      <c r="AJ188" s="137">
        <v>0</v>
      </c>
      <c r="AK188" s="137">
        <v>0</v>
      </c>
      <c r="AL188" s="137">
        <v>1</v>
      </c>
      <c r="AM188" s="137">
        <v>5</v>
      </c>
      <c r="AN188" s="137">
        <v>0</v>
      </c>
      <c r="AO188" s="137">
        <v>0</v>
      </c>
      <c r="AP188" s="137">
        <v>0</v>
      </c>
      <c r="AQ188" s="137">
        <v>0</v>
      </c>
      <c r="AR188" s="137">
        <v>1</v>
      </c>
      <c r="AS188" s="137">
        <v>0</v>
      </c>
      <c r="AT188" s="137">
        <v>0</v>
      </c>
      <c r="AU188" s="137">
        <v>0</v>
      </c>
      <c r="AV188" s="137">
        <v>0</v>
      </c>
      <c r="AW188" s="137">
        <v>0</v>
      </c>
      <c r="AX188" s="137">
        <v>0</v>
      </c>
      <c r="AY188" s="137">
        <v>0</v>
      </c>
      <c r="AZ188" s="137">
        <v>0</v>
      </c>
      <c r="BA188" s="137">
        <v>0</v>
      </c>
      <c r="BB188" s="137">
        <v>0</v>
      </c>
      <c r="BC188" s="137">
        <v>0</v>
      </c>
      <c r="BD188" s="137">
        <v>0</v>
      </c>
      <c r="BE188" s="137">
        <v>0</v>
      </c>
      <c r="BF188" s="137">
        <v>0</v>
      </c>
      <c r="BG188" s="137">
        <v>0</v>
      </c>
      <c r="BH188" s="137">
        <v>0</v>
      </c>
      <c r="BI188" s="137">
        <v>0</v>
      </c>
      <c r="BJ188" s="137">
        <v>0</v>
      </c>
      <c r="BK188" s="137">
        <v>1</v>
      </c>
      <c r="BL188" s="137">
        <v>0</v>
      </c>
      <c r="BM188" s="137">
        <v>1</v>
      </c>
      <c r="BN188" s="137">
        <v>0</v>
      </c>
      <c r="BO188" s="137">
        <v>0</v>
      </c>
      <c r="BP188" s="137">
        <v>1</v>
      </c>
      <c r="BQ188" s="137">
        <v>0</v>
      </c>
      <c r="BR188" s="137">
        <v>0</v>
      </c>
      <c r="BS188" s="137">
        <v>0</v>
      </c>
      <c r="BT188" s="137">
        <v>1</v>
      </c>
      <c r="BU188" s="137">
        <v>0</v>
      </c>
      <c r="BV188" s="137">
        <v>0</v>
      </c>
      <c r="BW188" s="137">
        <v>0</v>
      </c>
      <c r="BX188" s="137">
        <v>0</v>
      </c>
      <c r="BY188" s="137">
        <v>0</v>
      </c>
      <c r="BZ188" s="137">
        <v>1</v>
      </c>
      <c r="CA188" s="137" t="s">
        <v>1550</v>
      </c>
      <c r="CB188" s="137">
        <v>0</v>
      </c>
      <c r="CC188" s="137" t="s">
        <v>947</v>
      </c>
      <c r="CD188" s="137">
        <v>1</v>
      </c>
      <c r="CE188" s="137" t="s">
        <v>1551</v>
      </c>
      <c r="CF188" s="161" t="s">
        <v>1552</v>
      </c>
      <c r="CG188" s="137">
        <v>1</v>
      </c>
      <c r="CH188" s="137" t="s">
        <v>1553</v>
      </c>
      <c r="CI188" s="137">
        <v>0</v>
      </c>
      <c r="CJ188" s="137" t="s">
        <v>947</v>
      </c>
      <c r="CK188" s="137" t="s">
        <v>947</v>
      </c>
      <c r="CL188" s="137">
        <v>0</v>
      </c>
      <c r="CM188" s="137" t="s">
        <v>947</v>
      </c>
      <c r="CN188" s="137" t="s">
        <v>947</v>
      </c>
      <c r="CO188" s="161" t="s">
        <v>1060</v>
      </c>
      <c r="CP188" s="137" t="s">
        <v>1554</v>
      </c>
      <c r="CQ188" s="161" t="s">
        <v>993</v>
      </c>
      <c r="CR188" s="137">
        <v>0</v>
      </c>
      <c r="CS188" s="137" t="s">
        <v>947</v>
      </c>
      <c r="CT188" s="137" t="s">
        <v>947</v>
      </c>
      <c r="CU188" s="137">
        <v>0</v>
      </c>
      <c r="CV188" s="137" t="s">
        <v>947</v>
      </c>
      <c r="CW188" s="137" t="s">
        <v>947</v>
      </c>
      <c r="CX188" s="137">
        <v>1</v>
      </c>
      <c r="CY188" s="159">
        <v>44612</v>
      </c>
      <c r="CZ188" s="137">
        <v>2</v>
      </c>
      <c r="DA188" s="137"/>
      <c r="DB188" s="152"/>
    </row>
    <row r="189" spans="1:106" ht="16">
      <c r="A189" s="1" t="s">
        <v>770</v>
      </c>
      <c r="B189" s="137">
        <v>22109053</v>
      </c>
      <c r="C189" s="161" t="s">
        <v>1555</v>
      </c>
      <c r="D189" s="159">
        <v>44763</v>
      </c>
      <c r="E189" s="137"/>
      <c r="F189" s="137">
        <v>6.4</v>
      </c>
      <c r="G189" s="137"/>
      <c r="H189" s="137"/>
      <c r="I189" s="137">
        <v>26</v>
      </c>
      <c r="J189" s="137">
        <v>6</v>
      </c>
      <c r="K189" s="137">
        <v>1</v>
      </c>
      <c r="L189" s="137">
        <v>1</v>
      </c>
      <c r="M189" s="137">
        <v>0</v>
      </c>
      <c r="N189" s="137">
        <v>8</v>
      </c>
      <c r="O189" s="137">
        <v>9</v>
      </c>
      <c r="P189" s="137">
        <v>1060</v>
      </c>
      <c r="Q189" s="137">
        <v>34.5</v>
      </c>
      <c r="R189" s="137">
        <v>23.5</v>
      </c>
      <c r="S189" s="137">
        <v>23</v>
      </c>
      <c r="T189" s="159">
        <v>32991</v>
      </c>
      <c r="U189" s="137">
        <v>31.44</v>
      </c>
      <c r="V189" s="137">
        <v>0</v>
      </c>
      <c r="W189" s="137">
        <v>1</v>
      </c>
      <c r="X189" s="137">
        <v>0</v>
      </c>
      <c r="Y189" s="137">
        <v>1</v>
      </c>
      <c r="Z189" s="137">
        <v>0</v>
      </c>
      <c r="AA189" s="137">
        <v>0</v>
      </c>
      <c r="AB189" s="137">
        <v>0</v>
      </c>
      <c r="AC189" s="137">
        <v>1</v>
      </c>
      <c r="AD189" s="137">
        <v>0</v>
      </c>
      <c r="AE189" s="137">
        <v>0</v>
      </c>
      <c r="AF189" s="137">
        <v>0</v>
      </c>
      <c r="AG189" s="137">
        <v>0</v>
      </c>
      <c r="AH189" s="137">
        <v>0</v>
      </c>
      <c r="AI189" s="137">
        <v>0</v>
      </c>
      <c r="AJ189" s="137">
        <v>0</v>
      </c>
      <c r="AK189" s="137">
        <v>0</v>
      </c>
      <c r="AL189" s="137">
        <v>0</v>
      </c>
      <c r="AM189" s="137">
        <v>0</v>
      </c>
      <c r="AN189" s="137">
        <v>0</v>
      </c>
      <c r="AO189" s="137">
        <v>0</v>
      </c>
      <c r="AP189" s="137">
        <v>0</v>
      </c>
      <c r="AQ189" s="137">
        <v>0</v>
      </c>
      <c r="AR189" s="137">
        <v>1</v>
      </c>
      <c r="AS189" s="137">
        <v>1</v>
      </c>
      <c r="AT189" s="137">
        <v>0</v>
      </c>
      <c r="AU189" s="137">
        <v>0</v>
      </c>
      <c r="AV189" s="137">
        <v>0</v>
      </c>
      <c r="AW189" s="137">
        <v>0</v>
      </c>
      <c r="AX189" s="137" t="s">
        <v>1556</v>
      </c>
      <c r="AY189" s="137">
        <v>0</v>
      </c>
      <c r="AZ189" s="137">
        <v>0</v>
      </c>
      <c r="BA189" s="137">
        <v>0</v>
      </c>
      <c r="BB189" s="137">
        <v>0</v>
      </c>
      <c r="BC189" s="137">
        <v>0</v>
      </c>
      <c r="BD189" s="137">
        <v>0</v>
      </c>
      <c r="BE189" s="137">
        <v>0</v>
      </c>
      <c r="BF189" s="137">
        <v>0</v>
      </c>
      <c r="BG189" s="137">
        <v>0</v>
      </c>
      <c r="BH189" s="137">
        <v>0</v>
      </c>
      <c r="BI189" s="137">
        <v>0</v>
      </c>
      <c r="BJ189" s="137">
        <v>0</v>
      </c>
      <c r="BK189" s="137">
        <v>1</v>
      </c>
      <c r="BL189" s="137">
        <v>0</v>
      </c>
      <c r="BM189" s="137">
        <v>1</v>
      </c>
      <c r="BN189" s="137">
        <v>0</v>
      </c>
      <c r="BO189" s="137">
        <v>0</v>
      </c>
      <c r="BP189" s="137">
        <v>0</v>
      </c>
      <c r="BQ189" s="137">
        <v>0</v>
      </c>
      <c r="BR189" s="137">
        <v>0</v>
      </c>
      <c r="BS189" s="137">
        <v>0</v>
      </c>
      <c r="BT189" s="137">
        <v>0</v>
      </c>
      <c r="BU189" s="137">
        <v>0</v>
      </c>
      <c r="BV189" s="137">
        <v>0</v>
      </c>
      <c r="BW189" s="137">
        <v>0</v>
      </c>
      <c r="BX189" s="137">
        <v>0</v>
      </c>
      <c r="BY189" s="137">
        <v>0</v>
      </c>
      <c r="BZ189" s="137">
        <v>1</v>
      </c>
      <c r="CA189" s="137" t="s">
        <v>1557</v>
      </c>
      <c r="CB189" s="137">
        <v>0</v>
      </c>
      <c r="CC189" s="137" t="s">
        <v>947</v>
      </c>
      <c r="CD189" s="137">
        <v>1</v>
      </c>
      <c r="CE189" s="137" t="s">
        <v>946</v>
      </c>
      <c r="CF189" s="161" t="s">
        <v>1558</v>
      </c>
      <c r="CG189" s="137">
        <v>1</v>
      </c>
      <c r="CH189" s="161" t="s">
        <v>1559</v>
      </c>
      <c r="CI189" s="137">
        <v>1</v>
      </c>
      <c r="CJ189" s="161" t="s">
        <v>1273</v>
      </c>
      <c r="CK189" s="161" t="s">
        <v>1146</v>
      </c>
      <c r="CL189" s="137">
        <v>1</v>
      </c>
      <c r="CM189" s="161" t="s">
        <v>1273</v>
      </c>
      <c r="CN189" s="161" t="s">
        <v>1146</v>
      </c>
      <c r="CO189" s="161" t="s">
        <v>1060</v>
      </c>
      <c r="CP189" s="161" t="s">
        <v>1273</v>
      </c>
      <c r="CQ189" s="161" t="s">
        <v>993</v>
      </c>
      <c r="CR189" s="137">
        <v>0</v>
      </c>
      <c r="CS189" s="137" t="s">
        <v>947</v>
      </c>
      <c r="CT189" s="137" t="s">
        <v>947</v>
      </c>
      <c r="CU189" s="137">
        <v>1</v>
      </c>
      <c r="CV189" s="137" t="s">
        <v>1560</v>
      </c>
      <c r="CW189" s="161" t="s">
        <v>1561</v>
      </c>
      <c r="CX189" s="137">
        <v>1</v>
      </c>
      <c r="CY189" s="137" t="s">
        <v>1562</v>
      </c>
      <c r="CZ189" s="137">
        <v>2</v>
      </c>
      <c r="DA189" s="137"/>
      <c r="DB189" s="152"/>
    </row>
    <row r="190" spans="1:106" ht="16">
      <c r="A190" s="1" t="s">
        <v>773</v>
      </c>
      <c r="B190" s="137">
        <v>22108554</v>
      </c>
      <c r="C190" s="161" t="s">
        <v>1563</v>
      </c>
      <c r="D190" s="159">
        <v>44634</v>
      </c>
      <c r="E190" s="137">
        <v>70.2</v>
      </c>
      <c r="F190" s="137">
        <v>8</v>
      </c>
      <c r="G190" s="137">
        <v>16.23</v>
      </c>
      <c r="H190" s="137">
        <v>44.2</v>
      </c>
      <c r="I190" s="137">
        <v>38</v>
      </c>
      <c r="J190" s="137">
        <v>4</v>
      </c>
      <c r="K190" s="137">
        <v>0</v>
      </c>
      <c r="L190" s="137">
        <v>1</v>
      </c>
      <c r="M190" s="137">
        <v>0</v>
      </c>
      <c r="N190" s="137">
        <v>9</v>
      </c>
      <c r="O190" s="137">
        <v>10</v>
      </c>
      <c r="P190" s="137">
        <v>3410</v>
      </c>
      <c r="Q190" s="137">
        <v>51</v>
      </c>
      <c r="R190" s="137">
        <v>34.5</v>
      </c>
      <c r="S190" s="137">
        <v>34</v>
      </c>
      <c r="T190" s="159">
        <v>30171</v>
      </c>
      <c r="U190" s="137">
        <v>39</v>
      </c>
      <c r="V190" s="137">
        <v>2</v>
      </c>
      <c r="W190" s="137">
        <v>0</v>
      </c>
      <c r="X190" s="137">
        <v>0</v>
      </c>
      <c r="Y190" s="137">
        <v>2</v>
      </c>
      <c r="Z190" s="137">
        <v>0</v>
      </c>
      <c r="AA190" s="137">
        <v>0</v>
      </c>
      <c r="AB190" s="137">
        <v>0</v>
      </c>
      <c r="AC190" s="137">
        <v>0</v>
      </c>
      <c r="AD190" s="137">
        <v>0</v>
      </c>
      <c r="AE190" s="137">
        <v>0</v>
      </c>
      <c r="AF190" s="137">
        <v>0</v>
      </c>
      <c r="AG190" s="137">
        <v>0</v>
      </c>
      <c r="AH190" s="137">
        <v>0</v>
      </c>
      <c r="AI190" s="137">
        <v>0</v>
      </c>
      <c r="AJ190" s="137">
        <v>0</v>
      </c>
      <c r="AK190" s="137">
        <v>0</v>
      </c>
      <c r="AL190" s="137">
        <v>0</v>
      </c>
      <c r="AM190" s="137">
        <v>0</v>
      </c>
      <c r="AN190" s="137">
        <v>0</v>
      </c>
      <c r="AO190" s="137">
        <v>0</v>
      </c>
      <c r="AP190" s="137">
        <v>0</v>
      </c>
      <c r="AQ190" s="137">
        <v>0</v>
      </c>
      <c r="AR190" s="137">
        <v>1</v>
      </c>
      <c r="AS190" s="137">
        <v>0</v>
      </c>
      <c r="AT190" s="137">
        <v>0</v>
      </c>
      <c r="AU190" s="137">
        <v>0</v>
      </c>
      <c r="AV190" s="137">
        <v>0</v>
      </c>
      <c r="AW190" s="137">
        <v>0</v>
      </c>
      <c r="AX190" s="137">
        <v>0</v>
      </c>
      <c r="AY190" s="137">
        <v>0</v>
      </c>
      <c r="AZ190" s="137">
        <v>0</v>
      </c>
      <c r="BA190" s="137">
        <v>0</v>
      </c>
      <c r="BB190" s="137">
        <v>0</v>
      </c>
      <c r="BC190" s="137">
        <v>0</v>
      </c>
      <c r="BD190" s="137">
        <v>0</v>
      </c>
      <c r="BE190" s="137">
        <v>0</v>
      </c>
      <c r="BF190" s="137">
        <v>0</v>
      </c>
      <c r="BG190" s="137">
        <v>0</v>
      </c>
      <c r="BH190" s="137">
        <v>0</v>
      </c>
      <c r="BI190" s="137">
        <v>0</v>
      </c>
      <c r="BJ190" s="137">
        <v>0</v>
      </c>
      <c r="BK190" s="137">
        <v>0</v>
      </c>
      <c r="BL190" s="137">
        <v>0</v>
      </c>
      <c r="BM190" s="137">
        <v>0</v>
      </c>
      <c r="BN190" s="137">
        <v>0</v>
      </c>
      <c r="BO190" s="137">
        <v>0</v>
      </c>
      <c r="BP190" s="137">
        <v>0</v>
      </c>
      <c r="BQ190" s="137">
        <v>0</v>
      </c>
      <c r="BR190" s="137">
        <v>0</v>
      </c>
      <c r="BS190" s="137">
        <v>0</v>
      </c>
      <c r="BT190" s="137">
        <v>0</v>
      </c>
      <c r="BU190" s="137">
        <v>0</v>
      </c>
      <c r="BV190" s="137">
        <v>0</v>
      </c>
      <c r="BW190" s="137">
        <v>0</v>
      </c>
      <c r="BX190" s="137">
        <v>0</v>
      </c>
      <c r="BY190" s="137">
        <v>0</v>
      </c>
      <c r="BZ190" s="137">
        <v>1</v>
      </c>
      <c r="CA190" s="137" t="s">
        <v>1000</v>
      </c>
      <c r="CB190" s="137">
        <v>0</v>
      </c>
      <c r="CC190" s="137" t="s">
        <v>947</v>
      </c>
      <c r="CD190" s="137">
        <v>1</v>
      </c>
      <c r="CE190" s="137" t="s">
        <v>1011</v>
      </c>
      <c r="CF190" s="161" t="s">
        <v>1564</v>
      </c>
      <c r="CG190" s="137">
        <v>0</v>
      </c>
      <c r="CH190" s="137" t="s">
        <v>947</v>
      </c>
      <c r="CI190" s="137">
        <v>1</v>
      </c>
      <c r="CJ190" s="137" t="s">
        <v>1053</v>
      </c>
      <c r="CK190" s="161" t="s">
        <v>982</v>
      </c>
      <c r="CL190" s="137">
        <v>1</v>
      </c>
      <c r="CM190" s="137" t="s">
        <v>1053</v>
      </c>
      <c r="CN190" s="161" t="s">
        <v>982</v>
      </c>
      <c r="CO190" s="137">
        <v>0</v>
      </c>
      <c r="CP190" s="137" t="s">
        <v>947</v>
      </c>
      <c r="CQ190" s="137" t="s">
        <v>947</v>
      </c>
      <c r="CR190" s="137">
        <v>0</v>
      </c>
      <c r="CS190" s="137" t="s">
        <v>947</v>
      </c>
      <c r="CT190" s="137" t="s">
        <v>947</v>
      </c>
      <c r="CU190" s="137">
        <v>1</v>
      </c>
      <c r="CV190" s="137" t="s">
        <v>1565</v>
      </c>
      <c r="CW190" s="161" t="s">
        <v>1098</v>
      </c>
      <c r="CX190" s="137">
        <v>1</v>
      </c>
      <c r="CY190" s="137" t="s">
        <v>965</v>
      </c>
      <c r="CZ190" s="137">
        <v>2</v>
      </c>
      <c r="DA190" s="137"/>
      <c r="DB190" s="152"/>
    </row>
    <row r="191" spans="1:106" ht="16">
      <c r="A191" s="1" t="s">
        <v>776</v>
      </c>
      <c r="B191" s="137">
        <v>22108696</v>
      </c>
      <c r="C191" s="161" t="s">
        <v>1566</v>
      </c>
      <c r="D191" s="159">
        <v>44636</v>
      </c>
      <c r="E191" s="137">
        <v>67.900000000000006</v>
      </c>
      <c r="F191" s="137">
        <v>8.5</v>
      </c>
      <c r="G191" s="137">
        <v>18.440000000000001</v>
      </c>
      <c r="H191" s="137">
        <v>42.7</v>
      </c>
      <c r="I191" s="137">
        <v>37</v>
      </c>
      <c r="J191" s="137">
        <v>6</v>
      </c>
      <c r="K191" s="137">
        <v>0</v>
      </c>
      <c r="L191" s="137">
        <v>2</v>
      </c>
      <c r="M191" s="137">
        <v>0</v>
      </c>
      <c r="N191" s="137">
        <v>9</v>
      </c>
      <c r="O191" s="137">
        <v>10</v>
      </c>
      <c r="P191" s="137">
        <v>3300</v>
      </c>
      <c r="Q191" s="137">
        <v>53</v>
      </c>
      <c r="R191" s="137">
        <v>35</v>
      </c>
      <c r="S191" s="137">
        <v>34</v>
      </c>
      <c r="T191" s="159">
        <v>31976</v>
      </c>
      <c r="U191" s="137">
        <v>34.1</v>
      </c>
      <c r="V191" s="137">
        <v>1</v>
      </c>
      <c r="W191" s="137">
        <v>0</v>
      </c>
      <c r="X191" s="137">
        <v>0</v>
      </c>
      <c r="Y191" s="137">
        <v>1</v>
      </c>
      <c r="Z191" s="137">
        <v>0</v>
      </c>
      <c r="AA191" s="137">
        <v>0</v>
      </c>
      <c r="AB191" s="137">
        <v>0</v>
      </c>
      <c r="AC191" s="137">
        <v>0</v>
      </c>
      <c r="AD191" s="137">
        <v>0</v>
      </c>
      <c r="AE191" s="137">
        <v>0</v>
      </c>
      <c r="AF191" s="137">
        <v>0</v>
      </c>
      <c r="AG191" s="137">
        <v>0</v>
      </c>
      <c r="AH191" s="137">
        <v>0</v>
      </c>
      <c r="AI191" s="137">
        <v>0</v>
      </c>
      <c r="AJ191" s="137">
        <v>0</v>
      </c>
      <c r="AK191" s="137">
        <v>0</v>
      </c>
      <c r="AL191" s="137">
        <v>0</v>
      </c>
      <c r="AM191" s="137">
        <v>0</v>
      </c>
      <c r="AN191" s="137">
        <v>0</v>
      </c>
      <c r="AO191" s="137">
        <v>0</v>
      </c>
      <c r="AP191" s="137">
        <v>0</v>
      </c>
      <c r="AQ191" s="137">
        <v>0</v>
      </c>
      <c r="AR191" s="137">
        <v>1</v>
      </c>
      <c r="AS191" s="137">
        <v>0</v>
      </c>
      <c r="AT191" s="137">
        <v>0</v>
      </c>
      <c r="AU191" s="137">
        <v>0</v>
      </c>
      <c r="AV191" s="137">
        <v>0</v>
      </c>
      <c r="AW191" s="137">
        <v>0</v>
      </c>
      <c r="AX191" s="137">
        <v>0</v>
      </c>
      <c r="AY191" s="137">
        <v>0</v>
      </c>
      <c r="AZ191" s="137">
        <v>0</v>
      </c>
      <c r="BA191" s="137">
        <v>0</v>
      </c>
      <c r="BB191" s="137">
        <v>0</v>
      </c>
      <c r="BC191" s="137">
        <v>0</v>
      </c>
      <c r="BD191" s="137">
        <v>0</v>
      </c>
      <c r="BE191" s="137">
        <v>0</v>
      </c>
      <c r="BF191" s="137">
        <v>0</v>
      </c>
      <c r="BG191" s="137">
        <v>0</v>
      </c>
      <c r="BH191" s="137">
        <v>0</v>
      </c>
      <c r="BI191" s="137">
        <v>0</v>
      </c>
      <c r="BJ191" s="137">
        <v>0</v>
      </c>
      <c r="BK191" s="137">
        <v>0</v>
      </c>
      <c r="BL191" s="137">
        <v>0</v>
      </c>
      <c r="BM191" s="137">
        <v>0</v>
      </c>
      <c r="BN191" s="137">
        <v>0</v>
      </c>
      <c r="BO191" s="137">
        <v>0</v>
      </c>
      <c r="BP191" s="137">
        <v>0</v>
      </c>
      <c r="BQ191" s="137">
        <v>0</v>
      </c>
      <c r="BR191" s="137">
        <v>0</v>
      </c>
      <c r="BS191" s="137">
        <v>0</v>
      </c>
      <c r="BT191" s="137">
        <v>0</v>
      </c>
      <c r="BU191" s="137">
        <v>0</v>
      </c>
      <c r="BV191" s="137">
        <v>0</v>
      </c>
      <c r="BW191" s="137">
        <v>0</v>
      </c>
      <c r="BX191" s="137">
        <v>0</v>
      </c>
      <c r="BY191" s="137">
        <v>0</v>
      </c>
      <c r="BZ191" s="137">
        <v>1</v>
      </c>
      <c r="CA191" s="137" t="s">
        <v>946</v>
      </c>
      <c r="CB191" s="137">
        <v>0</v>
      </c>
      <c r="CC191" s="137" t="s">
        <v>947</v>
      </c>
      <c r="CD191" s="137">
        <v>1</v>
      </c>
      <c r="CE191" s="137" t="s">
        <v>946</v>
      </c>
      <c r="CF191" s="161" t="s">
        <v>1567</v>
      </c>
      <c r="CG191" s="137">
        <v>0</v>
      </c>
      <c r="CH191" s="137" t="s">
        <v>947</v>
      </c>
      <c r="CI191" s="137">
        <v>0</v>
      </c>
      <c r="CJ191" s="137" t="s">
        <v>947</v>
      </c>
      <c r="CK191" s="137" t="s">
        <v>947</v>
      </c>
      <c r="CL191" s="137">
        <v>1</v>
      </c>
      <c r="CM191" s="137" t="s">
        <v>1568</v>
      </c>
      <c r="CN191" s="161" t="s">
        <v>982</v>
      </c>
      <c r="CO191" s="137">
        <v>0</v>
      </c>
      <c r="CP191" s="137" t="s">
        <v>947</v>
      </c>
      <c r="CQ191" s="137" t="s">
        <v>947</v>
      </c>
      <c r="CR191" s="137">
        <v>0</v>
      </c>
      <c r="CS191" s="137" t="s">
        <v>947</v>
      </c>
      <c r="CT191" s="137" t="s">
        <v>947</v>
      </c>
      <c r="CU191" s="137">
        <v>0</v>
      </c>
      <c r="CV191" s="137" t="s">
        <v>947</v>
      </c>
      <c r="CW191" s="137" t="s">
        <v>947</v>
      </c>
      <c r="CX191" s="137">
        <v>1</v>
      </c>
      <c r="CY191" s="159">
        <v>44570</v>
      </c>
      <c r="CZ191" s="137">
        <v>2</v>
      </c>
      <c r="DA191" s="137"/>
      <c r="DB191" s="152"/>
    </row>
    <row r="192" spans="1:106" s="110" customFormat="1" ht="16">
      <c r="A192" s="107" t="s">
        <v>780</v>
      </c>
      <c r="B192" s="153">
        <v>22109754</v>
      </c>
      <c r="C192" s="157" t="s">
        <v>1569</v>
      </c>
      <c r="D192" s="155">
        <v>44747</v>
      </c>
      <c r="E192" s="153">
        <v>66</v>
      </c>
      <c r="F192" s="153">
        <v>7.7</v>
      </c>
      <c r="G192" s="153">
        <v>17.68</v>
      </c>
      <c r="H192" s="153">
        <v>42.6</v>
      </c>
      <c r="I192" s="153">
        <v>38</v>
      </c>
      <c r="J192" s="153">
        <v>2</v>
      </c>
      <c r="K192" s="153">
        <v>0</v>
      </c>
      <c r="L192" s="153">
        <v>1</v>
      </c>
      <c r="M192" s="153">
        <v>0</v>
      </c>
      <c r="N192" s="153">
        <v>9</v>
      </c>
      <c r="O192" s="153">
        <v>10</v>
      </c>
      <c r="P192" s="153">
        <v>2750</v>
      </c>
      <c r="Q192" s="153">
        <v>50</v>
      </c>
      <c r="R192" s="153">
        <v>34.5</v>
      </c>
      <c r="S192" s="153">
        <v>30</v>
      </c>
      <c r="T192" s="155">
        <v>31958</v>
      </c>
      <c r="U192" s="153">
        <v>34.479999999999997</v>
      </c>
      <c r="V192" s="153">
        <v>2</v>
      </c>
      <c r="W192" s="153">
        <v>0</v>
      </c>
      <c r="X192" s="153">
        <v>2</v>
      </c>
      <c r="Y192" s="153">
        <v>2</v>
      </c>
      <c r="Z192" s="153">
        <v>0</v>
      </c>
      <c r="AA192" s="153">
        <v>0</v>
      </c>
      <c r="AB192" s="153">
        <v>0</v>
      </c>
      <c r="AC192" s="153">
        <v>0</v>
      </c>
      <c r="AD192" s="153">
        <v>0</v>
      </c>
      <c r="AE192" s="153">
        <v>0</v>
      </c>
      <c r="AF192" s="153">
        <v>0</v>
      </c>
      <c r="AG192" s="153">
        <v>0</v>
      </c>
      <c r="AH192" s="153">
        <v>0</v>
      </c>
      <c r="AI192" s="153">
        <v>0</v>
      </c>
      <c r="AJ192" s="153">
        <v>0</v>
      </c>
      <c r="AK192" s="153">
        <v>0</v>
      </c>
      <c r="AL192" s="153">
        <v>0</v>
      </c>
      <c r="AM192" s="153">
        <v>0</v>
      </c>
      <c r="AN192" s="153">
        <v>0</v>
      </c>
      <c r="AO192" s="153">
        <v>0</v>
      </c>
      <c r="AP192" s="153">
        <v>0</v>
      </c>
      <c r="AQ192" s="153">
        <v>0</v>
      </c>
      <c r="AR192" s="153">
        <v>1</v>
      </c>
      <c r="AS192" s="153">
        <v>0</v>
      </c>
      <c r="AT192" s="153">
        <v>0</v>
      </c>
      <c r="AU192" s="153">
        <v>0</v>
      </c>
      <c r="AV192" s="153">
        <v>0</v>
      </c>
      <c r="AW192" s="153">
        <v>0</v>
      </c>
      <c r="AX192" s="153">
        <v>0</v>
      </c>
      <c r="AY192" s="153">
        <v>0</v>
      </c>
      <c r="AZ192" s="153">
        <v>0</v>
      </c>
      <c r="BA192" s="153">
        <v>0</v>
      </c>
      <c r="BB192" s="153">
        <v>0</v>
      </c>
      <c r="BC192" s="153">
        <v>0</v>
      </c>
      <c r="BD192" s="153">
        <v>0</v>
      </c>
      <c r="BE192" s="153">
        <v>0</v>
      </c>
      <c r="BF192" s="153">
        <v>0</v>
      </c>
      <c r="BG192" s="153">
        <v>0</v>
      </c>
      <c r="BH192" s="153">
        <v>0</v>
      </c>
      <c r="BI192" s="153">
        <v>0</v>
      </c>
      <c r="BJ192" s="153">
        <v>0</v>
      </c>
      <c r="BK192" s="153">
        <v>0</v>
      </c>
      <c r="BL192" s="153">
        <v>0</v>
      </c>
      <c r="BM192" s="153">
        <v>0</v>
      </c>
      <c r="BN192" s="153">
        <v>0</v>
      </c>
      <c r="BO192" s="153">
        <v>0</v>
      </c>
      <c r="BP192" s="153">
        <v>0</v>
      </c>
      <c r="BQ192" s="153">
        <v>0</v>
      </c>
      <c r="BR192" s="153">
        <v>0</v>
      </c>
      <c r="BS192" s="153">
        <v>0</v>
      </c>
      <c r="BT192" s="153">
        <v>0</v>
      </c>
      <c r="BU192" s="153">
        <v>0</v>
      </c>
      <c r="BV192" s="153">
        <v>0</v>
      </c>
      <c r="BW192" s="153">
        <v>0</v>
      </c>
      <c r="BX192" s="153">
        <v>0</v>
      </c>
      <c r="BY192" s="153">
        <v>0</v>
      </c>
      <c r="BZ192" s="153">
        <v>0</v>
      </c>
      <c r="CA192" s="153" t="s">
        <v>986</v>
      </c>
      <c r="CB192" s="153">
        <v>0</v>
      </c>
      <c r="CC192" s="153" t="s">
        <v>947</v>
      </c>
      <c r="CD192" s="153">
        <v>1</v>
      </c>
      <c r="CE192" s="153" t="s">
        <v>946</v>
      </c>
      <c r="CF192" s="157" t="s">
        <v>1312</v>
      </c>
      <c r="CG192" s="153">
        <v>0</v>
      </c>
      <c r="CH192" s="153" t="s">
        <v>947</v>
      </c>
      <c r="CI192" s="153">
        <v>1</v>
      </c>
      <c r="CJ192" s="153" t="s">
        <v>946</v>
      </c>
      <c r="CK192" s="157" t="s">
        <v>1146</v>
      </c>
      <c r="CL192" s="153">
        <v>1</v>
      </c>
      <c r="CM192" s="153" t="s">
        <v>946</v>
      </c>
      <c r="CN192" s="157" t="s">
        <v>1025</v>
      </c>
      <c r="CO192" s="153">
        <v>0</v>
      </c>
      <c r="CP192" s="153" t="s">
        <v>947</v>
      </c>
      <c r="CQ192" s="153" t="s">
        <v>947</v>
      </c>
      <c r="CR192" s="153">
        <v>0</v>
      </c>
      <c r="CS192" s="153" t="s">
        <v>947</v>
      </c>
      <c r="CT192" s="153" t="s">
        <v>947</v>
      </c>
      <c r="CU192" s="153">
        <v>0</v>
      </c>
      <c r="CV192" s="153" t="s">
        <v>947</v>
      </c>
      <c r="CW192" s="153" t="s">
        <v>947</v>
      </c>
      <c r="CX192" s="153">
        <v>1</v>
      </c>
      <c r="CY192" s="153" t="s">
        <v>965</v>
      </c>
      <c r="CZ192" s="153">
        <v>2</v>
      </c>
      <c r="DA192" s="153"/>
      <c r="DB192" s="158"/>
    </row>
    <row r="193" spans="1:142" ht="16">
      <c r="A193" s="1" t="s">
        <v>848</v>
      </c>
      <c r="B193" s="137">
        <v>22109131</v>
      </c>
      <c r="C193" s="161" t="s">
        <v>1570</v>
      </c>
      <c r="D193" s="159">
        <v>44683</v>
      </c>
      <c r="E193" s="137">
        <v>68.3</v>
      </c>
      <c r="F193" s="137">
        <v>8.4</v>
      </c>
      <c r="G193" s="137">
        <v>18.010000000000002</v>
      </c>
      <c r="H193" s="137">
        <v>42.5</v>
      </c>
      <c r="I193" s="137">
        <v>38</v>
      </c>
      <c r="J193" s="137">
        <v>6</v>
      </c>
      <c r="K193" s="137">
        <v>0</v>
      </c>
      <c r="L193" s="137">
        <v>1</v>
      </c>
      <c r="M193" s="137">
        <v>0</v>
      </c>
      <c r="N193" s="137">
        <v>8</v>
      </c>
      <c r="O193" s="137">
        <v>10</v>
      </c>
      <c r="P193" s="137">
        <v>3450</v>
      </c>
      <c r="Q193" s="137">
        <v>53</v>
      </c>
      <c r="R193" s="137">
        <v>35</v>
      </c>
      <c r="S193" s="137">
        <v>34</v>
      </c>
      <c r="T193" s="159">
        <v>33477</v>
      </c>
      <c r="U193" s="137">
        <v>30.13</v>
      </c>
      <c r="V193" s="137">
        <v>1</v>
      </c>
      <c r="W193" s="137">
        <v>0</v>
      </c>
      <c r="X193" s="137">
        <v>0</v>
      </c>
      <c r="Y193" s="137">
        <v>1</v>
      </c>
      <c r="Z193" s="137">
        <v>0</v>
      </c>
      <c r="AA193" s="137">
        <v>0</v>
      </c>
      <c r="AB193" s="137">
        <v>0</v>
      </c>
      <c r="AC193" s="137">
        <v>0</v>
      </c>
      <c r="AD193" s="137">
        <v>0</v>
      </c>
      <c r="AE193" s="137">
        <v>0</v>
      </c>
      <c r="AF193" s="137">
        <v>0</v>
      </c>
      <c r="AG193" s="137">
        <v>0</v>
      </c>
      <c r="AH193" s="137">
        <v>0</v>
      </c>
      <c r="AI193" s="137">
        <v>0</v>
      </c>
      <c r="AJ193" s="137">
        <v>0</v>
      </c>
      <c r="AK193" s="137">
        <v>0</v>
      </c>
      <c r="AL193" s="137">
        <v>0</v>
      </c>
      <c r="AM193" s="137">
        <v>0</v>
      </c>
      <c r="AN193" s="137">
        <v>0</v>
      </c>
      <c r="AO193" s="137">
        <v>0</v>
      </c>
      <c r="AP193" s="137">
        <v>0</v>
      </c>
      <c r="AQ193" s="137">
        <v>0</v>
      </c>
      <c r="AR193" s="137">
        <v>1</v>
      </c>
      <c r="AS193" s="137">
        <v>0</v>
      </c>
      <c r="AT193" s="137">
        <v>0</v>
      </c>
      <c r="AU193" s="137">
        <v>0</v>
      </c>
      <c r="AV193" s="137">
        <v>0</v>
      </c>
      <c r="AW193" s="137">
        <v>0</v>
      </c>
      <c r="AX193" s="137">
        <v>0</v>
      </c>
      <c r="AY193" s="137">
        <v>0</v>
      </c>
      <c r="AZ193" s="137">
        <v>0</v>
      </c>
      <c r="BA193" s="137">
        <v>0</v>
      </c>
      <c r="BB193" s="137">
        <v>0</v>
      </c>
      <c r="BC193" s="137">
        <v>0</v>
      </c>
      <c r="BD193" s="137">
        <v>0</v>
      </c>
      <c r="BE193" s="137">
        <v>0</v>
      </c>
      <c r="BF193" s="137">
        <v>0</v>
      </c>
      <c r="BG193" s="137">
        <v>0</v>
      </c>
      <c r="BH193" s="137">
        <v>0</v>
      </c>
      <c r="BI193" s="137">
        <v>0</v>
      </c>
      <c r="BJ193" s="137">
        <v>0</v>
      </c>
      <c r="BK193" s="137">
        <v>0</v>
      </c>
      <c r="BL193" s="137">
        <v>0</v>
      </c>
      <c r="BM193" s="137">
        <v>0</v>
      </c>
      <c r="BN193" s="137">
        <v>0</v>
      </c>
      <c r="BO193" s="137">
        <v>0</v>
      </c>
      <c r="BP193" s="137">
        <v>0</v>
      </c>
      <c r="BQ193" s="137">
        <v>0</v>
      </c>
      <c r="BR193" s="137">
        <v>0</v>
      </c>
      <c r="BS193" s="137">
        <v>0</v>
      </c>
      <c r="BT193" s="137">
        <v>0</v>
      </c>
      <c r="BU193" s="137">
        <v>0</v>
      </c>
      <c r="BV193" s="137">
        <v>0</v>
      </c>
      <c r="BW193" s="137">
        <v>0</v>
      </c>
      <c r="BX193" s="137">
        <v>0</v>
      </c>
      <c r="BY193" s="137">
        <v>0</v>
      </c>
      <c r="BZ193" s="137">
        <v>1</v>
      </c>
      <c r="CA193" s="137" t="s">
        <v>946</v>
      </c>
      <c r="CB193" s="137">
        <v>0</v>
      </c>
      <c r="CC193" s="137" t="s">
        <v>947</v>
      </c>
      <c r="CD193" s="137">
        <v>0</v>
      </c>
      <c r="CE193" s="137" t="s">
        <v>947</v>
      </c>
      <c r="CF193" s="137" t="s">
        <v>947</v>
      </c>
      <c r="CG193" s="137">
        <v>0</v>
      </c>
      <c r="CH193" s="137" t="s">
        <v>947</v>
      </c>
      <c r="CI193" s="137">
        <v>1</v>
      </c>
      <c r="CJ193" s="137" t="s">
        <v>1571</v>
      </c>
      <c r="CK193" s="137" t="s">
        <v>1572</v>
      </c>
      <c r="CL193" s="137">
        <v>0</v>
      </c>
      <c r="CM193" s="137" t="s">
        <v>947</v>
      </c>
      <c r="CN193" s="137" t="s">
        <v>947</v>
      </c>
      <c r="CO193" s="137">
        <v>0</v>
      </c>
      <c r="CP193" s="137" t="s">
        <v>947</v>
      </c>
      <c r="CQ193" s="137" t="s">
        <v>947</v>
      </c>
      <c r="CR193" s="137">
        <v>0</v>
      </c>
      <c r="CS193" s="137" t="s">
        <v>947</v>
      </c>
      <c r="CT193" s="137" t="s">
        <v>947</v>
      </c>
      <c r="CU193" s="137">
        <v>0</v>
      </c>
      <c r="CV193" s="137" t="s">
        <v>947</v>
      </c>
      <c r="CW193" s="137" t="s">
        <v>947</v>
      </c>
      <c r="CX193" s="137">
        <v>1</v>
      </c>
      <c r="CY193" s="137" t="s">
        <v>965</v>
      </c>
      <c r="CZ193" s="137">
        <v>2</v>
      </c>
      <c r="DA193" s="137"/>
      <c r="DB193" s="152"/>
    </row>
    <row r="194" spans="1:142" ht="16">
      <c r="A194" s="1" t="s">
        <v>788</v>
      </c>
      <c r="B194" s="137">
        <v>22108366</v>
      </c>
      <c r="C194" s="161" t="s">
        <v>1573</v>
      </c>
      <c r="D194" s="159">
        <v>44647</v>
      </c>
      <c r="E194" s="137">
        <v>63.7</v>
      </c>
      <c r="F194" s="137">
        <v>6.5</v>
      </c>
      <c r="G194" s="137">
        <v>16.02</v>
      </c>
      <c r="H194" s="137">
        <v>42.2</v>
      </c>
      <c r="I194" s="137">
        <v>30</v>
      </c>
      <c r="J194" s="137">
        <v>4</v>
      </c>
      <c r="K194" s="137">
        <v>1</v>
      </c>
      <c r="L194" s="137">
        <v>2</v>
      </c>
      <c r="M194" s="137">
        <v>0</v>
      </c>
      <c r="N194" s="137">
        <v>7</v>
      </c>
      <c r="O194" s="137">
        <v>8</v>
      </c>
      <c r="P194" s="137">
        <v>1600</v>
      </c>
      <c r="Q194" s="137">
        <v>40</v>
      </c>
      <c r="R194" s="137">
        <v>29.5</v>
      </c>
      <c r="S194" s="137">
        <v>27.5</v>
      </c>
      <c r="T194" s="159">
        <v>29924</v>
      </c>
      <c r="U194" s="137">
        <v>39.630000000000003</v>
      </c>
      <c r="V194" s="137">
        <v>0</v>
      </c>
      <c r="W194" s="137">
        <v>1</v>
      </c>
      <c r="X194" s="137">
        <v>0</v>
      </c>
      <c r="Y194" s="137">
        <v>1</v>
      </c>
      <c r="Z194" s="137">
        <v>0</v>
      </c>
      <c r="AA194" s="137">
        <v>0</v>
      </c>
      <c r="AB194" s="137">
        <v>0</v>
      </c>
      <c r="AC194" s="137">
        <v>0</v>
      </c>
      <c r="AD194" s="137">
        <v>0</v>
      </c>
      <c r="AE194" s="137">
        <v>0</v>
      </c>
      <c r="AF194" s="137">
        <v>0</v>
      </c>
      <c r="AG194" s="137">
        <v>0</v>
      </c>
      <c r="AH194" s="137">
        <v>0</v>
      </c>
      <c r="AI194" s="137">
        <v>0</v>
      </c>
      <c r="AJ194" s="137">
        <v>0</v>
      </c>
      <c r="AK194" s="137">
        <v>0</v>
      </c>
      <c r="AL194" s="137">
        <v>0</v>
      </c>
      <c r="AM194" s="137">
        <v>0</v>
      </c>
      <c r="AN194" s="137">
        <v>0</v>
      </c>
      <c r="AO194" s="137">
        <v>0</v>
      </c>
      <c r="AP194" s="137">
        <v>0</v>
      </c>
      <c r="AQ194" s="137">
        <v>0</v>
      </c>
      <c r="AR194" s="137">
        <v>1</v>
      </c>
      <c r="AS194" s="137">
        <v>0</v>
      </c>
      <c r="AT194" s="137">
        <v>0</v>
      </c>
      <c r="AU194" s="137">
        <v>0</v>
      </c>
      <c r="AV194" s="137">
        <v>0</v>
      </c>
      <c r="AW194" s="137">
        <v>0</v>
      </c>
      <c r="AX194" s="137">
        <v>0</v>
      </c>
      <c r="AY194" s="137">
        <v>0</v>
      </c>
      <c r="AZ194" s="137">
        <v>0</v>
      </c>
      <c r="BA194" s="137">
        <v>0</v>
      </c>
      <c r="BB194" s="137">
        <v>0</v>
      </c>
      <c r="BC194" s="137">
        <v>0</v>
      </c>
      <c r="BD194" s="137">
        <v>0</v>
      </c>
      <c r="BE194" s="137">
        <v>0</v>
      </c>
      <c r="BF194" s="137">
        <v>0</v>
      </c>
      <c r="BG194" s="137">
        <v>0</v>
      </c>
      <c r="BH194" s="137">
        <v>0</v>
      </c>
      <c r="BI194" s="137">
        <v>0</v>
      </c>
      <c r="BJ194" s="137">
        <v>0</v>
      </c>
      <c r="BK194" s="137">
        <v>1</v>
      </c>
      <c r="BL194" s="137">
        <v>0</v>
      </c>
      <c r="BM194" s="137">
        <v>0</v>
      </c>
      <c r="BN194" s="137">
        <v>0</v>
      </c>
      <c r="BO194" s="137">
        <v>0</v>
      </c>
      <c r="BP194" s="137">
        <v>0</v>
      </c>
      <c r="BQ194" s="137">
        <v>1</v>
      </c>
      <c r="BR194" s="137">
        <v>0</v>
      </c>
      <c r="BS194" s="137">
        <v>0</v>
      </c>
      <c r="BT194" s="137">
        <v>0</v>
      </c>
      <c r="BU194" s="137">
        <v>0</v>
      </c>
      <c r="BV194" s="137">
        <v>0</v>
      </c>
      <c r="BW194" s="137">
        <v>0</v>
      </c>
      <c r="BX194" s="137">
        <v>0</v>
      </c>
      <c r="BY194" s="137">
        <v>0</v>
      </c>
      <c r="BZ194" s="137">
        <v>1</v>
      </c>
      <c r="CA194" s="137" t="s">
        <v>1574</v>
      </c>
      <c r="CB194" s="137">
        <v>0</v>
      </c>
      <c r="CC194" s="137" t="s">
        <v>947</v>
      </c>
      <c r="CD194" s="137">
        <v>1</v>
      </c>
      <c r="CE194" s="137" t="s">
        <v>946</v>
      </c>
      <c r="CF194" s="161" t="s">
        <v>1575</v>
      </c>
      <c r="CG194" s="137">
        <v>1</v>
      </c>
      <c r="CH194" s="161" t="s">
        <v>1273</v>
      </c>
      <c r="CI194" s="137">
        <v>0</v>
      </c>
      <c r="CJ194" s="137" t="s">
        <v>947</v>
      </c>
      <c r="CK194" s="137" t="s">
        <v>947</v>
      </c>
      <c r="CL194" s="137">
        <v>1</v>
      </c>
      <c r="CM194" s="137" t="s">
        <v>1576</v>
      </c>
      <c r="CN194" s="161" t="s">
        <v>982</v>
      </c>
      <c r="CO194" s="161" t="s">
        <v>1060</v>
      </c>
      <c r="CP194" s="161" t="s">
        <v>1273</v>
      </c>
      <c r="CQ194" s="161" t="s">
        <v>993</v>
      </c>
      <c r="CR194" s="137">
        <v>0</v>
      </c>
      <c r="CS194" s="137" t="s">
        <v>947</v>
      </c>
      <c r="CT194" s="137" t="s">
        <v>947</v>
      </c>
      <c r="CU194" s="137">
        <v>0</v>
      </c>
      <c r="CV194" s="137" t="s">
        <v>947</v>
      </c>
      <c r="CW194" s="137" t="s">
        <v>947</v>
      </c>
      <c r="CX194" s="137">
        <v>1</v>
      </c>
      <c r="CY194" s="137" t="s">
        <v>1577</v>
      </c>
      <c r="CZ194" s="137">
        <v>2</v>
      </c>
      <c r="DA194" s="137"/>
      <c r="DB194" s="152"/>
    </row>
    <row r="195" spans="1:142" ht="16">
      <c r="A195" s="1" t="s">
        <v>792</v>
      </c>
      <c r="B195" s="137">
        <v>22109864</v>
      </c>
      <c r="C195" s="161" t="s">
        <v>1578</v>
      </c>
      <c r="D195" s="159">
        <v>44750</v>
      </c>
      <c r="E195" s="137">
        <v>65.099999999999994</v>
      </c>
      <c r="F195" s="137">
        <v>7.1</v>
      </c>
      <c r="G195" s="137">
        <v>16.75</v>
      </c>
      <c r="H195" s="137">
        <v>40.5</v>
      </c>
      <c r="I195" s="137">
        <v>39</v>
      </c>
      <c r="J195" s="137">
        <v>3</v>
      </c>
      <c r="K195" s="137">
        <v>0</v>
      </c>
      <c r="L195" s="137">
        <v>1</v>
      </c>
      <c r="M195" s="137">
        <v>1</v>
      </c>
      <c r="N195" s="137">
        <v>9</v>
      </c>
      <c r="O195" s="137">
        <v>10</v>
      </c>
      <c r="P195" s="137">
        <v>2500</v>
      </c>
      <c r="Q195" s="137">
        <v>45</v>
      </c>
      <c r="R195" s="137">
        <v>33</v>
      </c>
      <c r="S195" s="137">
        <v>29</v>
      </c>
      <c r="T195" s="159">
        <v>33005</v>
      </c>
      <c r="U195" s="137">
        <v>31.636111110000002</v>
      </c>
      <c r="V195" s="137">
        <v>1</v>
      </c>
      <c r="W195" s="137">
        <v>0</v>
      </c>
      <c r="X195" s="137">
        <v>0</v>
      </c>
      <c r="Y195" s="137">
        <v>1</v>
      </c>
      <c r="Z195" s="137">
        <v>0</v>
      </c>
      <c r="AA195" s="137">
        <v>0</v>
      </c>
      <c r="AB195" s="137">
        <v>0</v>
      </c>
      <c r="AC195" s="137">
        <v>0</v>
      </c>
      <c r="AD195" s="137">
        <v>0</v>
      </c>
      <c r="AE195" s="137">
        <v>0</v>
      </c>
      <c r="AF195" s="137">
        <v>0</v>
      </c>
      <c r="AG195" s="137">
        <v>0</v>
      </c>
      <c r="AH195" s="137">
        <v>0</v>
      </c>
      <c r="AI195" s="137">
        <v>0</v>
      </c>
      <c r="AJ195" s="137">
        <v>0</v>
      </c>
      <c r="AK195" s="137">
        <v>0</v>
      </c>
      <c r="AL195" s="137">
        <v>0</v>
      </c>
      <c r="AM195" s="137">
        <v>0</v>
      </c>
      <c r="AN195" s="137">
        <v>0</v>
      </c>
      <c r="AO195" s="137">
        <v>0</v>
      </c>
      <c r="AP195" s="137">
        <v>0</v>
      </c>
      <c r="AQ195" s="137">
        <v>0</v>
      </c>
      <c r="AR195" s="137" t="s">
        <v>998</v>
      </c>
      <c r="AS195" s="137">
        <v>0</v>
      </c>
      <c r="AT195" s="137">
        <v>0</v>
      </c>
      <c r="AU195" s="137">
        <v>0</v>
      </c>
      <c r="AV195" s="137">
        <v>0</v>
      </c>
      <c r="AW195" s="137">
        <v>0</v>
      </c>
      <c r="AX195" s="137">
        <v>0</v>
      </c>
      <c r="AY195" s="137">
        <v>0</v>
      </c>
      <c r="AZ195" s="137">
        <v>0</v>
      </c>
      <c r="BA195" s="137">
        <v>0</v>
      </c>
      <c r="BB195" s="137">
        <v>0</v>
      </c>
      <c r="BC195" s="137">
        <v>0</v>
      </c>
      <c r="BD195" s="137">
        <v>0</v>
      </c>
      <c r="BE195" s="137">
        <v>0</v>
      </c>
      <c r="BF195" s="137">
        <v>0</v>
      </c>
      <c r="BG195" s="137">
        <v>0</v>
      </c>
      <c r="BH195" s="137">
        <v>0</v>
      </c>
      <c r="BI195" s="137">
        <v>0</v>
      </c>
      <c r="BJ195" s="137">
        <v>0</v>
      </c>
      <c r="BK195" s="137">
        <v>1</v>
      </c>
      <c r="BL195" s="137">
        <v>0</v>
      </c>
      <c r="BM195" s="137">
        <v>0</v>
      </c>
      <c r="BN195" s="137">
        <v>0</v>
      </c>
      <c r="BO195" s="137">
        <v>0</v>
      </c>
      <c r="BP195" s="137">
        <v>0</v>
      </c>
      <c r="BQ195" s="137">
        <v>1</v>
      </c>
      <c r="BR195" s="137">
        <v>0</v>
      </c>
      <c r="BS195" s="137">
        <v>0</v>
      </c>
      <c r="BT195" s="137">
        <v>0</v>
      </c>
      <c r="BU195" s="137">
        <v>0</v>
      </c>
      <c r="BV195" s="137">
        <v>0</v>
      </c>
      <c r="BW195" s="137">
        <v>0</v>
      </c>
      <c r="BX195" s="137">
        <v>0</v>
      </c>
      <c r="BY195" s="137">
        <v>0</v>
      </c>
      <c r="BZ195" s="137">
        <v>1</v>
      </c>
      <c r="CA195" s="137" t="s">
        <v>1579</v>
      </c>
      <c r="CB195" s="137">
        <v>0</v>
      </c>
      <c r="CC195" s="137" t="s">
        <v>947</v>
      </c>
      <c r="CD195" s="137">
        <v>1</v>
      </c>
      <c r="CE195" s="137" t="s">
        <v>946</v>
      </c>
      <c r="CF195" s="137" t="s">
        <v>1204</v>
      </c>
      <c r="CG195" s="137">
        <v>0</v>
      </c>
      <c r="CH195" s="137" t="s">
        <v>947</v>
      </c>
      <c r="CI195" s="137">
        <v>1</v>
      </c>
      <c r="CJ195" s="137" t="s">
        <v>1011</v>
      </c>
      <c r="CK195" s="161" t="s">
        <v>1580</v>
      </c>
      <c r="CL195" s="137">
        <v>1</v>
      </c>
      <c r="CM195" s="137" t="s">
        <v>1581</v>
      </c>
      <c r="CN195" s="161" t="s">
        <v>1582</v>
      </c>
      <c r="CO195" s="137">
        <v>0</v>
      </c>
      <c r="CP195" s="137" t="s">
        <v>947</v>
      </c>
      <c r="CQ195" s="137" t="s">
        <v>947</v>
      </c>
      <c r="CR195" s="137">
        <v>0</v>
      </c>
      <c r="CS195" s="137" t="s">
        <v>947</v>
      </c>
      <c r="CT195" s="137" t="s">
        <v>947</v>
      </c>
      <c r="CU195" s="137">
        <v>0</v>
      </c>
      <c r="CV195" s="137" t="s">
        <v>947</v>
      </c>
      <c r="CW195" s="137" t="s">
        <v>947</v>
      </c>
      <c r="CX195" s="137">
        <v>1</v>
      </c>
      <c r="CY195" s="137" t="s">
        <v>965</v>
      </c>
      <c r="CZ195" s="137">
        <v>2</v>
      </c>
      <c r="DA195" s="137"/>
      <c r="DB195" s="152"/>
    </row>
    <row r="196" spans="1:142" s="110" customFormat="1" ht="16">
      <c r="A196" s="107" t="s">
        <v>796</v>
      </c>
      <c r="B196" s="153">
        <v>22109794</v>
      </c>
      <c r="C196" s="157" t="s">
        <v>1583</v>
      </c>
      <c r="D196" s="155">
        <v>44789</v>
      </c>
      <c r="E196" s="153">
        <v>63.1</v>
      </c>
      <c r="F196" s="153">
        <v>7.3</v>
      </c>
      <c r="G196" s="153">
        <v>18.329999999999998</v>
      </c>
      <c r="H196" s="153">
        <v>40.700000000000003</v>
      </c>
      <c r="I196" s="153">
        <v>31</v>
      </c>
      <c r="J196" s="153">
        <v>2</v>
      </c>
      <c r="K196" s="153">
        <v>1</v>
      </c>
      <c r="L196" s="153">
        <v>2</v>
      </c>
      <c r="M196" s="153">
        <v>0</v>
      </c>
      <c r="N196" s="153">
        <v>8</v>
      </c>
      <c r="O196" s="153">
        <v>9</v>
      </c>
      <c r="P196" s="153">
        <v>1125</v>
      </c>
      <c r="Q196" s="153">
        <v>38</v>
      </c>
      <c r="R196" s="153">
        <v>26</v>
      </c>
      <c r="S196" s="153">
        <v>25</v>
      </c>
      <c r="T196" s="155">
        <v>31477</v>
      </c>
      <c r="U196" s="153">
        <v>35.80277778</v>
      </c>
      <c r="V196" s="153">
        <v>0</v>
      </c>
      <c r="W196" s="153">
        <v>1</v>
      </c>
      <c r="X196" s="153">
        <v>0</v>
      </c>
      <c r="Y196" s="153">
        <v>1</v>
      </c>
      <c r="Z196" s="153">
        <v>1</v>
      </c>
      <c r="AA196" s="153">
        <v>0</v>
      </c>
      <c r="AB196" s="153">
        <v>0</v>
      </c>
      <c r="AC196" s="153">
        <v>0</v>
      </c>
      <c r="AD196" s="153">
        <v>0</v>
      </c>
      <c r="AE196" s="153">
        <v>0</v>
      </c>
      <c r="AF196" s="153">
        <v>1</v>
      </c>
      <c r="AG196" s="153">
        <v>0</v>
      </c>
      <c r="AH196" s="153">
        <v>0</v>
      </c>
      <c r="AI196" s="153">
        <v>0</v>
      </c>
      <c r="AJ196" s="153">
        <v>0</v>
      </c>
      <c r="AK196" s="153">
        <v>0</v>
      </c>
      <c r="AL196" s="153">
        <v>0</v>
      </c>
      <c r="AM196" s="153">
        <v>0</v>
      </c>
      <c r="AN196" s="153">
        <v>0</v>
      </c>
      <c r="AO196" s="153">
        <v>0</v>
      </c>
      <c r="AP196" s="153">
        <v>0</v>
      </c>
      <c r="AQ196" s="153">
        <v>0</v>
      </c>
      <c r="AR196" s="153" t="s">
        <v>998</v>
      </c>
      <c r="AS196" s="153">
        <v>0</v>
      </c>
      <c r="AT196" s="153">
        <v>0</v>
      </c>
      <c r="AU196" s="153">
        <v>0</v>
      </c>
      <c r="AV196" s="153">
        <v>0</v>
      </c>
      <c r="AW196" s="153">
        <v>0</v>
      </c>
      <c r="AX196" s="153">
        <v>0</v>
      </c>
      <c r="AY196" s="153">
        <v>1</v>
      </c>
      <c r="AZ196" s="153">
        <v>0</v>
      </c>
      <c r="BA196" s="153">
        <v>0</v>
      </c>
      <c r="BB196" s="153">
        <v>0</v>
      </c>
      <c r="BC196" s="153">
        <v>0</v>
      </c>
      <c r="BD196" s="153">
        <v>0</v>
      </c>
      <c r="BE196" s="153">
        <v>0</v>
      </c>
      <c r="BF196" s="153">
        <v>0</v>
      </c>
      <c r="BG196" s="153">
        <v>0</v>
      </c>
      <c r="BH196" s="153">
        <v>0</v>
      </c>
      <c r="BI196" s="153">
        <v>0</v>
      </c>
      <c r="BJ196" s="157" t="s">
        <v>1584</v>
      </c>
      <c r="BK196" s="153">
        <v>1</v>
      </c>
      <c r="BL196" s="153">
        <v>0</v>
      </c>
      <c r="BM196" s="153">
        <v>1</v>
      </c>
      <c r="BN196" s="153">
        <v>0</v>
      </c>
      <c r="BO196" s="153">
        <v>1</v>
      </c>
      <c r="BP196" s="153">
        <v>0</v>
      </c>
      <c r="BQ196" s="153">
        <v>0</v>
      </c>
      <c r="BR196" s="153">
        <v>0</v>
      </c>
      <c r="BS196" s="153">
        <v>0</v>
      </c>
      <c r="BT196" s="153">
        <v>0</v>
      </c>
      <c r="BU196" s="153">
        <v>0</v>
      </c>
      <c r="BV196" s="153">
        <v>0</v>
      </c>
      <c r="BW196" s="153">
        <v>0</v>
      </c>
      <c r="BX196" s="153">
        <v>0</v>
      </c>
      <c r="BY196" s="153">
        <v>0</v>
      </c>
      <c r="BZ196" s="153">
        <v>1</v>
      </c>
      <c r="CA196" s="157" t="s">
        <v>1585</v>
      </c>
      <c r="CB196" s="153">
        <v>1</v>
      </c>
      <c r="CC196" s="157" t="s">
        <v>1057</v>
      </c>
      <c r="CD196" s="153">
        <v>1</v>
      </c>
      <c r="CE196" s="157" t="s">
        <v>1268</v>
      </c>
      <c r="CF196" s="157" t="s">
        <v>1586</v>
      </c>
      <c r="CG196" s="153">
        <v>1</v>
      </c>
      <c r="CH196" s="153" t="s">
        <v>946</v>
      </c>
      <c r="CI196" s="153">
        <v>1</v>
      </c>
      <c r="CJ196" s="153" t="s">
        <v>990</v>
      </c>
      <c r="CK196" s="157" t="s">
        <v>1146</v>
      </c>
      <c r="CL196" s="153">
        <v>1</v>
      </c>
      <c r="CM196" s="153" t="s">
        <v>1587</v>
      </c>
      <c r="CN196" s="157" t="s">
        <v>1588</v>
      </c>
      <c r="CO196" s="157" t="s">
        <v>1060</v>
      </c>
      <c r="CP196" s="153" t="s">
        <v>946</v>
      </c>
      <c r="CQ196" s="157" t="s">
        <v>993</v>
      </c>
      <c r="CR196" s="153">
        <v>0</v>
      </c>
      <c r="CS196" s="153" t="s">
        <v>947</v>
      </c>
      <c r="CT196" s="153" t="s">
        <v>947</v>
      </c>
      <c r="CU196" s="153">
        <v>1</v>
      </c>
      <c r="CV196" s="157" t="s">
        <v>1419</v>
      </c>
      <c r="CW196" s="157" t="s">
        <v>1110</v>
      </c>
      <c r="CX196" s="153">
        <v>1</v>
      </c>
      <c r="CY196" s="157" t="s">
        <v>1589</v>
      </c>
      <c r="CZ196" s="153">
        <v>2</v>
      </c>
      <c r="DA196" s="153"/>
      <c r="DB196" s="158"/>
    </row>
    <row r="197" spans="1:142" s="127" customFormat="1" ht="16">
      <c r="A197" s="123" t="s">
        <v>800</v>
      </c>
      <c r="B197" s="165">
        <v>37900814</v>
      </c>
      <c r="C197" s="166" t="s">
        <v>1590</v>
      </c>
      <c r="D197" s="167"/>
      <c r="E197" s="167"/>
      <c r="F197" s="167"/>
      <c r="G197" s="167"/>
      <c r="H197" s="167"/>
      <c r="I197" s="167"/>
      <c r="J197" s="167"/>
      <c r="K197" s="167"/>
      <c r="L197" s="167">
        <v>2</v>
      </c>
      <c r="M197" s="167"/>
      <c r="N197" s="167">
        <v>9</v>
      </c>
      <c r="O197" s="167">
        <v>10</v>
      </c>
      <c r="P197" s="167">
        <v>2335</v>
      </c>
      <c r="Q197" s="167">
        <v>48</v>
      </c>
      <c r="R197" s="167">
        <v>31.5</v>
      </c>
      <c r="S197" s="167">
        <v>26</v>
      </c>
      <c r="T197" s="168">
        <v>32287</v>
      </c>
      <c r="U197" s="167">
        <v>33.44</v>
      </c>
      <c r="V197" s="167"/>
      <c r="W197" s="167"/>
      <c r="X197" s="167"/>
      <c r="Y197" s="167"/>
      <c r="Z197" s="167"/>
      <c r="AA197" s="167"/>
      <c r="AB197" s="167"/>
      <c r="AC197" s="167"/>
      <c r="AD197" s="167"/>
      <c r="AE197" s="167"/>
      <c r="AF197" s="167"/>
      <c r="AG197" s="167"/>
      <c r="AH197" s="167"/>
      <c r="AI197" s="167"/>
      <c r="AJ197" s="167"/>
      <c r="AK197" s="167"/>
      <c r="AL197" s="167"/>
      <c r="AM197" s="167"/>
      <c r="AN197" s="167"/>
      <c r="AO197" s="167"/>
      <c r="AP197" s="167"/>
      <c r="AQ197" s="167"/>
      <c r="AR197" s="167"/>
      <c r="AS197" s="167"/>
      <c r="AT197" s="167"/>
      <c r="AU197" s="167"/>
      <c r="AV197" s="167"/>
      <c r="AW197" s="167"/>
      <c r="AX197" s="167"/>
      <c r="AY197" s="167"/>
      <c r="AZ197" s="167"/>
      <c r="BA197" s="167"/>
      <c r="BB197" s="167"/>
      <c r="BC197" s="167"/>
      <c r="BD197" s="167"/>
      <c r="BE197" s="167"/>
      <c r="BF197" s="167"/>
      <c r="BG197" s="167"/>
      <c r="BH197" s="167"/>
      <c r="BI197" s="167"/>
      <c r="BJ197" s="167"/>
      <c r="BK197" s="167"/>
      <c r="BL197" s="167"/>
      <c r="BM197" s="167"/>
      <c r="BN197" s="167"/>
      <c r="BO197" s="167"/>
      <c r="BP197" s="167"/>
      <c r="BQ197" s="167"/>
      <c r="BR197" s="167"/>
      <c r="BS197" s="167"/>
      <c r="BT197" s="167"/>
      <c r="BU197" s="167"/>
      <c r="BV197" s="167"/>
      <c r="BW197" s="167"/>
      <c r="BX197" s="167"/>
      <c r="BY197" s="167"/>
      <c r="BZ197" s="167"/>
      <c r="CA197" s="167"/>
      <c r="CB197" s="167"/>
      <c r="CC197" s="167"/>
      <c r="CD197" s="167"/>
      <c r="CE197" s="167"/>
      <c r="CF197" s="167"/>
      <c r="CG197" s="167"/>
      <c r="CH197" s="167"/>
      <c r="CI197" s="167"/>
      <c r="CJ197" s="167"/>
      <c r="CK197" s="167"/>
      <c r="CL197" s="167"/>
      <c r="CM197" s="167"/>
      <c r="CN197" s="167"/>
      <c r="CO197" s="167"/>
      <c r="CP197" s="167"/>
      <c r="CQ197" s="167"/>
      <c r="CR197" s="167"/>
      <c r="CS197" s="167"/>
      <c r="CT197" s="167"/>
      <c r="CU197" s="167"/>
      <c r="CV197" s="167"/>
      <c r="CW197" s="167"/>
      <c r="CX197" s="167"/>
      <c r="CY197" s="167"/>
      <c r="CZ197" s="167"/>
      <c r="DA197" s="167"/>
      <c r="DB197" s="169"/>
    </row>
    <row r="198" spans="1:142" ht="16">
      <c r="A198" s="1" t="s">
        <v>804</v>
      </c>
      <c r="B198" s="137">
        <v>22108914</v>
      </c>
      <c r="C198" s="161" t="s">
        <v>1591</v>
      </c>
      <c r="D198" s="159">
        <v>44742</v>
      </c>
      <c r="E198" s="137">
        <v>78</v>
      </c>
      <c r="F198" s="137">
        <v>10.4</v>
      </c>
      <c r="G198" s="137">
        <v>17.09</v>
      </c>
      <c r="H198" s="137">
        <v>45.2</v>
      </c>
      <c r="I198" s="137">
        <v>39</v>
      </c>
      <c r="J198" s="137">
        <v>2</v>
      </c>
      <c r="K198" s="137">
        <v>0</v>
      </c>
      <c r="L198" s="137">
        <v>1</v>
      </c>
      <c r="M198" s="137">
        <v>0</v>
      </c>
      <c r="N198" s="137">
        <v>9</v>
      </c>
      <c r="O198" s="137">
        <v>10</v>
      </c>
      <c r="P198" s="137">
        <v>3370</v>
      </c>
      <c r="Q198" s="137">
        <v>50</v>
      </c>
      <c r="R198" s="137">
        <v>33.5</v>
      </c>
      <c r="S198" s="137">
        <v>33.5</v>
      </c>
      <c r="T198" s="159">
        <v>31495</v>
      </c>
      <c r="U198" s="137">
        <v>35.49</v>
      </c>
      <c r="V198" s="137">
        <v>1</v>
      </c>
      <c r="W198" s="137">
        <v>0</v>
      </c>
      <c r="X198" s="137">
        <v>1</v>
      </c>
      <c r="Y198" s="137">
        <v>1</v>
      </c>
      <c r="Z198" s="137">
        <v>0</v>
      </c>
      <c r="AA198" s="137">
        <v>0</v>
      </c>
      <c r="AB198" s="137">
        <v>0</v>
      </c>
      <c r="AC198" s="137">
        <v>0</v>
      </c>
      <c r="AD198" s="137">
        <v>0</v>
      </c>
      <c r="AE198" s="137">
        <v>0</v>
      </c>
      <c r="AF198" s="137">
        <v>0</v>
      </c>
      <c r="AG198" s="137">
        <v>0</v>
      </c>
      <c r="AH198" s="137">
        <v>0</v>
      </c>
      <c r="AI198" s="137">
        <v>0</v>
      </c>
      <c r="AJ198" s="137">
        <v>0</v>
      </c>
      <c r="AK198" s="137">
        <v>0</v>
      </c>
      <c r="AL198" s="137">
        <v>0</v>
      </c>
      <c r="AM198" s="137">
        <v>0</v>
      </c>
      <c r="AN198" s="137">
        <v>0</v>
      </c>
      <c r="AO198" s="137">
        <v>0</v>
      </c>
      <c r="AP198" s="137">
        <v>0</v>
      </c>
      <c r="AQ198" s="137">
        <v>0</v>
      </c>
      <c r="AR198" s="137" t="s">
        <v>954</v>
      </c>
      <c r="AS198" s="137">
        <v>1</v>
      </c>
      <c r="AT198" s="137">
        <v>0</v>
      </c>
      <c r="AU198" s="137">
        <v>0</v>
      </c>
      <c r="AV198" s="137">
        <v>0</v>
      </c>
      <c r="AW198" s="137">
        <v>0</v>
      </c>
      <c r="AX198" s="161" t="s">
        <v>1592</v>
      </c>
      <c r="AY198" s="137">
        <v>0</v>
      </c>
      <c r="AZ198" s="137">
        <v>0</v>
      </c>
      <c r="BA198" s="137">
        <v>0</v>
      </c>
      <c r="BB198" s="137">
        <v>0</v>
      </c>
      <c r="BC198" s="137">
        <v>0</v>
      </c>
      <c r="BD198" s="137">
        <v>0</v>
      </c>
      <c r="BE198" s="137">
        <v>0</v>
      </c>
      <c r="BF198" s="137">
        <v>0</v>
      </c>
      <c r="BG198" s="137">
        <v>0</v>
      </c>
      <c r="BH198" s="137">
        <v>0</v>
      </c>
      <c r="BI198" s="137">
        <v>0</v>
      </c>
      <c r="BJ198" s="137">
        <v>0</v>
      </c>
      <c r="BK198" s="137">
        <v>0</v>
      </c>
      <c r="BL198" s="137">
        <v>0</v>
      </c>
      <c r="BM198" s="137">
        <v>0</v>
      </c>
      <c r="BN198" s="137">
        <v>0</v>
      </c>
      <c r="BO198" s="137">
        <v>0</v>
      </c>
      <c r="BP198" s="137">
        <v>0</v>
      </c>
      <c r="BQ198" s="137">
        <v>0</v>
      </c>
      <c r="BR198" s="137">
        <v>0</v>
      </c>
      <c r="BS198" s="137">
        <v>0</v>
      </c>
      <c r="BT198" s="137">
        <v>0</v>
      </c>
      <c r="BU198" s="137">
        <v>0</v>
      </c>
      <c r="BV198" s="137">
        <v>0</v>
      </c>
      <c r="BW198" s="137">
        <v>0</v>
      </c>
      <c r="BX198" s="137">
        <v>0</v>
      </c>
      <c r="BY198" s="137">
        <v>0</v>
      </c>
      <c r="BZ198" s="137">
        <v>1</v>
      </c>
      <c r="CA198" s="137" t="s">
        <v>946</v>
      </c>
      <c r="CB198" s="137">
        <v>0</v>
      </c>
      <c r="CC198" s="137" t="s">
        <v>947</v>
      </c>
      <c r="CD198" s="137">
        <v>1</v>
      </c>
      <c r="CE198" s="137" t="s">
        <v>946</v>
      </c>
      <c r="CF198" s="137" t="s">
        <v>1593</v>
      </c>
      <c r="CG198" s="137">
        <v>0</v>
      </c>
      <c r="CH198" s="137" t="s">
        <v>947</v>
      </c>
      <c r="CI198" s="137">
        <v>1</v>
      </c>
      <c r="CJ198" s="137" t="s">
        <v>1594</v>
      </c>
      <c r="CK198" s="137" t="s">
        <v>1595</v>
      </c>
      <c r="CL198" s="137">
        <v>0</v>
      </c>
      <c r="CM198" s="137" t="s">
        <v>947</v>
      </c>
      <c r="CN198" s="137" t="s">
        <v>947</v>
      </c>
      <c r="CO198" s="161" t="s">
        <v>1596</v>
      </c>
      <c r="CP198" s="137" t="s">
        <v>1597</v>
      </c>
      <c r="CQ198" s="161" t="s">
        <v>1598</v>
      </c>
      <c r="CR198" s="161" t="s">
        <v>1599</v>
      </c>
      <c r="CS198" s="137" t="s">
        <v>1597</v>
      </c>
      <c r="CT198" s="161" t="s">
        <v>1598</v>
      </c>
      <c r="CU198" s="137">
        <v>0</v>
      </c>
      <c r="CV198" s="137" t="s">
        <v>947</v>
      </c>
      <c r="CW198" s="137" t="s">
        <v>947</v>
      </c>
      <c r="CX198" s="137">
        <v>1</v>
      </c>
      <c r="CY198" s="159">
        <v>44580</v>
      </c>
      <c r="CZ198" s="137">
        <v>2</v>
      </c>
      <c r="DA198" s="137"/>
      <c r="DB198" s="152"/>
    </row>
    <row r="199" spans="1:142" ht="16">
      <c r="A199" s="1" t="s">
        <v>807</v>
      </c>
      <c r="B199" s="137">
        <v>22108784</v>
      </c>
      <c r="C199" s="161" t="s">
        <v>847</v>
      </c>
      <c r="D199" s="159">
        <v>44683</v>
      </c>
      <c r="E199" s="137">
        <v>61</v>
      </c>
      <c r="F199" s="137">
        <v>6.6</v>
      </c>
      <c r="G199" s="137">
        <v>17.739999999999998</v>
      </c>
      <c r="H199" s="137">
        <v>42.2</v>
      </c>
      <c r="I199" s="137">
        <v>30</v>
      </c>
      <c r="J199" s="137">
        <v>3</v>
      </c>
      <c r="K199" s="137">
        <v>1</v>
      </c>
      <c r="L199" s="137">
        <v>2</v>
      </c>
      <c r="M199" s="137">
        <v>0</v>
      </c>
      <c r="N199" s="137">
        <v>6</v>
      </c>
      <c r="O199" s="137">
        <v>7</v>
      </c>
      <c r="P199" s="137">
        <v>1040</v>
      </c>
      <c r="Q199" s="137">
        <v>37</v>
      </c>
      <c r="R199" s="137">
        <v>26.8</v>
      </c>
      <c r="S199" s="137">
        <v>22.3</v>
      </c>
      <c r="T199" s="159">
        <v>34303</v>
      </c>
      <c r="U199" s="137">
        <v>27.76</v>
      </c>
      <c r="V199" s="137">
        <v>0</v>
      </c>
      <c r="W199" s="137">
        <v>1</v>
      </c>
      <c r="X199" s="137">
        <v>0</v>
      </c>
      <c r="Y199" s="137">
        <v>1</v>
      </c>
      <c r="Z199" s="137">
        <v>0</v>
      </c>
      <c r="AA199" s="137">
        <v>0</v>
      </c>
      <c r="AB199" s="137">
        <v>0</v>
      </c>
      <c r="AC199" s="137">
        <v>0</v>
      </c>
      <c r="AD199" s="137">
        <v>0</v>
      </c>
      <c r="AE199" s="137">
        <v>0</v>
      </c>
      <c r="AF199" s="137">
        <v>0</v>
      </c>
      <c r="AG199" s="137">
        <v>0</v>
      </c>
      <c r="AH199" s="137">
        <v>0</v>
      </c>
      <c r="AI199" s="137">
        <v>0</v>
      </c>
      <c r="AJ199" s="137">
        <v>0</v>
      </c>
      <c r="AK199" s="137">
        <v>0</v>
      </c>
      <c r="AL199" s="137">
        <v>0</v>
      </c>
      <c r="AM199" s="137">
        <v>0</v>
      </c>
      <c r="AN199" s="137">
        <v>0</v>
      </c>
      <c r="AO199" s="137">
        <v>0</v>
      </c>
      <c r="AP199" s="137">
        <v>0</v>
      </c>
      <c r="AQ199" s="137">
        <v>0</v>
      </c>
      <c r="AR199" s="137">
        <v>1</v>
      </c>
      <c r="AS199" s="137">
        <v>0</v>
      </c>
      <c r="AT199" s="137">
        <v>0</v>
      </c>
      <c r="AU199" s="137">
        <v>0</v>
      </c>
      <c r="AV199" s="137">
        <v>0</v>
      </c>
      <c r="AW199" s="137">
        <v>0</v>
      </c>
      <c r="AX199" s="137">
        <v>0</v>
      </c>
      <c r="AY199" s="137">
        <v>0</v>
      </c>
      <c r="AZ199" s="137">
        <v>0</v>
      </c>
      <c r="BA199" s="137">
        <v>0</v>
      </c>
      <c r="BB199" s="137">
        <v>0</v>
      </c>
      <c r="BC199" s="137">
        <v>0</v>
      </c>
      <c r="BD199" s="137">
        <v>0</v>
      </c>
      <c r="BE199" s="137">
        <v>0</v>
      </c>
      <c r="BF199" s="137">
        <v>0</v>
      </c>
      <c r="BG199" s="137">
        <v>0</v>
      </c>
      <c r="BH199" s="137">
        <v>0</v>
      </c>
      <c r="BI199" s="137">
        <v>0</v>
      </c>
      <c r="BJ199" s="137">
        <v>0</v>
      </c>
      <c r="BK199" s="137">
        <v>1</v>
      </c>
      <c r="BL199" s="137">
        <v>0</v>
      </c>
      <c r="BM199" s="137">
        <v>0</v>
      </c>
      <c r="BN199" s="137">
        <v>0</v>
      </c>
      <c r="BO199" s="137">
        <v>0</v>
      </c>
      <c r="BP199" s="137">
        <v>1</v>
      </c>
      <c r="BQ199" s="137">
        <v>0</v>
      </c>
      <c r="BR199" s="137">
        <v>0</v>
      </c>
      <c r="BS199" s="137">
        <v>0</v>
      </c>
      <c r="BT199" s="137">
        <v>1</v>
      </c>
      <c r="BU199" s="137">
        <v>0</v>
      </c>
      <c r="BV199" s="137">
        <v>0</v>
      </c>
      <c r="BW199" s="137">
        <v>0</v>
      </c>
      <c r="BX199" s="137">
        <v>0</v>
      </c>
      <c r="BY199" s="137">
        <v>0</v>
      </c>
      <c r="BZ199" s="137">
        <v>1</v>
      </c>
      <c r="CA199" s="137" t="s">
        <v>1324</v>
      </c>
      <c r="CB199" s="137">
        <v>1</v>
      </c>
      <c r="CC199" s="161" t="s">
        <v>1057</v>
      </c>
      <c r="CD199" s="137">
        <v>1</v>
      </c>
      <c r="CE199" s="161" t="s">
        <v>1268</v>
      </c>
      <c r="CF199" s="161" t="s">
        <v>1159</v>
      </c>
      <c r="CG199" s="137">
        <v>1</v>
      </c>
      <c r="CH199" s="161" t="s">
        <v>1273</v>
      </c>
      <c r="CI199" s="137">
        <v>1</v>
      </c>
      <c r="CJ199" s="137" t="s">
        <v>1600</v>
      </c>
      <c r="CK199" s="161" t="s">
        <v>1601</v>
      </c>
      <c r="CL199" s="137">
        <v>1</v>
      </c>
      <c r="CM199" s="137" t="s">
        <v>1600</v>
      </c>
      <c r="CN199" s="161" t="s">
        <v>1601</v>
      </c>
      <c r="CO199" s="161" t="s">
        <v>1060</v>
      </c>
      <c r="CP199" s="161" t="s">
        <v>1273</v>
      </c>
      <c r="CQ199" s="161" t="s">
        <v>993</v>
      </c>
      <c r="CR199" s="137">
        <v>0</v>
      </c>
      <c r="CS199" s="137" t="s">
        <v>947</v>
      </c>
      <c r="CT199" s="137" t="s">
        <v>947</v>
      </c>
      <c r="CU199" s="137">
        <v>0</v>
      </c>
      <c r="CV199" s="137" t="s">
        <v>947</v>
      </c>
      <c r="CW199" s="137" t="s">
        <v>947</v>
      </c>
      <c r="CX199" s="137">
        <v>1</v>
      </c>
      <c r="CY199" s="159">
        <v>44631</v>
      </c>
      <c r="CZ199" s="137">
        <v>2</v>
      </c>
      <c r="DA199" s="137"/>
      <c r="DB199" s="152"/>
    </row>
    <row r="200" spans="1:142" ht="16">
      <c r="A200" s="1" t="s">
        <v>811</v>
      </c>
      <c r="B200" s="137">
        <v>22109526</v>
      </c>
      <c r="C200" s="161" t="s">
        <v>1602</v>
      </c>
      <c r="D200" s="159">
        <v>44712</v>
      </c>
      <c r="E200" s="137">
        <v>63.9</v>
      </c>
      <c r="F200" s="137">
        <v>8.1</v>
      </c>
      <c r="G200" s="137">
        <v>19.84</v>
      </c>
      <c r="H200" s="137">
        <v>43.1</v>
      </c>
      <c r="I200" s="137">
        <v>39</v>
      </c>
      <c r="J200" s="137">
        <v>5</v>
      </c>
      <c r="K200" s="137">
        <v>0</v>
      </c>
      <c r="L200" s="137">
        <v>1</v>
      </c>
      <c r="M200" s="137">
        <v>0</v>
      </c>
      <c r="N200" s="137"/>
      <c r="O200" s="137"/>
      <c r="P200" s="137">
        <v>3130</v>
      </c>
      <c r="Q200" s="137">
        <v>49</v>
      </c>
      <c r="R200" s="137">
        <v>34.5</v>
      </c>
      <c r="S200" s="137">
        <v>33</v>
      </c>
      <c r="T200" s="159">
        <v>30282</v>
      </c>
      <c r="U200" s="137">
        <v>38.99</v>
      </c>
      <c r="V200" s="137">
        <v>3</v>
      </c>
      <c r="W200" s="137">
        <v>0</v>
      </c>
      <c r="X200" s="137">
        <v>1</v>
      </c>
      <c r="Y200" s="137">
        <v>3</v>
      </c>
      <c r="Z200" s="137">
        <v>0</v>
      </c>
      <c r="AA200" s="137">
        <v>0</v>
      </c>
      <c r="AB200" s="137">
        <v>0</v>
      </c>
      <c r="AC200" s="137">
        <v>0</v>
      </c>
      <c r="AD200" s="137">
        <v>0</v>
      </c>
      <c r="AE200" s="137">
        <v>0</v>
      </c>
      <c r="AF200" s="137">
        <v>0</v>
      </c>
      <c r="AG200" s="137">
        <v>0</v>
      </c>
      <c r="AH200" s="137">
        <v>0</v>
      </c>
      <c r="AI200" s="137">
        <v>0</v>
      </c>
      <c r="AJ200" s="137">
        <v>0</v>
      </c>
      <c r="AK200" s="137">
        <v>0</v>
      </c>
      <c r="AL200" s="137">
        <v>0</v>
      </c>
      <c r="AM200" s="137">
        <v>0</v>
      </c>
      <c r="AN200" s="137">
        <v>0</v>
      </c>
      <c r="AO200" s="137">
        <v>0</v>
      </c>
      <c r="AP200" s="137">
        <v>0</v>
      </c>
      <c r="AQ200" s="137">
        <v>0</v>
      </c>
      <c r="AR200" s="137">
        <v>1</v>
      </c>
      <c r="AS200" s="137">
        <v>0</v>
      </c>
      <c r="AT200" s="137">
        <v>0</v>
      </c>
      <c r="AU200" s="137">
        <v>0</v>
      </c>
      <c r="AV200" s="137">
        <v>0</v>
      </c>
      <c r="AW200" s="137">
        <v>0</v>
      </c>
      <c r="AX200" s="137">
        <v>0</v>
      </c>
      <c r="AY200" s="137">
        <v>0</v>
      </c>
      <c r="AZ200" s="137">
        <v>0</v>
      </c>
      <c r="BA200" s="137">
        <v>0</v>
      </c>
      <c r="BB200" s="137">
        <v>0</v>
      </c>
      <c r="BC200" s="137">
        <v>0</v>
      </c>
      <c r="BD200" s="137">
        <v>0</v>
      </c>
      <c r="BE200" s="137">
        <v>0</v>
      </c>
      <c r="BF200" s="137">
        <v>0</v>
      </c>
      <c r="BG200" s="137">
        <v>0</v>
      </c>
      <c r="BH200" s="137">
        <v>0</v>
      </c>
      <c r="BI200" s="137">
        <v>0</v>
      </c>
      <c r="BJ200" s="137">
        <v>0</v>
      </c>
      <c r="BK200" s="137">
        <v>0</v>
      </c>
      <c r="BL200" s="137">
        <v>0</v>
      </c>
      <c r="BM200" s="137">
        <v>0</v>
      </c>
      <c r="BN200" s="137">
        <v>0</v>
      </c>
      <c r="BO200" s="137">
        <v>0</v>
      </c>
      <c r="BP200" s="137">
        <v>0</v>
      </c>
      <c r="BQ200" s="137">
        <v>0</v>
      </c>
      <c r="BR200" s="137">
        <v>0</v>
      </c>
      <c r="BS200" s="137">
        <v>0</v>
      </c>
      <c r="BT200" s="137">
        <v>0</v>
      </c>
      <c r="BU200" s="137">
        <v>0</v>
      </c>
      <c r="BV200" s="137">
        <v>0</v>
      </c>
      <c r="BW200" s="137">
        <v>0</v>
      </c>
      <c r="BX200" s="137">
        <v>0</v>
      </c>
      <c r="BY200" s="137">
        <v>0</v>
      </c>
      <c r="BZ200" s="137">
        <v>1</v>
      </c>
      <c r="CA200" s="137" t="s">
        <v>946</v>
      </c>
      <c r="CB200" s="137">
        <v>0</v>
      </c>
      <c r="CC200" s="137" t="s">
        <v>947</v>
      </c>
      <c r="CD200" s="137">
        <v>1</v>
      </c>
      <c r="CE200" s="137" t="s">
        <v>968</v>
      </c>
      <c r="CF200" s="161" t="s">
        <v>1312</v>
      </c>
      <c r="CG200" s="137">
        <v>0</v>
      </c>
      <c r="CH200" s="137" t="s">
        <v>947</v>
      </c>
      <c r="CI200" s="137">
        <v>1</v>
      </c>
      <c r="CJ200" s="137" t="s">
        <v>950</v>
      </c>
      <c r="CK200" s="161" t="s">
        <v>1297</v>
      </c>
      <c r="CL200" s="137">
        <v>0</v>
      </c>
      <c r="CM200" s="137" t="s">
        <v>947</v>
      </c>
      <c r="CN200" s="137" t="s">
        <v>947</v>
      </c>
      <c r="CO200" s="137">
        <v>0</v>
      </c>
      <c r="CP200" s="137" t="s">
        <v>947</v>
      </c>
      <c r="CQ200" s="137" t="s">
        <v>947</v>
      </c>
      <c r="CR200" s="137">
        <v>0</v>
      </c>
      <c r="CS200" s="137" t="s">
        <v>947</v>
      </c>
      <c r="CT200" s="137" t="s">
        <v>947</v>
      </c>
      <c r="CU200" s="137">
        <v>0</v>
      </c>
      <c r="CV200" s="137" t="s">
        <v>947</v>
      </c>
      <c r="CW200" s="137" t="s">
        <v>947</v>
      </c>
      <c r="CX200" s="137">
        <v>1</v>
      </c>
      <c r="CY200" s="137" t="s">
        <v>1063</v>
      </c>
      <c r="CZ200" s="137">
        <v>2</v>
      </c>
      <c r="DA200" s="137"/>
      <c r="DB200" s="152"/>
    </row>
    <row r="201" spans="1:142" ht="16">
      <c r="A201" s="1" t="s">
        <v>815</v>
      </c>
      <c r="B201" s="137">
        <v>22109482</v>
      </c>
      <c r="C201" s="161" t="s">
        <v>1603</v>
      </c>
      <c r="D201" s="159">
        <v>44705</v>
      </c>
      <c r="E201" s="137">
        <v>64.599999999999994</v>
      </c>
      <c r="F201" s="137">
        <v>8.1</v>
      </c>
      <c r="G201" s="137">
        <v>19.41</v>
      </c>
      <c r="H201" s="137">
        <v>42.5</v>
      </c>
      <c r="I201" s="137">
        <v>39</v>
      </c>
      <c r="J201" s="137">
        <v>5</v>
      </c>
      <c r="K201" s="137">
        <v>0</v>
      </c>
      <c r="L201" s="137">
        <v>1</v>
      </c>
      <c r="M201" s="137">
        <v>0</v>
      </c>
      <c r="N201" s="137">
        <v>9</v>
      </c>
      <c r="O201" s="137">
        <v>10</v>
      </c>
      <c r="P201" s="137">
        <v>3130</v>
      </c>
      <c r="Q201" s="137">
        <v>48</v>
      </c>
      <c r="R201" s="137">
        <v>33</v>
      </c>
      <c r="S201" s="137">
        <v>32.5</v>
      </c>
      <c r="T201" s="159">
        <v>35992</v>
      </c>
      <c r="U201" s="137">
        <v>23.34</v>
      </c>
      <c r="V201" s="137">
        <v>1</v>
      </c>
      <c r="W201" s="137">
        <v>0</v>
      </c>
      <c r="X201" s="137">
        <v>1</v>
      </c>
      <c r="Y201" s="137">
        <v>1</v>
      </c>
      <c r="Z201" s="137">
        <v>0</v>
      </c>
      <c r="AA201" s="137">
        <v>0</v>
      </c>
      <c r="AB201" s="137">
        <v>0</v>
      </c>
      <c r="AC201" s="137">
        <v>0</v>
      </c>
      <c r="AD201" s="137">
        <v>0</v>
      </c>
      <c r="AE201" s="137">
        <v>0</v>
      </c>
      <c r="AF201" s="137">
        <v>0</v>
      </c>
      <c r="AG201" s="137">
        <v>0</v>
      </c>
      <c r="AH201" s="137">
        <v>0</v>
      </c>
      <c r="AI201" s="137">
        <v>0</v>
      </c>
      <c r="AJ201" s="137">
        <v>0</v>
      </c>
      <c r="AK201" s="137">
        <v>0</v>
      </c>
      <c r="AL201" s="137">
        <v>0</v>
      </c>
      <c r="AM201" s="137">
        <v>0</v>
      </c>
      <c r="AN201" s="137">
        <v>0</v>
      </c>
      <c r="AO201" s="137">
        <v>0</v>
      </c>
      <c r="AP201" s="137">
        <v>0</v>
      </c>
      <c r="AQ201" s="137">
        <v>0</v>
      </c>
      <c r="AR201" s="137">
        <v>1</v>
      </c>
      <c r="AS201" s="137">
        <v>0</v>
      </c>
      <c r="AT201" s="137">
        <v>0</v>
      </c>
      <c r="AU201" s="137">
        <v>0</v>
      </c>
      <c r="AV201" s="137">
        <v>0</v>
      </c>
      <c r="AW201" s="137">
        <v>0</v>
      </c>
      <c r="AX201" s="137">
        <v>0</v>
      </c>
      <c r="AY201" s="137">
        <v>0</v>
      </c>
      <c r="AZ201" s="137">
        <v>0</v>
      </c>
      <c r="BA201" s="137">
        <v>0</v>
      </c>
      <c r="BB201" s="137">
        <v>0</v>
      </c>
      <c r="BC201" s="137">
        <v>0</v>
      </c>
      <c r="BD201" s="137">
        <v>0</v>
      </c>
      <c r="BE201" s="137">
        <v>0</v>
      </c>
      <c r="BF201" s="137">
        <v>0</v>
      </c>
      <c r="BG201" s="137">
        <v>0</v>
      </c>
      <c r="BH201" s="137">
        <v>0</v>
      </c>
      <c r="BI201" s="137">
        <v>0</v>
      </c>
      <c r="BJ201" s="137">
        <v>0</v>
      </c>
      <c r="BK201" s="137">
        <v>0</v>
      </c>
      <c r="BL201" s="137">
        <v>0</v>
      </c>
      <c r="BM201" s="137">
        <v>0</v>
      </c>
      <c r="BN201" s="137">
        <v>0</v>
      </c>
      <c r="BO201" s="137">
        <v>0</v>
      </c>
      <c r="BP201" s="137">
        <v>0</v>
      </c>
      <c r="BQ201" s="137">
        <v>0</v>
      </c>
      <c r="BR201" s="137">
        <v>0</v>
      </c>
      <c r="BS201" s="137">
        <v>0</v>
      </c>
      <c r="BT201" s="137">
        <v>0</v>
      </c>
      <c r="BU201" s="137">
        <v>0</v>
      </c>
      <c r="BV201" s="137">
        <v>0</v>
      </c>
      <c r="BW201" s="137">
        <v>0</v>
      </c>
      <c r="BX201" s="137">
        <v>0</v>
      </c>
      <c r="BY201" s="137">
        <v>0</v>
      </c>
      <c r="BZ201" s="137">
        <v>1</v>
      </c>
      <c r="CA201" s="137" t="s">
        <v>1064</v>
      </c>
      <c r="CB201" s="137">
        <v>0</v>
      </c>
      <c r="CC201" s="137" t="s">
        <v>947</v>
      </c>
      <c r="CD201" s="137">
        <v>1</v>
      </c>
      <c r="CE201" s="137" t="s">
        <v>1183</v>
      </c>
      <c r="CF201" s="161" t="s">
        <v>1604</v>
      </c>
      <c r="CG201" s="137">
        <v>0</v>
      </c>
      <c r="CH201" s="137" t="s">
        <v>947</v>
      </c>
      <c r="CI201" s="137">
        <v>0</v>
      </c>
      <c r="CJ201" s="137" t="s">
        <v>947</v>
      </c>
      <c r="CK201" s="137" t="s">
        <v>947</v>
      </c>
      <c r="CL201" s="137">
        <v>0</v>
      </c>
      <c r="CM201" s="137" t="s">
        <v>947</v>
      </c>
      <c r="CN201" s="137" t="s">
        <v>947</v>
      </c>
      <c r="CO201" s="137">
        <v>0</v>
      </c>
      <c r="CP201" s="137" t="s">
        <v>947</v>
      </c>
      <c r="CQ201" s="137" t="s">
        <v>947</v>
      </c>
      <c r="CR201" s="137">
        <v>0</v>
      </c>
      <c r="CS201" s="137" t="s">
        <v>947</v>
      </c>
      <c r="CT201" s="137" t="s">
        <v>947</v>
      </c>
      <c r="CU201" s="137">
        <v>0</v>
      </c>
      <c r="CV201" s="137" t="s">
        <v>947</v>
      </c>
      <c r="CW201" s="137" t="s">
        <v>947</v>
      </c>
      <c r="CX201" s="137">
        <v>1</v>
      </c>
      <c r="CY201" s="137" t="s">
        <v>965</v>
      </c>
      <c r="CZ201" s="137">
        <v>2</v>
      </c>
      <c r="DA201" s="137"/>
      <c r="DB201" s="152"/>
    </row>
    <row r="202" spans="1:142" s="110" customFormat="1" ht="16">
      <c r="A202" s="107" t="s">
        <v>818</v>
      </c>
      <c r="B202" s="153">
        <v>22109057</v>
      </c>
      <c r="C202" s="157" t="s">
        <v>1605</v>
      </c>
      <c r="D202" s="155">
        <v>44792</v>
      </c>
      <c r="E202" s="153">
        <v>64.8</v>
      </c>
      <c r="F202" s="153">
        <v>7</v>
      </c>
      <c r="G202" s="153">
        <v>16.670000000000002</v>
      </c>
      <c r="H202" s="153">
        <v>42.5</v>
      </c>
      <c r="I202" s="153">
        <v>25</v>
      </c>
      <c r="J202" s="153">
        <v>6</v>
      </c>
      <c r="K202" s="153">
        <v>1</v>
      </c>
      <c r="L202" s="153">
        <v>2</v>
      </c>
      <c r="M202" s="153">
        <v>0</v>
      </c>
      <c r="N202" s="153">
        <v>5</v>
      </c>
      <c r="O202" s="153">
        <v>6</v>
      </c>
      <c r="P202" s="153">
        <v>798</v>
      </c>
      <c r="Q202" s="153">
        <v>32.5</v>
      </c>
      <c r="R202" s="153">
        <v>23.5</v>
      </c>
      <c r="S202" s="153">
        <v>20.5</v>
      </c>
      <c r="T202" s="155">
        <v>31853</v>
      </c>
      <c r="U202" s="153">
        <v>34.56</v>
      </c>
      <c r="V202" s="153">
        <v>0</v>
      </c>
      <c r="W202" s="153">
        <v>1</v>
      </c>
      <c r="X202" s="153">
        <v>0</v>
      </c>
      <c r="Y202" s="153">
        <v>1</v>
      </c>
      <c r="Z202" s="153">
        <v>0</v>
      </c>
      <c r="AA202" s="153">
        <v>0</v>
      </c>
      <c r="AB202" s="153">
        <v>0</v>
      </c>
      <c r="AC202" s="153">
        <v>0</v>
      </c>
      <c r="AD202" s="153">
        <v>0</v>
      </c>
      <c r="AE202" s="153">
        <v>0</v>
      </c>
      <c r="AF202" s="153">
        <v>0</v>
      </c>
      <c r="AG202" s="153">
        <v>0</v>
      </c>
      <c r="AH202" s="153">
        <v>0</v>
      </c>
      <c r="AI202" s="153">
        <v>0</v>
      </c>
      <c r="AJ202" s="153">
        <v>0</v>
      </c>
      <c r="AK202" s="153">
        <v>0</v>
      </c>
      <c r="AL202" s="153">
        <v>0</v>
      </c>
      <c r="AM202" s="153">
        <v>0</v>
      </c>
      <c r="AN202" s="153">
        <v>0</v>
      </c>
      <c r="AO202" s="153">
        <v>0</v>
      </c>
      <c r="AP202" s="153">
        <v>0</v>
      </c>
      <c r="AQ202" s="153">
        <v>0</v>
      </c>
      <c r="AR202" s="153" t="s">
        <v>954</v>
      </c>
      <c r="AS202" s="153">
        <v>0</v>
      </c>
      <c r="AT202" s="153">
        <v>0</v>
      </c>
      <c r="AU202" s="153">
        <v>0</v>
      </c>
      <c r="AV202" s="153">
        <v>0</v>
      </c>
      <c r="AW202" s="153">
        <v>0</v>
      </c>
      <c r="AX202" s="153">
        <v>0</v>
      </c>
      <c r="AY202" s="153">
        <v>0</v>
      </c>
      <c r="AZ202" s="153">
        <v>0</v>
      </c>
      <c r="BA202" s="153">
        <v>0</v>
      </c>
      <c r="BB202" s="153">
        <v>0</v>
      </c>
      <c r="BC202" s="153">
        <v>0</v>
      </c>
      <c r="BD202" s="153">
        <v>0</v>
      </c>
      <c r="BE202" s="153">
        <v>0</v>
      </c>
      <c r="BF202" s="153">
        <v>0</v>
      </c>
      <c r="BG202" s="153">
        <v>0</v>
      </c>
      <c r="BH202" s="153">
        <v>0</v>
      </c>
      <c r="BI202" s="153">
        <v>0</v>
      </c>
      <c r="BJ202" s="153">
        <v>0</v>
      </c>
      <c r="BK202" s="153">
        <v>1</v>
      </c>
      <c r="BL202" s="153">
        <v>0</v>
      </c>
      <c r="BM202" s="153">
        <v>1</v>
      </c>
      <c r="BN202" s="153">
        <v>0</v>
      </c>
      <c r="BO202" s="153">
        <v>0</v>
      </c>
      <c r="BP202" s="153">
        <v>0</v>
      </c>
      <c r="BQ202" s="153">
        <v>0</v>
      </c>
      <c r="BR202" s="153">
        <v>0</v>
      </c>
      <c r="BS202" s="153">
        <v>0</v>
      </c>
      <c r="BT202" s="153">
        <v>1</v>
      </c>
      <c r="BU202" s="153">
        <v>0</v>
      </c>
      <c r="BV202" s="153">
        <v>0</v>
      </c>
      <c r="BW202" s="153">
        <v>0</v>
      </c>
      <c r="BX202" s="153">
        <v>0</v>
      </c>
      <c r="BY202" s="153">
        <v>0</v>
      </c>
      <c r="BZ202" s="153">
        <v>1</v>
      </c>
      <c r="CA202" s="153" t="s">
        <v>1207</v>
      </c>
      <c r="CB202" s="153">
        <v>0</v>
      </c>
      <c r="CC202" s="153" t="s">
        <v>947</v>
      </c>
      <c r="CD202" s="153">
        <v>1</v>
      </c>
      <c r="CE202" s="153" t="s">
        <v>946</v>
      </c>
      <c r="CF202" s="157" t="s">
        <v>1606</v>
      </c>
      <c r="CG202" s="153">
        <v>1</v>
      </c>
      <c r="CH202" s="157" t="s">
        <v>1273</v>
      </c>
      <c r="CI202" s="153">
        <v>1</v>
      </c>
      <c r="CJ202" s="157" t="s">
        <v>1273</v>
      </c>
      <c r="CK202" s="157" t="s">
        <v>1186</v>
      </c>
      <c r="CL202" s="153">
        <v>1</v>
      </c>
      <c r="CM202" s="157" t="s">
        <v>1607</v>
      </c>
      <c r="CN202" s="157" t="s">
        <v>1608</v>
      </c>
      <c r="CO202" s="157" t="s">
        <v>1060</v>
      </c>
      <c r="CP202" s="157" t="s">
        <v>1273</v>
      </c>
      <c r="CQ202" s="157" t="s">
        <v>993</v>
      </c>
      <c r="CR202" s="153">
        <v>0</v>
      </c>
      <c r="CS202" s="153" t="s">
        <v>947</v>
      </c>
      <c r="CT202" s="153" t="s">
        <v>947</v>
      </c>
      <c r="CU202" s="153">
        <v>0</v>
      </c>
      <c r="CV202" s="153" t="s">
        <v>947</v>
      </c>
      <c r="CW202" s="153" t="s">
        <v>947</v>
      </c>
      <c r="CX202" s="153">
        <v>1</v>
      </c>
      <c r="CY202" s="157" t="s">
        <v>1149</v>
      </c>
      <c r="CZ202" s="153">
        <v>2</v>
      </c>
      <c r="DA202" s="153"/>
      <c r="DB202" s="158"/>
    </row>
    <row r="203" spans="1:142" ht="16">
      <c r="A203" s="1" t="s">
        <v>822</v>
      </c>
      <c r="B203" s="137">
        <v>22109404</v>
      </c>
      <c r="C203" s="161" t="s">
        <v>1609</v>
      </c>
      <c r="D203" s="159">
        <v>44729</v>
      </c>
      <c r="E203" s="137">
        <v>64.7</v>
      </c>
      <c r="F203" s="137">
        <v>7.3</v>
      </c>
      <c r="G203" s="137">
        <v>17.440000000000001</v>
      </c>
      <c r="H203" s="137">
        <v>42.7</v>
      </c>
      <c r="I203" s="137">
        <v>39</v>
      </c>
      <c r="J203" s="137">
        <v>4</v>
      </c>
      <c r="K203" s="137">
        <v>0</v>
      </c>
      <c r="L203" s="137">
        <v>2</v>
      </c>
      <c r="M203" s="137">
        <v>0</v>
      </c>
      <c r="N203" s="137">
        <v>9</v>
      </c>
      <c r="O203" s="137">
        <v>10</v>
      </c>
      <c r="P203" s="137">
        <v>2860</v>
      </c>
      <c r="Q203" s="137">
        <v>48.5</v>
      </c>
      <c r="R203" s="137">
        <v>34</v>
      </c>
      <c r="S203" s="137">
        <v>34</v>
      </c>
      <c r="T203" s="159">
        <v>35370</v>
      </c>
      <c r="U203" s="137">
        <v>25.03</v>
      </c>
      <c r="V203" s="137">
        <v>1</v>
      </c>
      <c r="W203" s="137">
        <v>0</v>
      </c>
      <c r="X203" s="137">
        <v>0</v>
      </c>
      <c r="Y203" s="137">
        <v>1</v>
      </c>
      <c r="Z203" s="137">
        <v>0</v>
      </c>
      <c r="AA203" s="137">
        <v>0</v>
      </c>
      <c r="AB203" s="137">
        <v>0</v>
      </c>
      <c r="AC203" s="137">
        <v>0</v>
      </c>
      <c r="AD203" s="137">
        <v>0</v>
      </c>
      <c r="AE203" s="137">
        <v>0</v>
      </c>
      <c r="AF203" s="137">
        <v>0</v>
      </c>
      <c r="AG203" s="137">
        <v>0</v>
      </c>
      <c r="AH203" s="137">
        <v>0</v>
      </c>
      <c r="AI203" s="137">
        <v>0</v>
      </c>
      <c r="AJ203" s="137">
        <v>0</v>
      </c>
      <c r="AK203" s="137">
        <v>0</v>
      </c>
      <c r="AL203" s="137">
        <v>0</v>
      </c>
      <c r="AM203" s="137">
        <v>0</v>
      </c>
      <c r="AN203" s="137">
        <v>0</v>
      </c>
      <c r="AO203" s="137">
        <v>0</v>
      </c>
      <c r="AP203" s="137">
        <v>0</v>
      </c>
      <c r="AQ203" s="137">
        <v>0</v>
      </c>
      <c r="AR203" s="137">
        <v>1</v>
      </c>
      <c r="AS203" s="137">
        <v>1</v>
      </c>
      <c r="AT203" s="137">
        <v>0</v>
      </c>
      <c r="AU203" s="137">
        <v>0</v>
      </c>
      <c r="AV203" s="137">
        <v>0</v>
      </c>
      <c r="AW203" s="137">
        <v>0</v>
      </c>
      <c r="AX203" s="137" t="s">
        <v>1610</v>
      </c>
      <c r="AY203" s="137">
        <v>1</v>
      </c>
      <c r="AZ203" s="137">
        <v>0</v>
      </c>
      <c r="BA203" s="137">
        <v>0</v>
      </c>
      <c r="BB203" s="137">
        <v>0</v>
      </c>
      <c r="BC203" s="137">
        <v>0</v>
      </c>
      <c r="BD203" s="137">
        <v>0</v>
      </c>
      <c r="BE203" s="137">
        <v>0</v>
      </c>
      <c r="BF203" s="137">
        <v>0</v>
      </c>
      <c r="BG203" s="137">
        <v>0</v>
      </c>
      <c r="BH203" s="137">
        <v>0</v>
      </c>
      <c r="BI203" s="137">
        <v>0</v>
      </c>
      <c r="BJ203" s="161" t="s">
        <v>1611</v>
      </c>
      <c r="BK203" s="137">
        <v>0</v>
      </c>
      <c r="BL203" s="137">
        <v>0</v>
      </c>
      <c r="BM203" s="137">
        <v>0</v>
      </c>
      <c r="BN203" s="137">
        <v>0</v>
      </c>
      <c r="BO203" s="137">
        <v>0</v>
      </c>
      <c r="BP203" s="137">
        <v>0</v>
      </c>
      <c r="BQ203" s="137">
        <v>0</v>
      </c>
      <c r="BR203" s="137">
        <v>0</v>
      </c>
      <c r="BS203" s="137">
        <v>0</v>
      </c>
      <c r="BT203" s="137">
        <v>0</v>
      </c>
      <c r="BU203" s="137">
        <v>0</v>
      </c>
      <c r="BV203" s="137">
        <v>0</v>
      </c>
      <c r="BW203" s="137">
        <v>0</v>
      </c>
      <c r="BX203" s="137">
        <v>0</v>
      </c>
      <c r="BY203" s="137">
        <v>0</v>
      </c>
      <c r="BZ203" s="137">
        <v>1</v>
      </c>
      <c r="CA203" s="137" t="s">
        <v>946</v>
      </c>
      <c r="CB203" s="137">
        <v>0</v>
      </c>
      <c r="CC203" s="137" t="s">
        <v>947</v>
      </c>
      <c r="CD203" s="137">
        <v>1</v>
      </c>
      <c r="CE203" s="137" t="s">
        <v>1011</v>
      </c>
      <c r="CF203" s="161" t="s">
        <v>1126</v>
      </c>
      <c r="CG203" s="137">
        <v>0</v>
      </c>
      <c r="CH203" s="137" t="s">
        <v>947</v>
      </c>
      <c r="CI203" s="137">
        <v>1</v>
      </c>
      <c r="CJ203" s="137" t="s">
        <v>946</v>
      </c>
      <c r="CK203" s="161" t="s">
        <v>1025</v>
      </c>
      <c r="CL203" s="137">
        <v>1</v>
      </c>
      <c r="CM203" s="137" t="s">
        <v>946</v>
      </c>
      <c r="CN203" s="161" t="s">
        <v>1025</v>
      </c>
      <c r="CO203" s="137">
        <v>0</v>
      </c>
      <c r="CP203" s="137" t="s">
        <v>947</v>
      </c>
      <c r="CQ203" s="137" t="s">
        <v>947</v>
      </c>
      <c r="CR203" s="137">
        <v>0</v>
      </c>
      <c r="CS203" s="137" t="s">
        <v>947</v>
      </c>
      <c r="CT203" s="137" t="s">
        <v>947</v>
      </c>
      <c r="CU203" s="137">
        <v>0</v>
      </c>
      <c r="CV203" s="137" t="s">
        <v>947</v>
      </c>
      <c r="CW203" s="137" t="s">
        <v>947</v>
      </c>
      <c r="CX203" s="137">
        <v>1</v>
      </c>
      <c r="CY203" s="137" t="s">
        <v>962</v>
      </c>
      <c r="CZ203" s="137">
        <v>2</v>
      </c>
      <c r="DA203" s="137"/>
      <c r="DB203" s="152"/>
    </row>
    <row r="204" spans="1:142" s="127" customFormat="1" ht="16">
      <c r="A204" s="125" t="s">
        <v>825</v>
      </c>
      <c r="B204" s="167">
        <v>22107380</v>
      </c>
      <c r="C204" s="175" t="s">
        <v>1612</v>
      </c>
      <c r="D204" s="167"/>
      <c r="E204" s="167"/>
      <c r="F204" s="167"/>
      <c r="G204" s="167"/>
      <c r="H204" s="167"/>
      <c r="I204" s="167"/>
      <c r="J204" s="167"/>
      <c r="K204" s="167"/>
      <c r="L204" s="167"/>
      <c r="M204" s="167"/>
      <c r="N204" s="167"/>
      <c r="O204" s="167"/>
      <c r="P204" s="167"/>
      <c r="Q204" s="167"/>
      <c r="R204" s="167"/>
      <c r="S204" s="167"/>
      <c r="T204" s="167"/>
      <c r="U204" s="170"/>
      <c r="V204" s="167"/>
      <c r="W204" s="167"/>
      <c r="X204" s="167"/>
      <c r="Y204" s="167"/>
      <c r="Z204" s="167"/>
      <c r="AA204" s="167"/>
      <c r="AB204" s="167"/>
      <c r="AC204" s="167"/>
      <c r="AD204" s="167"/>
      <c r="AE204" s="167"/>
      <c r="AF204" s="167"/>
      <c r="AG204" s="167"/>
      <c r="AH204" s="167"/>
      <c r="AI204" s="167"/>
      <c r="AJ204" s="167"/>
      <c r="AK204" s="167"/>
      <c r="AL204" s="167"/>
      <c r="AM204" s="167"/>
      <c r="AN204" s="167"/>
      <c r="AO204" s="167"/>
      <c r="AP204" s="167"/>
      <c r="AQ204" s="167"/>
      <c r="AR204" s="167"/>
      <c r="AS204" s="167"/>
      <c r="AT204" s="167"/>
      <c r="AU204" s="167"/>
      <c r="AV204" s="167"/>
      <c r="AW204" s="167"/>
      <c r="AX204" s="167"/>
      <c r="AY204" s="167"/>
      <c r="AZ204" s="167"/>
      <c r="BA204" s="167"/>
      <c r="BB204" s="167"/>
      <c r="BC204" s="167"/>
      <c r="BD204" s="167"/>
      <c r="BE204" s="167"/>
      <c r="BF204" s="167"/>
      <c r="BG204" s="167"/>
      <c r="BH204" s="167"/>
      <c r="BI204" s="167"/>
      <c r="BJ204" s="167"/>
      <c r="BK204" s="167"/>
      <c r="BL204" s="167"/>
      <c r="BM204" s="167"/>
      <c r="BN204" s="167"/>
      <c r="BO204" s="167"/>
      <c r="BP204" s="167"/>
      <c r="BQ204" s="167"/>
      <c r="BR204" s="167"/>
      <c r="BS204" s="167"/>
      <c r="BT204" s="167"/>
      <c r="BU204" s="167"/>
      <c r="BV204" s="167"/>
      <c r="BW204" s="167"/>
      <c r="BX204" s="167"/>
      <c r="BY204" s="167"/>
      <c r="BZ204" s="167"/>
      <c r="CA204" s="167"/>
      <c r="CB204" s="167"/>
      <c r="CC204" s="167"/>
      <c r="CD204" s="167"/>
      <c r="CE204" s="167"/>
      <c r="CF204" s="167"/>
      <c r="CG204" s="167"/>
      <c r="CH204" s="167"/>
      <c r="CI204" s="167"/>
      <c r="CJ204" s="167"/>
      <c r="CK204" s="167"/>
      <c r="CL204" s="167"/>
      <c r="CM204" s="167"/>
      <c r="CN204" s="167"/>
      <c r="CO204" s="167"/>
      <c r="CP204" s="167"/>
      <c r="CQ204" s="167"/>
      <c r="CR204" s="167"/>
      <c r="CS204" s="167"/>
      <c r="CT204" s="167"/>
      <c r="CU204" s="167"/>
      <c r="CV204" s="167"/>
      <c r="CW204" s="167"/>
      <c r="CX204" s="167"/>
      <c r="CY204" s="167"/>
      <c r="CZ204" s="167"/>
      <c r="DA204" s="167"/>
      <c r="DB204" s="169"/>
    </row>
    <row r="205" spans="1:142" ht="16">
      <c r="A205" s="1" t="s">
        <v>829</v>
      </c>
      <c r="B205" s="137">
        <v>22108775</v>
      </c>
      <c r="C205" s="161" t="s">
        <v>1613</v>
      </c>
      <c r="D205" s="159">
        <v>44699</v>
      </c>
      <c r="E205" s="137">
        <v>67.8</v>
      </c>
      <c r="F205" s="137">
        <v>9.8000000000000007</v>
      </c>
      <c r="G205" s="137">
        <v>21.32</v>
      </c>
      <c r="H205" s="137">
        <v>43</v>
      </c>
      <c r="I205" s="137">
        <v>33</v>
      </c>
      <c r="J205" s="137">
        <v>0</v>
      </c>
      <c r="K205" s="137">
        <v>1</v>
      </c>
      <c r="L205" s="137">
        <v>2</v>
      </c>
      <c r="M205" s="137">
        <v>0</v>
      </c>
      <c r="N205" s="137">
        <v>8</v>
      </c>
      <c r="O205" s="137">
        <v>9</v>
      </c>
      <c r="P205" s="137">
        <v>1585</v>
      </c>
      <c r="Q205" s="137">
        <v>42</v>
      </c>
      <c r="R205" s="137">
        <v>29.5</v>
      </c>
      <c r="S205" s="137">
        <v>27</v>
      </c>
      <c r="T205" s="159">
        <v>27517</v>
      </c>
      <c r="U205" s="137">
        <v>46.34</v>
      </c>
      <c r="V205" s="137">
        <v>0</v>
      </c>
      <c r="W205" s="137">
        <v>2</v>
      </c>
      <c r="X205" s="161" t="s">
        <v>1614</v>
      </c>
      <c r="Y205" s="137">
        <v>2</v>
      </c>
      <c r="Z205" s="137">
        <v>1</v>
      </c>
      <c r="AA205" s="137">
        <v>1</v>
      </c>
      <c r="AB205" s="137" t="s">
        <v>978</v>
      </c>
      <c r="AC205" s="137">
        <v>0</v>
      </c>
      <c r="AD205" s="137">
        <v>0</v>
      </c>
      <c r="AE205" s="137">
        <v>0</v>
      </c>
      <c r="AF205" s="137">
        <v>0</v>
      </c>
      <c r="AG205" s="137">
        <v>0</v>
      </c>
      <c r="AH205" s="137">
        <v>0</v>
      </c>
      <c r="AI205" s="137">
        <v>0</v>
      </c>
      <c r="AJ205" s="137">
        <v>0</v>
      </c>
      <c r="AK205" s="137">
        <v>0</v>
      </c>
      <c r="AL205" s="137">
        <v>0</v>
      </c>
      <c r="AM205" s="137">
        <v>0</v>
      </c>
      <c r="AN205" s="137">
        <v>0</v>
      </c>
      <c r="AO205" s="137">
        <v>0</v>
      </c>
      <c r="AP205" s="137">
        <v>0</v>
      </c>
      <c r="AQ205" s="137">
        <v>0</v>
      </c>
      <c r="AR205" s="137">
        <v>1</v>
      </c>
      <c r="AS205" s="137">
        <v>0</v>
      </c>
      <c r="AT205" s="137">
        <v>0</v>
      </c>
      <c r="AU205" s="137">
        <v>0</v>
      </c>
      <c r="AV205" s="137">
        <v>0</v>
      </c>
      <c r="AW205" s="137">
        <v>0</v>
      </c>
      <c r="AX205" s="137">
        <v>0</v>
      </c>
      <c r="AY205" s="137">
        <v>0</v>
      </c>
      <c r="AZ205" s="137">
        <v>0</v>
      </c>
      <c r="BA205" s="137">
        <v>0</v>
      </c>
      <c r="BB205" s="137">
        <v>0</v>
      </c>
      <c r="BC205" s="137">
        <v>0</v>
      </c>
      <c r="BD205" s="137">
        <v>0</v>
      </c>
      <c r="BE205" s="137">
        <v>0</v>
      </c>
      <c r="BF205" s="137">
        <v>0</v>
      </c>
      <c r="BG205" s="137">
        <v>0</v>
      </c>
      <c r="BH205" s="137">
        <v>0</v>
      </c>
      <c r="BI205" s="137">
        <v>0</v>
      </c>
      <c r="BJ205" s="137">
        <v>0</v>
      </c>
      <c r="BK205" s="137">
        <v>1</v>
      </c>
      <c r="BL205" s="137">
        <v>0</v>
      </c>
      <c r="BM205" s="137">
        <v>0</v>
      </c>
      <c r="BN205" s="137">
        <v>0</v>
      </c>
      <c r="BO205" s="137">
        <v>0</v>
      </c>
      <c r="BP205" s="137">
        <v>0</v>
      </c>
      <c r="BQ205" s="137">
        <v>0</v>
      </c>
      <c r="BR205" s="137">
        <v>0</v>
      </c>
      <c r="BS205" s="161" t="s">
        <v>1615</v>
      </c>
      <c r="BT205" s="137">
        <v>0</v>
      </c>
      <c r="BU205" s="137">
        <v>0</v>
      </c>
      <c r="BV205" s="137">
        <v>0</v>
      </c>
      <c r="BW205" s="137">
        <v>0</v>
      </c>
      <c r="BX205" s="137">
        <v>0</v>
      </c>
      <c r="BY205" s="137">
        <v>0</v>
      </c>
      <c r="BZ205" s="137">
        <v>1</v>
      </c>
      <c r="CA205" s="137" t="s">
        <v>946</v>
      </c>
      <c r="CB205" s="137">
        <v>0</v>
      </c>
      <c r="CC205" s="137" t="s">
        <v>947</v>
      </c>
      <c r="CD205" s="137">
        <v>0</v>
      </c>
      <c r="CE205" s="137" t="s">
        <v>947</v>
      </c>
      <c r="CF205" s="137" t="s">
        <v>947</v>
      </c>
      <c r="CG205" s="137">
        <v>1</v>
      </c>
      <c r="CH205" s="161" t="s">
        <v>1273</v>
      </c>
      <c r="CI205" s="137">
        <v>0</v>
      </c>
      <c r="CJ205" s="137" t="s">
        <v>947</v>
      </c>
      <c r="CK205" s="137" t="s">
        <v>947</v>
      </c>
      <c r="CL205" s="137">
        <v>1</v>
      </c>
      <c r="CM205" s="161" t="s">
        <v>1616</v>
      </c>
      <c r="CN205" s="161" t="s">
        <v>1095</v>
      </c>
      <c r="CO205" s="161" t="s">
        <v>1060</v>
      </c>
      <c r="CP205" s="161" t="s">
        <v>1273</v>
      </c>
      <c r="CQ205" s="161" t="s">
        <v>1002</v>
      </c>
      <c r="CR205" s="137">
        <v>0</v>
      </c>
      <c r="CS205" s="137" t="s">
        <v>947</v>
      </c>
      <c r="CT205" s="137" t="s">
        <v>947</v>
      </c>
      <c r="CU205" s="137">
        <v>0</v>
      </c>
      <c r="CV205" s="137" t="s">
        <v>947</v>
      </c>
      <c r="CW205" s="137" t="s">
        <v>947</v>
      </c>
      <c r="CX205" s="137">
        <v>1</v>
      </c>
      <c r="CY205" s="137" t="s">
        <v>1617</v>
      </c>
      <c r="CZ205" s="137">
        <v>2</v>
      </c>
      <c r="DA205" s="137"/>
      <c r="DB205" s="152"/>
    </row>
    <row r="206" spans="1:142" s="114" customFormat="1" ht="16">
      <c r="A206" s="112" t="s">
        <v>833</v>
      </c>
      <c r="B206" s="162">
        <v>22103595</v>
      </c>
      <c r="C206" s="163" t="s">
        <v>1618</v>
      </c>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6"/>
      <c r="AS206" s="176"/>
      <c r="AT206" s="176"/>
      <c r="AU206" s="176"/>
      <c r="AV206" s="176"/>
      <c r="AW206" s="176"/>
      <c r="AX206" s="176"/>
      <c r="AY206" s="176"/>
      <c r="AZ206" s="176"/>
      <c r="BA206" s="176"/>
      <c r="BB206" s="176"/>
      <c r="BC206" s="176"/>
      <c r="BD206" s="176"/>
      <c r="BE206" s="176"/>
      <c r="BF206" s="176"/>
      <c r="BG206" s="176"/>
      <c r="BH206" s="176"/>
      <c r="BI206" s="176"/>
      <c r="BJ206" s="176"/>
      <c r="BK206" s="176"/>
      <c r="BL206" s="176"/>
      <c r="BM206" s="176"/>
      <c r="BN206" s="176"/>
      <c r="BO206" s="176"/>
      <c r="BP206" s="176"/>
      <c r="BQ206" s="176"/>
      <c r="BR206" s="176"/>
      <c r="BS206" s="176"/>
      <c r="BT206" s="176"/>
      <c r="BU206" s="176"/>
      <c r="BV206" s="176"/>
      <c r="BW206" s="176"/>
      <c r="BX206" s="176"/>
      <c r="BY206" s="176"/>
      <c r="BZ206" s="176"/>
      <c r="CA206" s="176"/>
      <c r="CB206" s="176"/>
      <c r="CC206" s="162"/>
      <c r="CD206" s="176"/>
      <c r="CE206" s="176"/>
      <c r="CF206" s="176"/>
      <c r="CG206" s="176"/>
      <c r="CH206" s="176"/>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c r="DH206" s="162"/>
      <c r="DI206" s="162"/>
      <c r="DJ206" s="162"/>
      <c r="DK206" s="162"/>
      <c r="DL206" s="162"/>
      <c r="DM206" s="162"/>
      <c r="DN206" s="162"/>
      <c r="DO206" s="162"/>
      <c r="DP206" s="162"/>
      <c r="DQ206" s="162"/>
      <c r="DR206" s="162"/>
      <c r="DS206" s="162"/>
      <c r="DT206" s="162"/>
      <c r="DU206" s="162"/>
      <c r="DV206" s="162"/>
      <c r="DW206" s="162"/>
      <c r="DX206" s="162"/>
      <c r="DY206" s="162"/>
      <c r="DZ206" s="162"/>
      <c r="EA206" s="162"/>
      <c r="EB206" s="162"/>
      <c r="EC206" s="162"/>
      <c r="ED206" s="162"/>
      <c r="EE206" s="162"/>
      <c r="EF206" s="162"/>
      <c r="EG206" s="162"/>
      <c r="EH206" s="162"/>
      <c r="EI206" s="162"/>
      <c r="EJ206" s="162"/>
      <c r="EK206" s="162"/>
      <c r="EL206" s="162"/>
    </row>
    <row r="207" spans="1:142" ht="16">
      <c r="A207" s="1" t="s">
        <v>838</v>
      </c>
      <c r="B207" s="137">
        <v>22109382</v>
      </c>
      <c r="C207" s="161" t="s">
        <v>1625</v>
      </c>
      <c r="D207" s="159">
        <v>44887</v>
      </c>
      <c r="E207" s="137">
        <v>70.3</v>
      </c>
      <c r="F207" s="137">
        <v>7.5</v>
      </c>
      <c r="G207" s="137">
        <v>15.1</v>
      </c>
      <c r="H207" s="137">
        <v>44.7</v>
      </c>
      <c r="I207" s="137">
        <v>39</v>
      </c>
      <c r="J207" s="137">
        <v>2</v>
      </c>
      <c r="K207" s="137">
        <v>0</v>
      </c>
      <c r="L207" s="137">
        <v>1</v>
      </c>
      <c r="M207" s="137">
        <v>0</v>
      </c>
      <c r="N207" s="137"/>
      <c r="O207" s="137"/>
      <c r="P207" s="137">
        <v>2630</v>
      </c>
      <c r="Q207" s="137">
        <v>48</v>
      </c>
      <c r="R207" s="137">
        <v>32</v>
      </c>
      <c r="S207" s="137">
        <v>31</v>
      </c>
      <c r="T207" s="159">
        <v>33591</v>
      </c>
      <c r="U207" s="184"/>
      <c r="V207" s="137"/>
      <c r="W207" s="137"/>
      <c r="X207" s="137"/>
      <c r="Y207" s="137"/>
      <c r="Z207" s="137"/>
      <c r="AA207" s="137"/>
      <c r="AB207" s="137"/>
      <c r="AC207" s="137"/>
      <c r="AD207" s="137"/>
      <c r="AE207" s="137"/>
      <c r="AF207" s="137"/>
      <c r="AG207" s="137"/>
      <c r="AH207" s="137">
        <v>0</v>
      </c>
      <c r="AI207" s="137">
        <v>0</v>
      </c>
      <c r="AJ207" s="137">
        <v>0</v>
      </c>
      <c r="AK207" s="137">
        <v>0</v>
      </c>
      <c r="AL207" s="137">
        <v>0</v>
      </c>
      <c r="AM207" s="137">
        <v>0</v>
      </c>
      <c r="AN207" s="137">
        <v>0</v>
      </c>
      <c r="AO207" s="137">
        <v>0</v>
      </c>
      <c r="AP207" s="137">
        <v>0</v>
      </c>
      <c r="AQ207" s="137">
        <v>0</v>
      </c>
      <c r="AR207" s="137">
        <v>1</v>
      </c>
      <c r="AS207" s="137">
        <v>0</v>
      </c>
      <c r="AT207" s="137">
        <v>0</v>
      </c>
      <c r="AU207" s="137">
        <v>0</v>
      </c>
      <c r="AV207" s="137">
        <v>0</v>
      </c>
      <c r="AW207" s="137">
        <v>0</v>
      </c>
      <c r="AX207" s="137">
        <v>0</v>
      </c>
      <c r="AY207" s="137">
        <v>0</v>
      </c>
      <c r="AZ207" s="137">
        <v>0</v>
      </c>
      <c r="BA207" s="137">
        <v>0</v>
      </c>
      <c r="BB207" s="137">
        <v>0</v>
      </c>
      <c r="BC207" s="137">
        <v>0</v>
      </c>
      <c r="BD207" s="137">
        <v>0</v>
      </c>
      <c r="BE207" s="137">
        <v>0</v>
      </c>
      <c r="BF207" s="137">
        <v>0</v>
      </c>
      <c r="BG207" s="137">
        <v>0</v>
      </c>
      <c r="BH207" s="137">
        <v>0</v>
      </c>
      <c r="BI207" s="137">
        <v>0</v>
      </c>
      <c r="BJ207" s="137">
        <v>0</v>
      </c>
      <c r="BK207" s="137">
        <v>0</v>
      </c>
      <c r="BL207" s="137">
        <v>0</v>
      </c>
      <c r="BM207" s="137">
        <v>0</v>
      </c>
      <c r="BN207" s="137">
        <v>0</v>
      </c>
      <c r="BO207" s="137">
        <v>0</v>
      </c>
      <c r="BP207" s="137">
        <v>0</v>
      </c>
      <c r="BQ207" s="137">
        <v>0</v>
      </c>
      <c r="BR207" s="137">
        <v>0</v>
      </c>
      <c r="BS207" s="137">
        <v>0</v>
      </c>
      <c r="BT207" s="137">
        <v>0</v>
      </c>
      <c r="BU207" s="137">
        <v>0</v>
      </c>
      <c r="BV207" s="137">
        <v>0</v>
      </c>
      <c r="BW207" s="137">
        <v>0</v>
      </c>
      <c r="BX207" s="137">
        <v>0</v>
      </c>
      <c r="BY207" s="137">
        <v>0</v>
      </c>
      <c r="BZ207" s="137">
        <v>0</v>
      </c>
      <c r="CA207" s="137" t="s">
        <v>1887</v>
      </c>
      <c r="CB207" s="137">
        <v>0</v>
      </c>
      <c r="CC207" s="137" t="s">
        <v>947</v>
      </c>
      <c r="CD207" s="137">
        <v>0</v>
      </c>
      <c r="CE207" s="137" t="s">
        <v>1887</v>
      </c>
      <c r="CF207" s="137" t="s">
        <v>2365</v>
      </c>
      <c r="CG207" s="137">
        <v>0</v>
      </c>
      <c r="CH207" s="137">
        <v>0</v>
      </c>
      <c r="CI207" s="137">
        <v>0</v>
      </c>
      <c r="CJ207" s="137">
        <v>0</v>
      </c>
      <c r="CK207" s="137">
        <v>0</v>
      </c>
      <c r="CL207" s="137">
        <v>0</v>
      </c>
      <c r="CM207" s="137">
        <v>0</v>
      </c>
      <c r="CN207" s="137">
        <v>0</v>
      </c>
      <c r="CO207" s="137">
        <v>0</v>
      </c>
      <c r="CP207" s="137">
        <v>0</v>
      </c>
      <c r="CQ207" s="137">
        <v>0</v>
      </c>
      <c r="CR207" s="137">
        <v>0</v>
      </c>
      <c r="CS207" s="137" t="s">
        <v>947</v>
      </c>
      <c r="CT207" s="137" t="s">
        <v>947</v>
      </c>
      <c r="CU207" s="137">
        <v>0</v>
      </c>
      <c r="CV207" s="137" t="s">
        <v>947</v>
      </c>
      <c r="CW207" s="137" t="s">
        <v>947</v>
      </c>
      <c r="CX207" s="137">
        <v>1</v>
      </c>
      <c r="CY207" s="137" t="s">
        <v>1913</v>
      </c>
      <c r="CZ207" s="137">
        <v>2</v>
      </c>
      <c r="DA207" s="137"/>
      <c r="DB207" s="152"/>
    </row>
    <row r="208" spans="1:142" ht="16">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c r="AG208" s="137"/>
      <c r="AH208" s="137"/>
      <c r="AI208" s="137"/>
      <c r="AJ208" s="137"/>
      <c r="AK208" s="137"/>
      <c r="AL208" s="137"/>
      <c r="AM208" s="137"/>
      <c r="AN208" s="137"/>
      <c r="AO208" s="137"/>
      <c r="AP208" s="137"/>
      <c r="AQ208" s="137"/>
      <c r="AR208" s="137"/>
      <c r="AS208" s="137"/>
      <c r="AT208" s="137"/>
      <c r="AU208" s="137"/>
      <c r="AV208" s="137"/>
      <c r="AW208" s="137"/>
      <c r="AX208" s="137"/>
      <c r="AY208" s="137"/>
      <c r="AZ208" s="13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c r="CL208" s="137"/>
      <c r="CM208" s="137"/>
      <c r="CN208" s="137"/>
      <c r="CO208" s="137"/>
      <c r="CP208" s="137"/>
      <c r="CQ208" s="137"/>
      <c r="CR208" s="137"/>
      <c r="CS208" s="137"/>
      <c r="CT208" s="137"/>
      <c r="CU208" s="137"/>
      <c r="CV208" s="137"/>
      <c r="CW208" s="137"/>
      <c r="CX208" s="137"/>
      <c r="CY208" s="137"/>
      <c r="CZ208" s="137"/>
      <c r="DA208" s="137"/>
      <c r="DB208" s="152"/>
    </row>
    <row r="209" spans="2:106" ht="16">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c r="CL209" s="137"/>
      <c r="CM209" s="137"/>
      <c r="CN209" s="137"/>
      <c r="CO209" s="137"/>
      <c r="CP209" s="137"/>
      <c r="CQ209" s="137"/>
      <c r="CR209" s="137"/>
      <c r="CS209" s="137"/>
      <c r="CT209" s="137"/>
      <c r="CU209" s="137"/>
      <c r="CV209" s="137"/>
      <c r="CW209" s="137"/>
      <c r="CX209" s="137"/>
      <c r="CY209" s="137"/>
      <c r="CZ209" s="137"/>
      <c r="DA209" s="137"/>
      <c r="DB209" s="152"/>
    </row>
    <row r="210" spans="2:106" ht="16">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c r="AH210" s="137"/>
      <c r="AI210" s="137"/>
      <c r="AJ210" s="137"/>
      <c r="AK210" s="137"/>
      <c r="AL210" s="137"/>
      <c r="AM210" s="137"/>
      <c r="AN210" s="137"/>
      <c r="AO210" s="137"/>
      <c r="AP210" s="137"/>
      <c r="AQ210" s="137"/>
      <c r="AR210" s="137"/>
      <c r="AS210" s="137"/>
      <c r="AT210" s="137"/>
      <c r="AU210" s="137"/>
      <c r="AV210" s="137"/>
      <c r="AW210" s="137"/>
      <c r="AX210" s="137"/>
      <c r="AY210" s="137"/>
      <c r="AZ210" s="137"/>
      <c r="BA210" s="137"/>
      <c r="BB210" s="137"/>
      <c r="BC210" s="137"/>
      <c r="BD210" s="137"/>
      <c r="BE210" s="137"/>
      <c r="BF210" s="137"/>
      <c r="BG210" s="137"/>
      <c r="BH210" s="137"/>
      <c r="BI210" s="137"/>
      <c r="BJ210" s="137"/>
      <c r="BK210" s="137"/>
      <c r="BL210" s="137"/>
      <c r="BM210" s="137"/>
      <c r="BN210" s="137"/>
      <c r="BO210" s="137"/>
      <c r="BP210" s="137"/>
      <c r="BQ210" s="137"/>
      <c r="BR210" s="137"/>
      <c r="BS210" s="137"/>
      <c r="BT210" s="137"/>
      <c r="BU210" s="137"/>
      <c r="BV210" s="137"/>
      <c r="BW210" s="137"/>
      <c r="BX210" s="137"/>
      <c r="BY210" s="137"/>
      <c r="BZ210" s="137"/>
      <c r="CA210" s="137"/>
      <c r="CB210" s="137"/>
      <c r="CC210" s="137"/>
      <c r="CD210" s="137"/>
      <c r="CE210" s="137"/>
      <c r="CF210" s="137"/>
      <c r="CG210" s="137"/>
      <c r="CH210" s="137"/>
      <c r="CI210" s="137"/>
      <c r="CJ210" s="137"/>
      <c r="CK210" s="137"/>
      <c r="CL210" s="137"/>
      <c r="CM210" s="137"/>
      <c r="CN210" s="137"/>
      <c r="CO210" s="137"/>
      <c r="CP210" s="137"/>
      <c r="CQ210" s="137"/>
      <c r="CR210" s="137"/>
      <c r="CS210" s="137"/>
      <c r="CT210" s="137"/>
      <c r="CU210" s="137"/>
      <c r="CV210" s="137"/>
      <c r="CW210" s="137"/>
      <c r="CX210" s="137"/>
      <c r="CY210" s="137"/>
      <c r="CZ210" s="137"/>
      <c r="DA210" s="137"/>
      <c r="DB210" s="152"/>
    </row>
    <row r="211" spans="2:106" ht="16">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7"/>
      <c r="AH211" s="137"/>
      <c r="AI211" s="137"/>
      <c r="AJ211" s="137"/>
      <c r="AK211" s="137"/>
      <c r="AL211" s="137"/>
      <c r="AM211" s="137"/>
      <c r="AN211" s="137"/>
      <c r="AO211" s="137"/>
      <c r="AP211" s="137"/>
      <c r="AQ211" s="137"/>
      <c r="AR211" s="137"/>
      <c r="AS211" s="137"/>
      <c r="AT211" s="137"/>
      <c r="AU211" s="137"/>
      <c r="AV211" s="137"/>
      <c r="AW211" s="137"/>
      <c r="AX211" s="137"/>
      <c r="AY211" s="137"/>
      <c r="AZ211" s="137"/>
      <c r="BA211" s="137"/>
      <c r="BB211" s="137"/>
      <c r="BC211" s="137"/>
      <c r="BD211" s="137"/>
      <c r="BE211" s="137"/>
      <c r="BF211" s="137"/>
      <c r="BG211" s="137"/>
      <c r="BH211" s="137"/>
      <c r="BI211" s="137"/>
      <c r="BJ211" s="137"/>
      <c r="BK211" s="137"/>
      <c r="BL211" s="137"/>
      <c r="BM211" s="137"/>
      <c r="BN211" s="137"/>
      <c r="BO211" s="137"/>
      <c r="BP211" s="137"/>
      <c r="BQ211" s="137"/>
      <c r="BR211" s="137"/>
      <c r="BS211" s="137"/>
      <c r="BT211" s="137"/>
      <c r="BU211" s="137"/>
      <c r="BV211" s="137"/>
      <c r="BW211" s="137"/>
      <c r="BX211" s="137"/>
      <c r="BY211" s="137"/>
      <c r="BZ211" s="137"/>
      <c r="CA211" s="137"/>
      <c r="CB211" s="137"/>
      <c r="CC211" s="137"/>
      <c r="CD211" s="137"/>
      <c r="CE211" s="137"/>
      <c r="CF211" s="137"/>
      <c r="CG211" s="137"/>
      <c r="CH211" s="137"/>
      <c r="CI211" s="137"/>
      <c r="CJ211" s="137"/>
      <c r="CK211" s="137"/>
      <c r="CL211" s="137"/>
      <c r="CM211" s="137"/>
      <c r="CN211" s="137"/>
      <c r="CO211" s="137"/>
      <c r="CP211" s="137"/>
      <c r="CQ211" s="137"/>
      <c r="CR211" s="137"/>
      <c r="CS211" s="137"/>
      <c r="CT211" s="137"/>
      <c r="CU211" s="137"/>
      <c r="CV211" s="137"/>
      <c r="CW211" s="137"/>
      <c r="CX211" s="137"/>
      <c r="CY211" s="137"/>
      <c r="CZ211" s="137"/>
      <c r="DA211" s="137"/>
      <c r="DB211" s="152"/>
    </row>
    <row r="212" spans="2:106" ht="16">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137"/>
      <c r="AJ212" s="137"/>
      <c r="AK212" s="137"/>
      <c r="AL212" s="137"/>
      <c r="AM212" s="137"/>
      <c r="AN212" s="137"/>
      <c r="AO212" s="137"/>
      <c r="AP212" s="137"/>
      <c r="AQ212" s="137"/>
      <c r="AR212" s="137"/>
      <c r="AS212" s="137"/>
      <c r="AT212" s="137"/>
      <c r="AU212" s="137"/>
      <c r="AV212" s="137"/>
      <c r="AW212" s="137"/>
      <c r="AX212" s="137"/>
      <c r="AY212" s="137"/>
      <c r="AZ212" s="137"/>
      <c r="BA212" s="137"/>
      <c r="BB212" s="137"/>
      <c r="BC212" s="137"/>
      <c r="BD212" s="137"/>
      <c r="BE212" s="137"/>
      <c r="BF212" s="137"/>
      <c r="BG212" s="137"/>
      <c r="BH212" s="137"/>
      <c r="BI212" s="137"/>
      <c r="BJ212" s="137"/>
      <c r="BK212" s="137"/>
      <c r="BL212" s="137"/>
      <c r="BM212" s="137"/>
      <c r="BN212" s="137"/>
      <c r="BO212" s="137"/>
      <c r="BP212" s="137"/>
      <c r="BQ212" s="137"/>
      <c r="BR212" s="137"/>
      <c r="BS212" s="137"/>
      <c r="BT212" s="137"/>
      <c r="BU212" s="137"/>
      <c r="BV212" s="137"/>
      <c r="BW212" s="137"/>
      <c r="BX212" s="137"/>
      <c r="BY212" s="137"/>
      <c r="BZ212" s="137"/>
      <c r="CA212" s="137"/>
      <c r="CB212" s="137"/>
      <c r="CC212" s="137"/>
      <c r="CD212" s="137"/>
      <c r="CE212" s="137"/>
      <c r="CF212" s="137"/>
      <c r="CG212" s="137"/>
      <c r="CH212" s="137"/>
      <c r="CI212" s="137"/>
      <c r="CJ212" s="137"/>
      <c r="CK212" s="137"/>
      <c r="CL212" s="137"/>
      <c r="CM212" s="137"/>
      <c r="CN212" s="137"/>
      <c r="CO212" s="137"/>
      <c r="CP212" s="137"/>
      <c r="CQ212" s="137"/>
      <c r="CR212" s="137"/>
      <c r="CS212" s="137"/>
      <c r="CT212" s="137"/>
      <c r="CU212" s="137"/>
      <c r="CV212" s="137"/>
      <c r="CW212" s="137"/>
      <c r="CX212" s="137"/>
      <c r="CY212" s="137"/>
      <c r="CZ212" s="137"/>
      <c r="DA212" s="137"/>
      <c r="DB212" s="152"/>
    </row>
    <row r="213" spans="2:106" ht="16">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c r="AG213" s="137"/>
      <c r="AH213" s="137"/>
      <c r="AI213" s="137"/>
      <c r="AJ213" s="137"/>
      <c r="AK213" s="137"/>
      <c r="AL213" s="137"/>
      <c r="AM213" s="137"/>
      <c r="AN213" s="137"/>
      <c r="AO213" s="137"/>
      <c r="AP213" s="137"/>
      <c r="AQ213" s="137"/>
      <c r="AR213" s="137"/>
      <c r="AS213" s="137"/>
      <c r="AT213" s="137"/>
      <c r="AU213" s="137"/>
      <c r="AV213" s="137"/>
      <c r="AW213" s="137"/>
      <c r="AX213" s="137"/>
      <c r="AY213" s="137"/>
      <c r="AZ213" s="137"/>
      <c r="BA213" s="137"/>
      <c r="BB213" s="137"/>
      <c r="BC213" s="137"/>
      <c r="BD213" s="137"/>
      <c r="BE213" s="137"/>
      <c r="BF213" s="137"/>
      <c r="BG213" s="137"/>
      <c r="BH213" s="137"/>
      <c r="BI213" s="137"/>
      <c r="BJ213" s="137"/>
      <c r="BK213" s="137"/>
      <c r="BL213" s="137"/>
      <c r="BM213" s="137"/>
      <c r="BN213" s="137"/>
      <c r="BO213" s="137"/>
      <c r="BP213" s="137"/>
      <c r="BQ213" s="137"/>
      <c r="BR213" s="137"/>
      <c r="BS213" s="137"/>
      <c r="BT213" s="137"/>
      <c r="BU213" s="137"/>
      <c r="BV213" s="137"/>
      <c r="BW213" s="137"/>
      <c r="BX213" s="137"/>
      <c r="BY213" s="137"/>
      <c r="BZ213" s="137"/>
      <c r="CA213" s="137"/>
      <c r="CB213" s="137"/>
      <c r="CC213" s="137"/>
      <c r="CD213" s="137"/>
      <c r="CE213" s="137"/>
      <c r="CF213" s="137"/>
      <c r="CG213" s="137"/>
      <c r="CH213" s="137"/>
      <c r="CI213" s="137"/>
      <c r="CJ213" s="137"/>
      <c r="CK213" s="137"/>
      <c r="CL213" s="137"/>
      <c r="CM213" s="137"/>
      <c r="CN213" s="137"/>
      <c r="CO213" s="137"/>
      <c r="CP213" s="137"/>
      <c r="CQ213" s="137"/>
      <c r="CR213" s="137"/>
      <c r="CS213" s="137"/>
      <c r="CT213" s="137"/>
      <c r="CU213" s="137"/>
      <c r="CV213" s="137"/>
      <c r="CW213" s="137"/>
      <c r="CX213" s="137"/>
      <c r="CY213" s="137"/>
      <c r="CZ213" s="137"/>
      <c r="DA213" s="137"/>
      <c r="DB213" s="152"/>
    </row>
    <row r="214" spans="2:106" ht="16">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137"/>
      <c r="AJ214" s="137"/>
      <c r="AK214" s="137"/>
      <c r="AL214" s="137"/>
      <c r="AM214" s="137"/>
      <c r="AN214" s="137"/>
      <c r="AO214" s="137"/>
      <c r="AP214" s="137"/>
      <c r="AQ214" s="137"/>
      <c r="AR214" s="137"/>
      <c r="AS214" s="137"/>
      <c r="AT214" s="137"/>
      <c r="AU214" s="137"/>
      <c r="AV214" s="137"/>
      <c r="AW214" s="137"/>
      <c r="AX214" s="137"/>
      <c r="AY214" s="137"/>
      <c r="AZ214" s="137"/>
      <c r="BA214" s="137"/>
      <c r="BB214" s="137"/>
      <c r="BC214" s="137"/>
      <c r="BD214" s="137"/>
      <c r="BE214" s="137"/>
      <c r="BF214" s="137"/>
      <c r="BG214" s="137"/>
      <c r="BH214" s="137"/>
      <c r="BI214" s="137"/>
      <c r="BJ214" s="137"/>
      <c r="BK214" s="137"/>
      <c r="BL214" s="137"/>
      <c r="BM214" s="137"/>
      <c r="BN214" s="137"/>
      <c r="BO214" s="137"/>
      <c r="BP214" s="137"/>
      <c r="BQ214" s="137"/>
      <c r="BR214" s="137"/>
      <c r="BS214" s="137"/>
      <c r="BT214" s="137"/>
      <c r="BU214" s="137"/>
      <c r="BV214" s="137"/>
      <c r="BW214" s="137"/>
      <c r="BX214" s="137"/>
      <c r="BY214" s="137"/>
      <c r="BZ214" s="137"/>
      <c r="CA214" s="137"/>
      <c r="CB214" s="137"/>
      <c r="CC214" s="137"/>
      <c r="CD214" s="137"/>
      <c r="CE214" s="137"/>
      <c r="CF214" s="137"/>
      <c r="CG214" s="137"/>
      <c r="CH214" s="137"/>
      <c r="CI214" s="137"/>
      <c r="CJ214" s="137"/>
      <c r="CK214" s="137"/>
      <c r="CL214" s="137"/>
      <c r="CM214" s="137"/>
      <c r="CN214" s="137"/>
      <c r="CO214" s="137"/>
      <c r="CP214" s="137"/>
      <c r="CQ214" s="137"/>
      <c r="CR214" s="137"/>
      <c r="CS214" s="137"/>
      <c r="CT214" s="137"/>
      <c r="CU214" s="137"/>
      <c r="CV214" s="137"/>
      <c r="CW214" s="137"/>
      <c r="CX214" s="137"/>
      <c r="CY214" s="137"/>
      <c r="CZ214" s="137"/>
      <c r="DA214" s="137"/>
      <c r="DB214" s="152"/>
    </row>
    <row r="215" spans="2:106" ht="16">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137"/>
      <c r="AJ215" s="137"/>
      <c r="AK215" s="137"/>
      <c r="AL215" s="137"/>
      <c r="AM215" s="137"/>
      <c r="AN215" s="137"/>
      <c r="AO215" s="137"/>
      <c r="AP215" s="137"/>
      <c r="AQ215" s="137"/>
      <c r="AR215" s="137"/>
      <c r="AS215" s="137"/>
      <c r="AT215" s="137"/>
      <c r="AU215" s="137"/>
      <c r="AV215" s="137"/>
      <c r="AW215" s="137"/>
      <c r="AX215" s="137"/>
      <c r="AY215" s="137"/>
      <c r="AZ215" s="137"/>
      <c r="BA215" s="137"/>
      <c r="BB215" s="137"/>
      <c r="BC215" s="137"/>
      <c r="BD215" s="137"/>
      <c r="BE215" s="137"/>
      <c r="BF215" s="137"/>
      <c r="BG215" s="137"/>
      <c r="BH215" s="137"/>
      <c r="BI215" s="137"/>
      <c r="BJ215" s="137"/>
      <c r="BK215" s="137"/>
      <c r="BL215" s="137"/>
      <c r="BM215" s="137"/>
      <c r="BN215" s="137"/>
      <c r="BO215" s="137"/>
      <c r="BP215" s="137"/>
      <c r="BQ215" s="137"/>
      <c r="BR215" s="137"/>
      <c r="BS215" s="137"/>
      <c r="BT215" s="137"/>
      <c r="BU215" s="137"/>
      <c r="BV215" s="137"/>
      <c r="BW215" s="137"/>
      <c r="BX215" s="137"/>
      <c r="BY215" s="137"/>
      <c r="BZ215" s="137"/>
      <c r="CA215" s="137"/>
      <c r="CB215" s="137"/>
      <c r="CC215" s="137"/>
      <c r="CD215" s="137"/>
      <c r="CE215" s="137"/>
      <c r="CF215" s="137"/>
      <c r="CG215" s="137"/>
      <c r="CH215" s="137"/>
      <c r="CI215" s="137"/>
      <c r="CJ215" s="137"/>
      <c r="CK215" s="137"/>
      <c r="CL215" s="137"/>
      <c r="CM215" s="137"/>
      <c r="CN215" s="137"/>
      <c r="CO215" s="137"/>
      <c r="CP215" s="137"/>
      <c r="CQ215" s="137"/>
      <c r="CR215" s="137"/>
      <c r="CS215" s="137"/>
      <c r="CT215" s="137"/>
      <c r="CU215" s="137"/>
      <c r="CV215" s="137"/>
      <c r="CW215" s="137"/>
      <c r="CX215" s="137"/>
      <c r="CY215" s="137"/>
      <c r="CZ215" s="137"/>
      <c r="DA215" s="137"/>
      <c r="DB215" s="152"/>
    </row>
    <row r="216" spans="2:106" ht="16">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c r="AH216" s="137"/>
      <c r="AI216" s="137"/>
      <c r="AJ216" s="137"/>
      <c r="AK216" s="137"/>
      <c r="AL216" s="137"/>
      <c r="AM216" s="137"/>
      <c r="AN216" s="137"/>
      <c r="AO216" s="137"/>
      <c r="AP216" s="137"/>
      <c r="AQ216" s="137"/>
      <c r="AR216" s="137"/>
      <c r="AS216" s="137"/>
      <c r="AT216" s="137"/>
      <c r="AU216" s="137"/>
      <c r="AV216" s="137"/>
      <c r="AW216" s="137"/>
      <c r="AX216" s="137"/>
      <c r="AY216" s="137"/>
      <c r="AZ216" s="137"/>
      <c r="BA216" s="137"/>
      <c r="BB216" s="137"/>
      <c r="BC216" s="137"/>
      <c r="BD216" s="137"/>
      <c r="BE216" s="137"/>
      <c r="BF216" s="137"/>
      <c r="BG216" s="137"/>
      <c r="BH216" s="137"/>
      <c r="BI216" s="137"/>
      <c r="BJ216" s="137"/>
      <c r="BK216" s="137"/>
      <c r="BL216" s="137"/>
      <c r="BM216" s="137"/>
      <c r="BN216" s="137"/>
      <c r="BO216" s="137"/>
      <c r="BP216" s="137"/>
      <c r="BQ216" s="137"/>
      <c r="BR216" s="137"/>
      <c r="BS216" s="137"/>
      <c r="BT216" s="137"/>
      <c r="BU216" s="137"/>
      <c r="BV216" s="137"/>
      <c r="BW216" s="137"/>
      <c r="BX216" s="137"/>
      <c r="BY216" s="137"/>
      <c r="BZ216" s="137"/>
      <c r="CA216" s="137"/>
      <c r="CB216" s="137"/>
      <c r="CC216" s="137"/>
      <c r="CD216" s="137"/>
      <c r="CE216" s="137"/>
      <c r="CF216" s="137"/>
      <c r="CG216" s="137"/>
      <c r="CH216" s="137"/>
      <c r="CI216" s="137"/>
      <c r="CJ216" s="137"/>
      <c r="CK216" s="137"/>
      <c r="CL216" s="137"/>
      <c r="CM216" s="137"/>
      <c r="CN216" s="137"/>
      <c r="CO216" s="137"/>
      <c r="CP216" s="137"/>
      <c r="CQ216" s="137"/>
      <c r="CR216" s="137"/>
      <c r="CS216" s="137"/>
      <c r="CT216" s="137"/>
      <c r="CU216" s="137"/>
      <c r="CV216" s="137"/>
      <c r="CW216" s="137"/>
      <c r="CX216" s="137"/>
      <c r="CY216" s="137"/>
      <c r="CZ216" s="137"/>
      <c r="DA216" s="137"/>
      <c r="DB216" s="152"/>
    </row>
    <row r="217" spans="2:106" ht="16">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c r="AH217" s="137"/>
      <c r="AI217" s="137"/>
      <c r="AJ217" s="137"/>
      <c r="AK217" s="137"/>
      <c r="AL217" s="137"/>
      <c r="AM217" s="137"/>
      <c r="AN217" s="137"/>
      <c r="AO217" s="137"/>
      <c r="AP217" s="137"/>
      <c r="AQ217" s="137"/>
      <c r="AR217" s="137"/>
      <c r="AS217" s="137"/>
      <c r="AT217" s="137"/>
      <c r="AU217" s="137"/>
      <c r="AV217" s="137"/>
      <c r="AW217" s="137"/>
      <c r="AX217" s="137"/>
      <c r="AY217" s="137"/>
      <c r="AZ217" s="137"/>
      <c r="BA217" s="137"/>
      <c r="BB217" s="137"/>
      <c r="BC217" s="137"/>
      <c r="BD217" s="137"/>
      <c r="BE217" s="137"/>
      <c r="BF217" s="137"/>
      <c r="BG217" s="137"/>
      <c r="BH217" s="137"/>
      <c r="BI217" s="137"/>
      <c r="BJ217" s="137"/>
      <c r="BK217" s="137"/>
      <c r="BL217" s="137"/>
      <c r="BM217" s="137"/>
      <c r="BN217" s="137"/>
      <c r="BO217" s="137"/>
      <c r="BP217" s="137"/>
      <c r="BQ217" s="137"/>
      <c r="BR217" s="137"/>
      <c r="BS217" s="137"/>
      <c r="BT217" s="137"/>
      <c r="BU217" s="137"/>
      <c r="BV217" s="137"/>
      <c r="BW217" s="137"/>
      <c r="BX217" s="137"/>
      <c r="BY217" s="137"/>
      <c r="BZ217" s="137"/>
      <c r="CA217" s="137"/>
      <c r="CB217" s="137"/>
      <c r="CC217" s="137"/>
      <c r="CD217" s="137"/>
      <c r="CE217" s="137"/>
      <c r="CF217" s="137"/>
      <c r="CG217" s="137"/>
      <c r="CH217" s="137"/>
      <c r="CI217" s="137"/>
      <c r="CJ217" s="137"/>
      <c r="CK217" s="137"/>
      <c r="CL217" s="137"/>
      <c r="CM217" s="137"/>
      <c r="CN217" s="137"/>
      <c r="CO217" s="137"/>
      <c r="CP217" s="137"/>
      <c r="CQ217" s="137"/>
      <c r="CR217" s="137"/>
      <c r="CS217" s="137"/>
      <c r="CT217" s="137"/>
      <c r="CU217" s="137"/>
      <c r="CV217" s="137"/>
      <c r="CW217" s="137"/>
      <c r="CX217" s="137"/>
      <c r="CY217" s="137"/>
      <c r="CZ217" s="137"/>
      <c r="DA217" s="137"/>
      <c r="DB217" s="152"/>
    </row>
    <row r="218" spans="2:106" ht="16">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c r="AH218" s="137"/>
      <c r="AI218" s="137"/>
      <c r="AJ218" s="137"/>
      <c r="AK218" s="137"/>
      <c r="AL218" s="137"/>
      <c r="AM218" s="137"/>
      <c r="AN218" s="137"/>
      <c r="AO218" s="137"/>
      <c r="AP218" s="137"/>
      <c r="AQ218" s="137"/>
      <c r="AR218" s="137"/>
      <c r="AS218" s="137"/>
      <c r="AT218" s="137"/>
      <c r="AU218" s="137"/>
      <c r="AV218" s="137"/>
      <c r="AW218" s="137"/>
      <c r="AX218" s="137"/>
      <c r="AY218" s="137"/>
      <c r="AZ218" s="137"/>
      <c r="BA218" s="137"/>
      <c r="BB218" s="137"/>
      <c r="BC218" s="137"/>
      <c r="BD218" s="137"/>
      <c r="BE218" s="137"/>
      <c r="BF218" s="137"/>
      <c r="BG218" s="137"/>
      <c r="BH218" s="137"/>
      <c r="BI218" s="137"/>
      <c r="BJ218" s="137"/>
      <c r="BK218" s="137"/>
      <c r="BL218" s="137"/>
      <c r="BM218" s="137"/>
      <c r="BN218" s="137"/>
      <c r="BO218" s="137"/>
      <c r="BP218" s="137"/>
      <c r="BQ218" s="137"/>
      <c r="BR218" s="137"/>
      <c r="BS218" s="137"/>
      <c r="BT218" s="137"/>
      <c r="BU218" s="137"/>
      <c r="BV218" s="137"/>
      <c r="BW218" s="137"/>
      <c r="BX218" s="137"/>
      <c r="BY218" s="137"/>
      <c r="BZ218" s="137"/>
      <c r="CA218" s="137"/>
      <c r="CB218" s="137"/>
      <c r="CC218" s="137"/>
      <c r="CD218" s="137"/>
      <c r="CE218" s="137"/>
      <c r="CF218" s="137"/>
      <c r="CG218" s="137"/>
      <c r="CH218" s="137"/>
      <c r="CI218" s="137"/>
      <c r="CJ218" s="137"/>
      <c r="CK218" s="137"/>
      <c r="CL218" s="137"/>
      <c r="CM218" s="137"/>
      <c r="CN218" s="137"/>
      <c r="CO218" s="137"/>
      <c r="CP218" s="137"/>
      <c r="CQ218" s="137"/>
      <c r="CR218" s="137"/>
      <c r="CS218" s="137"/>
      <c r="CT218" s="137"/>
      <c r="CU218" s="137"/>
      <c r="CV218" s="137"/>
      <c r="CW218" s="137"/>
      <c r="CX218" s="137"/>
      <c r="CY218" s="137"/>
      <c r="CZ218" s="137"/>
      <c r="DA218" s="137"/>
      <c r="DB218" s="152"/>
    </row>
    <row r="219" spans="2:106" ht="16">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c r="AH219" s="137"/>
      <c r="AI219" s="137"/>
      <c r="AJ219" s="137"/>
      <c r="AK219" s="137"/>
      <c r="AL219" s="137"/>
      <c r="AM219" s="137"/>
      <c r="AN219" s="137"/>
      <c r="AO219" s="137"/>
      <c r="AP219" s="137"/>
      <c r="AQ219" s="137"/>
      <c r="AR219" s="137"/>
      <c r="AS219" s="137"/>
      <c r="AT219" s="137"/>
      <c r="AU219" s="137"/>
      <c r="AV219" s="137"/>
      <c r="AW219" s="137"/>
      <c r="AX219" s="137"/>
      <c r="AY219" s="137"/>
      <c r="AZ219" s="137"/>
      <c r="BA219" s="137"/>
      <c r="BB219" s="137"/>
      <c r="BC219" s="137"/>
      <c r="BD219" s="137"/>
      <c r="BE219" s="137"/>
      <c r="BF219" s="137"/>
      <c r="BG219" s="137"/>
      <c r="BH219" s="137"/>
      <c r="BI219" s="137"/>
      <c r="BJ219" s="137"/>
      <c r="BK219" s="137"/>
      <c r="BL219" s="137"/>
      <c r="BM219" s="137"/>
      <c r="BN219" s="137"/>
      <c r="BO219" s="137"/>
      <c r="BP219" s="137"/>
      <c r="BQ219" s="137"/>
      <c r="BR219" s="137"/>
      <c r="BS219" s="137"/>
      <c r="BT219" s="137"/>
      <c r="BU219" s="137"/>
      <c r="BV219" s="137"/>
      <c r="BW219" s="137"/>
      <c r="BX219" s="137"/>
      <c r="BY219" s="137"/>
      <c r="BZ219" s="137"/>
      <c r="CA219" s="137"/>
      <c r="CB219" s="137"/>
      <c r="CC219" s="137"/>
      <c r="CD219" s="137"/>
      <c r="CE219" s="137"/>
      <c r="CF219" s="137"/>
      <c r="CG219" s="137"/>
      <c r="CH219" s="137"/>
      <c r="CI219" s="137"/>
      <c r="CJ219" s="137"/>
      <c r="CK219" s="137"/>
      <c r="CL219" s="137"/>
      <c r="CM219" s="137"/>
      <c r="CN219" s="137"/>
      <c r="CO219" s="137"/>
      <c r="CP219" s="137"/>
      <c r="CQ219" s="137"/>
      <c r="CR219" s="137"/>
      <c r="CS219" s="137"/>
      <c r="CT219" s="137"/>
      <c r="CU219" s="137"/>
      <c r="CV219" s="137"/>
      <c r="CW219" s="137"/>
      <c r="CX219" s="137"/>
      <c r="CY219" s="137"/>
      <c r="CZ219" s="137"/>
      <c r="DA219" s="137"/>
      <c r="DB219" s="152"/>
    </row>
    <row r="220" spans="2:106" ht="16">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c r="AG220" s="137"/>
      <c r="AH220" s="137"/>
      <c r="AI220" s="137"/>
      <c r="AJ220" s="137"/>
      <c r="AK220" s="137"/>
      <c r="AL220" s="137"/>
      <c r="AM220" s="137"/>
      <c r="AN220" s="137"/>
      <c r="AO220" s="137"/>
      <c r="AP220" s="137"/>
      <c r="AQ220" s="137"/>
      <c r="AR220" s="137"/>
      <c r="AS220" s="137"/>
      <c r="AT220" s="137"/>
      <c r="AU220" s="137"/>
      <c r="AV220" s="137"/>
      <c r="AW220" s="137"/>
      <c r="AX220" s="137"/>
      <c r="AY220" s="137"/>
      <c r="AZ220" s="137"/>
      <c r="BA220" s="137"/>
      <c r="BB220" s="137"/>
      <c r="BC220" s="137"/>
      <c r="BD220" s="137"/>
      <c r="BE220" s="137"/>
      <c r="BF220" s="137"/>
      <c r="BG220" s="137"/>
      <c r="BH220" s="137"/>
      <c r="BI220" s="137"/>
      <c r="BJ220" s="137"/>
      <c r="BK220" s="137"/>
      <c r="BL220" s="137"/>
      <c r="BM220" s="137"/>
      <c r="BN220" s="137"/>
      <c r="BO220" s="137"/>
      <c r="BP220" s="137"/>
      <c r="BQ220" s="137"/>
      <c r="BR220" s="137"/>
      <c r="BS220" s="137"/>
      <c r="BT220" s="137"/>
      <c r="BU220" s="137"/>
      <c r="BV220" s="137"/>
      <c r="BW220" s="137"/>
      <c r="BX220" s="137"/>
      <c r="BY220" s="137"/>
      <c r="BZ220" s="137"/>
      <c r="CA220" s="137"/>
      <c r="CB220" s="137"/>
      <c r="CC220" s="137"/>
      <c r="CD220" s="137"/>
      <c r="CE220" s="137"/>
      <c r="CF220" s="137"/>
      <c r="CG220" s="137"/>
      <c r="CH220" s="137"/>
      <c r="CI220" s="137"/>
      <c r="CJ220" s="137"/>
      <c r="CK220" s="137"/>
      <c r="CL220" s="137"/>
      <c r="CM220" s="137"/>
      <c r="CN220" s="137"/>
      <c r="CO220" s="137"/>
      <c r="CP220" s="137"/>
      <c r="CQ220" s="137"/>
      <c r="CR220" s="137"/>
      <c r="CS220" s="137"/>
      <c r="CT220" s="137"/>
      <c r="CU220" s="137"/>
      <c r="CV220" s="137"/>
      <c r="CW220" s="137"/>
      <c r="CX220" s="137"/>
      <c r="CY220" s="137"/>
      <c r="CZ220" s="137"/>
      <c r="DA220" s="137"/>
      <c r="DB220" s="152"/>
    </row>
    <row r="221" spans="2:106" ht="16">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c r="AG221" s="137"/>
      <c r="AH221" s="137"/>
      <c r="AI221" s="137"/>
      <c r="AJ221" s="137"/>
      <c r="AK221" s="137"/>
      <c r="AL221" s="137"/>
      <c r="AM221" s="137"/>
      <c r="AN221" s="137"/>
      <c r="AO221" s="137"/>
      <c r="AP221" s="137"/>
      <c r="AQ221" s="137"/>
      <c r="AR221" s="137"/>
      <c r="AS221" s="137"/>
      <c r="AT221" s="137"/>
      <c r="AU221" s="137"/>
      <c r="AV221" s="137"/>
      <c r="AW221" s="137"/>
      <c r="AX221" s="137"/>
      <c r="AY221" s="137"/>
      <c r="AZ221" s="137"/>
      <c r="BA221" s="137"/>
      <c r="BB221" s="137"/>
      <c r="BC221" s="137"/>
      <c r="BD221" s="137"/>
      <c r="BE221" s="137"/>
      <c r="BF221" s="137"/>
      <c r="BG221" s="137"/>
      <c r="BH221" s="137"/>
      <c r="BI221" s="137"/>
      <c r="BJ221" s="137"/>
      <c r="BK221" s="137"/>
      <c r="BL221" s="137"/>
      <c r="BM221" s="137"/>
      <c r="BN221" s="137"/>
      <c r="BO221" s="137"/>
      <c r="BP221" s="137"/>
      <c r="BQ221" s="137"/>
      <c r="BR221" s="137"/>
      <c r="BS221" s="137"/>
      <c r="BT221" s="137"/>
      <c r="BU221" s="137"/>
      <c r="BV221" s="137"/>
      <c r="BW221" s="137"/>
      <c r="BX221" s="137"/>
      <c r="BY221" s="137"/>
      <c r="BZ221" s="137"/>
      <c r="CA221" s="137"/>
      <c r="CB221" s="137"/>
      <c r="CC221" s="137"/>
      <c r="CD221" s="137"/>
      <c r="CE221" s="137"/>
      <c r="CF221" s="137"/>
      <c r="CG221" s="137"/>
      <c r="CH221" s="137"/>
      <c r="CI221" s="137"/>
      <c r="CJ221" s="137"/>
      <c r="CK221" s="137"/>
      <c r="CL221" s="137"/>
      <c r="CM221" s="137"/>
      <c r="CN221" s="137"/>
      <c r="CO221" s="137"/>
      <c r="CP221" s="137"/>
      <c r="CQ221" s="137"/>
      <c r="CR221" s="137"/>
      <c r="CS221" s="137"/>
      <c r="CT221" s="137"/>
      <c r="CU221" s="137"/>
      <c r="CV221" s="137"/>
      <c r="CW221" s="137"/>
      <c r="CX221" s="137"/>
      <c r="CY221" s="137"/>
      <c r="CZ221" s="137"/>
      <c r="DA221" s="137"/>
      <c r="DB221" s="152"/>
    </row>
    <row r="222" spans="2:106" ht="16">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c r="AG222" s="137"/>
      <c r="AH222" s="137"/>
      <c r="AI222" s="137"/>
      <c r="AJ222" s="137"/>
      <c r="AK222" s="137"/>
      <c r="AL222" s="137"/>
      <c r="AM222" s="137"/>
      <c r="AN222" s="137"/>
      <c r="AO222" s="137"/>
      <c r="AP222" s="137"/>
      <c r="AQ222" s="137"/>
      <c r="AR222" s="137"/>
      <c r="AS222" s="137"/>
      <c r="AT222" s="137"/>
      <c r="AU222" s="137"/>
      <c r="AV222" s="137"/>
      <c r="AW222" s="137"/>
      <c r="AX222" s="137"/>
      <c r="AY222" s="137"/>
      <c r="AZ222" s="13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c r="CL222" s="137"/>
      <c r="CM222" s="137"/>
      <c r="CN222" s="137"/>
      <c r="CO222" s="137"/>
      <c r="CP222" s="137"/>
      <c r="CQ222" s="137"/>
      <c r="CR222" s="137"/>
      <c r="CS222" s="137"/>
      <c r="CT222" s="137"/>
      <c r="CU222" s="137"/>
      <c r="CV222" s="137"/>
      <c r="CW222" s="137"/>
      <c r="CX222" s="137"/>
      <c r="CY222" s="137"/>
      <c r="CZ222" s="137"/>
      <c r="DA222" s="137"/>
      <c r="DB222" s="152"/>
    </row>
    <row r="223" spans="2:106" ht="16">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c r="AG223" s="137"/>
      <c r="AH223" s="137"/>
      <c r="AI223" s="137"/>
      <c r="AJ223" s="137"/>
      <c r="AK223" s="137"/>
      <c r="AL223" s="137"/>
      <c r="AM223" s="137"/>
      <c r="AN223" s="137"/>
      <c r="AO223" s="137"/>
      <c r="AP223" s="137"/>
      <c r="AQ223" s="137"/>
      <c r="AR223" s="137"/>
      <c r="AS223" s="137"/>
      <c r="AT223" s="137"/>
      <c r="AU223" s="137"/>
      <c r="AV223" s="137"/>
      <c r="AW223" s="137"/>
      <c r="AX223" s="137"/>
      <c r="AY223" s="137"/>
      <c r="AZ223" s="137"/>
      <c r="BA223" s="137"/>
      <c r="BB223" s="137"/>
      <c r="BC223" s="137"/>
      <c r="BD223" s="137"/>
      <c r="BE223" s="137"/>
      <c r="BF223" s="137"/>
      <c r="BG223" s="137"/>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c r="CL223" s="137"/>
      <c r="CM223" s="137"/>
      <c r="CN223" s="137"/>
      <c r="CO223" s="137"/>
      <c r="CP223" s="137"/>
      <c r="CQ223" s="137"/>
      <c r="CR223" s="137"/>
      <c r="CS223" s="137"/>
      <c r="CT223" s="137"/>
      <c r="CU223" s="137"/>
      <c r="CV223" s="137"/>
      <c r="CW223" s="137"/>
      <c r="CX223" s="137"/>
      <c r="CY223" s="137"/>
      <c r="CZ223" s="137"/>
      <c r="DA223" s="137"/>
      <c r="DB223" s="152"/>
    </row>
    <row r="224" spans="2:106" ht="16">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7"/>
      <c r="AH224" s="137"/>
      <c r="AI224" s="137"/>
      <c r="AJ224" s="137"/>
      <c r="AK224" s="137"/>
      <c r="AL224" s="137"/>
      <c r="AM224" s="137"/>
      <c r="AN224" s="137"/>
      <c r="AO224" s="137"/>
      <c r="AP224" s="137"/>
      <c r="AQ224" s="137"/>
      <c r="AR224" s="137"/>
      <c r="AS224" s="137"/>
      <c r="AT224" s="137"/>
      <c r="AU224" s="137"/>
      <c r="AV224" s="137"/>
      <c r="AW224" s="137"/>
      <c r="AX224" s="137"/>
      <c r="AY224" s="137"/>
      <c r="AZ224" s="137"/>
      <c r="BA224" s="137"/>
      <c r="BB224" s="137"/>
      <c r="BC224" s="137"/>
      <c r="BD224" s="137"/>
      <c r="BE224" s="137"/>
      <c r="BF224" s="137"/>
      <c r="BG224" s="137"/>
      <c r="BH224" s="137"/>
      <c r="BI224" s="137"/>
      <c r="BJ224" s="137"/>
      <c r="BK224" s="137"/>
      <c r="BL224" s="137"/>
      <c r="BM224" s="137"/>
      <c r="BN224" s="137"/>
      <c r="BO224" s="137"/>
      <c r="BP224" s="137"/>
      <c r="BQ224" s="137"/>
      <c r="BR224" s="137"/>
      <c r="BS224" s="137"/>
      <c r="BT224" s="137"/>
      <c r="BU224" s="137"/>
      <c r="BV224" s="137"/>
      <c r="BW224" s="137"/>
      <c r="BX224" s="137"/>
      <c r="BY224" s="137"/>
      <c r="BZ224" s="137"/>
      <c r="CA224" s="137"/>
      <c r="CB224" s="137"/>
      <c r="CC224" s="137"/>
      <c r="CD224" s="137"/>
      <c r="CE224" s="137"/>
      <c r="CF224" s="137"/>
      <c r="CG224" s="137"/>
      <c r="CH224" s="137"/>
      <c r="CI224" s="137"/>
      <c r="CJ224" s="137"/>
      <c r="CK224" s="137"/>
      <c r="CL224" s="137"/>
      <c r="CM224" s="137"/>
      <c r="CN224" s="137"/>
      <c r="CO224" s="137"/>
      <c r="CP224" s="137"/>
      <c r="CQ224" s="137"/>
      <c r="CR224" s="137"/>
      <c r="CS224" s="137"/>
      <c r="CT224" s="137"/>
      <c r="CU224" s="137"/>
      <c r="CV224" s="137"/>
      <c r="CW224" s="137"/>
      <c r="CX224" s="137"/>
      <c r="CY224" s="137"/>
      <c r="CZ224" s="137"/>
      <c r="DA224" s="137"/>
      <c r="DB224" s="152"/>
    </row>
    <row r="225" spans="2:106" ht="16">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c r="AG225" s="137"/>
      <c r="AH225" s="137"/>
      <c r="AI225" s="137"/>
      <c r="AJ225" s="137"/>
      <c r="AK225" s="137"/>
      <c r="AL225" s="137"/>
      <c r="AM225" s="137"/>
      <c r="AN225" s="137"/>
      <c r="AO225" s="137"/>
      <c r="AP225" s="137"/>
      <c r="AQ225" s="137"/>
      <c r="AR225" s="137"/>
      <c r="AS225" s="137"/>
      <c r="AT225" s="137"/>
      <c r="AU225" s="137"/>
      <c r="AV225" s="137"/>
      <c r="AW225" s="137"/>
      <c r="AX225" s="137"/>
      <c r="AY225" s="137"/>
      <c r="AZ225" s="13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c r="CL225" s="137"/>
      <c r="CM225" s="137"/>
      <c r="CN225" s="137"/>
      <c r="CO225" s="137"/>
      <c r="CP225" s="137"/>
      <c r="CQ225" s="137"/>
      <c r="CR225" s="137"/>
      <c r="CS225" s="137"/>
      <c r="CT225" s="137"/>
      <c r="CU225" s="137"/>
      <c r="CV225" s="137"/>
      <c r="CW225" s="137"/>
      <c r="CX225" s="137"/>
      <c r="CY225" s="137"/>
      <c r="CZ225" s="137"/>
      <c r="DA225" s="137"/>
      <c r="DB225" s="152"/>
    </row>
    <row r="226" spans="2:106" ht="16">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c r="AG226" s="137"/>
      <c r="AH226" s="137"/>
      <c r="AI226" s="137"/>
      <c r="AJ226" s="137"/>
      <c r="AK226" s="137"/>
      <c r="AL226" s="137"/>
      <c r="AM226" s="137"/>
      <c r="AN226" s="137"/>
      <c r="AO226" s="137"/>
      <c r="AP226" s="137"/>
      <c r="AQ226" s="137"/>
      <c r="AR226" s="137"/>
      <c r="AS226" s="137"/>
      <c r="AT226" s="137"/>
      <c r="AU226" s="137"/>
      <c r="AV226" s="137"/>
      <c r="AW226" s="137"/>
      <c r="AX226" s="137"/>
      <c r="AY226" s="137"/>
      <c r="AZ226" s="137"/>
      <c r="BA226" s="137"/>
      <c r="BB226" s="137"/>
      <c r="BC226" s="137"/>
      <c r="BD226" s="137"/>
      <c r="BE226" s="137"/>
      <c r="BF226" s="137"/>
      <c r="BG226" s="137"/>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c r="CL226" s="137"/>
      <c r="CM226" s="137"/>
      <c r="CN226" s="137"/>
      <c r="CO226" s="137"/>
      <c r="CP226" s="137"/>
      <c r="CQ226" s="137"/>
      <c r="CR226" s="137"/>
      <c r="CS226" s="137"/>
      <c r="CT226" s="137"/>
      <c r="CU226" s="137"/>
      <c r="CV226" s="137"/>
      <c r="CW226" s="137"/>
      <c r="CX226" s="137"/>
      <c r="CY226" s="137"/>
      <c r="CZ226" s="137"/>
      <c r="DA226" s="137"/>
      <c r="DB226" s="152"/>
    </row>
    <row r="227" spans="2:106" ht="16">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c r="AG227" s="137"/>
      <c r="AH227" s="137"/>
      <c r="AI227" s="137"/>
      <c r="AJ227" s="137"/>
      <c r="AK227" s="137"/>
      <c r="AL227" s="137"/>
      <c r="AM227" s="137"/>
      <c r="AN227" s="137"/>
      <c r="AO227" s="137"/>
      <c r="AP227" s="137"/>
      <c r="AQ227" s="137"/>
      <c r="AR227" s="137"/>
      <c r="AS227" s="137"/>
      <c r="AT227" s="137"/>
      <c r="AU227" s="137"/>
      <c r="AV227" s="137"/>
      <c r="AW227" s="137"/>
      <c r="AX227" s="137"/>
      <c r="AY227" s="137"/>
      <c r="AZ227" s="137"/>
      <c r="BA227" s="137"/>
      <c r="BB227" s="137"/>
      <c r="BC227" s="137"/>
      <c r="BD227" s="137"/>
      <c r="BE227" s="137"/>
      <c r="BF227" s="137"/>
      <c r="BG227" s="137"/>
      <c r="BH227" s="137"/>
      <c r="BI227" s="137"/>
      <c r="BJ227" s="137"/>
      <c r="BK227" s="137"/>
      <c r="BL227" s="137"/>
      <c r="BM227" s="137"/>
      <c r="BN227" s="137"/>
      <c r="BO227" s="137"/>
      <c r="BP227" s="137"/>
      <c r="BQ227" s="137"/>
      <c r="BR227" s="137"/>
      <c r="BS227" s="137"/>
      <c r="BT227" s="137"/>
      <c r="BU227" s="137"/>
      <c r="BV227" s="137"/>
      <c r="BW227" s="137"/>
      <c r="BX227" s="137"/>
      <c r="BY227" s="137"/>
      <c r="BZ227" s="137"/>
      <c r="CA227" s="137"/>
      <c r="CB227" s="137"/>
      <c r="CC227" s="137"/>
      <c r="CD227" s="137"/>
      <c r="CE227" s="137"/>
      <c r="CF227" s="137"/>
      <c r="CG227" s="137"/>
      <c r="CH227" s="137"/>
      <c r="CI227" s="137"/>
      <c r="CJ227" s="137"/>
      <c r="CK227" s="137"/>
      <c r="CL227" s="137"/>
      <c r="CM227" s="137"/>
      <c r="CN227" s="137"/>
      <c r="CO227" s="137"/>
      <c r="CP227" s="137"/>
      <c r="CQ227" s="137"/>
      <c r="CR227" s="137"/>
      <c r="CS227" s="137"/>
      <c r="CT227" s="137"/>
      <c r="CU227" s="137"/>
      <c r="CV227" s="137"/>
      <c r="CW227" s="137"/>
      <c r="CX227" s="137"/>
      <c r="CY227" s="137"/>
      <c r="CZ227" s="137"/>
      <c r="DA227" s="137"/>
      <c r="DB227" s="152"/>
    </row>
    <row r="228" spans="2:106" ht="16">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7"/>
      <c r="AH228" s="137"/>
      <c r="AI228" s="137"/>
      <c r="AJ228" s="137"/>
      <c r="AK228" s="137"/>
      <c r="AL228" s="137"/>
      <c r="AM228" s="137"/>
      <c r="AN228" s="137"/>
      <c r="AO228" s="137"/>
      <c r="AP228" s="137"/>
      <c r="AQ228" s="137"/>
      <c r="AR228" s="137"/>
      <c r="AS228" s="137"/>
      <c r="AT228" s="137"/>
      <c r="AU228" s="137"/>
      <c r="AV228" s="137"/>
      <c r="AW228" s="137"/>
      <c r="AX228" s="137"/>
      <c r="AY228" s="137"/>
      <c r="AZ228" s="137"/>
      <c r="BA228" s="137"/>
      <c r="BB228" s="137"/>
      <c r="BC228" s="137"/>
      <c r="BD228" s="137"/>
      <c r="BE228" s="137"/>
      <c r="BF228" s="137"/>
      <c r="BG228" s="137"/>
      <c r="BH228" s="137"/>
      <c r="BI228" s="137"/>
      <c r="BJ228" s="137"/>
      <c r="BK228" s="137"/>
      <c r="BL228" s="137"/>
      <c r="BM228" s="137"/>
      <c r="BN228" s="137"/>
      <c r="BO228" s="137"/>
      <c r="BP228" s="137"/>
      <c r="BQ228" s="137"/>
      <c r="BR228" s="137"/>
      <c r="BS228" s="137"/>
      <c r="BT228" s="137"/>
      <c r="BU228" s="137"/>
      <c r="BV228" s="137"/>
      <c r="BW228" s="137"/>
      <c r="BX228" s="137"/>
      <c r="BY228" s="137"/>
      <c r="BZ228" s="137"/>
      <c r="CA228" s="137"/>
      <c r="CB228" s="137"/>
      <c r="CC228" s="137"/>
      <c r="CD228" s="137"/>
      <c r="CE228" s="137"/>
      <c r="CF228" s="137"/>
      <c r="CG228" s="137"/>
      <c r="CH228" s="137"/>
      <c r="CI228" s="137"/>
      <c r="CJ228" s="137"/>
      <c r="CK228" s="137"/>
      <c r="CL228" s="137"/>
      <c r="CM228" s="137"/>
      <c r="CN228" s="137"/>
      <c r="CO228" s="137"/>
      <c r="CP228" s="137"/>
      <c r="CQ228" s="137"/>
      <c r="CR228" s="137"/>
      <c r="CS228" s="137"/>
      <c r="CT228" s="137"/>
      <c r="CU228" s="137"/>
      <c r="CV228" s="137"/>
      <c r="CW228" s="137"/>
      <c r="CX228" s="137"/>
      <c r="CY228" s="137"/>
      <c r="CZ228" s="137"/>
      <c r="DA228" s="137"/>
      <c r="DB228" s="152"/>
    </row>
    <row r="229" spans="2:106" ht="16">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c r="AH229" s="137"/>
      <c r="AI229" s="137"/>
      <c r="AJ229" s="137"/>
      <c r="AK229" s="137"/>
      <c r="AL229" s="137"/>
      <c r="AM229" s="137"/>
      <c r="AN229" s="137"/>
      <c r="AO229" s="137"/>
      <c r="AP229" s="137"/>
      <c r="AQ229" s="137"/>
      <c r="AR229" s="137"/>
      <c r="AS229" s="137"/>
      <c r="AT229" s="137"/>
      <c r="AU229" s="137"/>
      <c r="AV229" s="137"/>
      <c r="AW229" s="137"/>
      <c r="AX229" s="137"/>
      <c r="AY229" s="137"/>
      <c r="AZ229" s="137"/>
      <c r="BA229" s="137"/>
      <c r="BB229" s="137"/>
      <c r="BC229" s="137"/>
      <c r="BD229" s="137"/>
      <c r="BE229" s="137"/>
      <c r="BF229" s="137"/>
      <c r="BG229" s="137"/>
      <c r="BH229" s="137"/>
      <c r="BI229" s="137"/>
      <c r="BJ229" s="137"/>
      <c r="BK229" s="137"/>
      <c r="BL229" s="137"/>
      <c r="BM229" s="137"/>
      <c r="BN229" s="137"/>
      <c r="BO229" s="137"/>
      <c r="BP229" s="137"/>
      <c r="BQ229" s="137"/>
      <c r="BR229" s="137"/>
      <c r="BS229" s="137"/>
      <c r="BT229" s="137"/>
      <c r="BU229" s="137"/>
      <c r="BV229" s="137"/>
      <c r="BW229" s="137"/>
      <c r="BX229" s="137"/>
      <c r="BY229" s="137"/>
      <c r="BZ229" s="137"/>
      <c r="CA229" s="137"/>
      <c r="CB229" s="137"/>
      <c r="CC229" s="137"/>
      <c r="CD229" s="137"/>
      <c r="CE229" s="137"/>
      <c r="CF229" s="137"/>
      <c r="CG229" s="137"/>
      <c r="CH229" s="137"/>
      <c r="CI229" s="137"/>
      <c r="CJ229" s="137"/>
      <c r="CK229" s="137"/>
      <c r="CL229" s="137"/>
      <c r="CM229" s="137"/>
      <c r="CN229" s="137"/>
      <c r="CO229" s="137"/>
      <c r="CP229" s="137"/>
      <c r="CQ229" s="137"/>
      <c r="CR229" s="137"/>
      <c r="CS229" s="137"/>
      <c r="CT229" s="137"/>
      <c r="CU229" s="137"/>
      <c r="CV229" s="137"/>
      <c r="CW229" s="137"/>
      <c r="CX229" s="137"/>
      <c r="CY229" s="137"/>
      <c r="CZ229" s="137"/>
      <c r="DA229" s="137"/>
      <c r="DB229" s="152"/>
    </row>
    <row r="230" spans="2:106" ht="16">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c r="AH230" s="137"/>
      <c r="AI230" s="137"/>
      <c r="AJ230" s="137"/>
      <c r="AK230" s="137"/>
      <c r="AL230" s="137"/>
      <c r="AM230" s="137"/>
      <c r="AN230" s="137"/>
      <c r="AO230" s="137"/>
      <c r="AP230" s="137"/>
      <c r="AQ230" s="137"/>
      <c r="AR230" s="137"/>
      <c r="AS230" s="137"/>
      <c r="AT230" s="137"/>
      <c r="AU230" s="137"/>
      <c r="AV230" s="137"/>
      <c r="AW230" s="137"/>
      <c r="AX230" s="137"/>
      <c r="AY230" s="137"/>
      <c r="AZ230" s="137"/>
      <c r="BA230" s="137"/>
      <c r="BB230" s="137"/>
      <c r="BC230" s="137"/>
      <c r="BD230" s="137"/>
      <c r="BE230" s="137"/>
      <c r="BF230" s="137"/>
      <c r="BG230" s="137"/>
      <c r="BH230" s="137"/>
      <c r="BI230" s="137"/>
      <c r="BJ230" s="137"/>
      <c r="BK230" s="137"/>
      <c r="BL230" s="137"/>
      <c r="BM230" s="137"/>
      <c r="BN230" s="137"/>
      <c r="BO230" s="137"/>
      <c r="BP230" s="137"/>
      <c r="BQ230" s="137"/>
      <c r="BR230" s="137"/>
      <c r="BS230" s="137"/>
      <c r="BT230" s="137"/>
      <c r="BU230" s="137"/>
      <c r="BV230" s="137"/>
      <c r="BW230" s="137"/>
      <c r="BX230" s="137"/>
      <c r="BY230" s="137"/>
      <c r="BZ230" s="137"/>
      <c r="CA230" s="137"/>
      <c r="CB230" s="137"/>
      <c r="CC230" s="137"/>
      <c r="CD230" s="137"/>
      <c r="CE230" s="137"/>
      <c r="CF230" s="137"/>
      <c r="CG230" s="137"/>
      <c r="CH230" s="137"/>
      <c r="CI230" s="137"/>
      <c r="CJ230" s="137"/>
      <c r="CK230" s="137"/>
      <c r="CL230" s="137"/>
      <c r="CM230" s="137"/>
      <c r="CN230" s="137"/>
      <c r="CO230" s="137"/>
      <c r="CP230" s="137"/>
      <c r="CQ230" s="137"/>
      <c r="CR230" s="137"/>
      <c r="CS230" s="137"/>
      <c r="CT230" s="137"/>
      <c r="CU230" s="137"/>
      <c r="CV230" s="137"/>
      <c r="CW230" s="137"/>
      <c r="CX230" s="137"/>
      <c r="CY230" s="137"/>
      <c r="CZ230" s="137"/>
      <c r="DA230" s="137"/>
      <c r="DB230" s="152"/>
    </row>
    <row r="231" spans="2:106" ht="16">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c r="AH231" s="137"/>
      <c r="AI231" s="137"/>
      <c r="AJ231" s="137"/>
      <c r="AK231" s="137"/>
      <c r="AL231" s="137"/>
      <c r="AM231" s="137"/>
      <c r="AN231" s="137"/>
      <c r="AO231" s="137"/>
      <c r="AP231" s="137"/>
      <c r="AQ231" s="137"/>
      <c r="AR231" s="137"/>
      <c r="AS231" s="137"/>
      <c r="AT231" s="137"/>
      <c r="AU231" s="137"/>
      <c r="AV231" s="137"/>
      <c r="AW231" s="137"/>
      <c r="AX231" s="137"/>
      <c r="AY231" s="137"/>
      <c r="AZ231" s="137"/>
      <c r="BA231" s="137"/>
      <c r="BB231" s="137"/>
      <c r="BC231" s="137"/>
      <c r="BD231" s="137"/>
      <c r="BE231" s="137"/>
      <c r="BF231" s="137"/>
      <c r="BG231" s="137"/>
      <c r="BH231" s="137"/>
      <c r="BI231" s="137"/>
      <c r="BJ231" s="137"/>
      <c r="BK231" s="137"/>
      <c r="BL231" s="137"/>
      <c r="BM231" s="137"/>
      <c r="BN231" s="137"/>
      <c r="BO231" s="137"/>
      <c r="BP231" s="137"/>
      <c r="BQ231" s="137"/>
      <c r="BR231" s="137"/>
      <c r="BS231" s="137"/>
      <c r="BT231" s="137"/>
      <c r="BU231" s="137"/>
      <c r="BV231" s="137"/>
      <c r="BW231" s="137"/>
      <c r="BX231" s="137"/>
      <c r="BY231" s="137"/>
      <c r="BZ231" s="137"/>
      <c r="CA231" s="137"/>
      <c r="CB231" s="137"/>
      <c r="CC231" s="137"/>
      <c r="CD231" s="137"/>
      <c r="CE231" s="137"/>
      <c r="CF231" s="137"/>
      <c r="CG231" s="137"/>
      <c r="CH231" s="137"/>
      <c r="CI231" s="137"/>
      <c r="CJ231" s="137"/>
      <c r="CK231" s="137"/>
      <c r="CL231" s="137"/>
      <c r="CM231" s="137"/>
      <c r="CN231" s="137"/>
      <c r="CO231" s="137"/>
      <c r="CP231" s="137"/>
      <c r="CQ231" s="137"/>
      <c r="CR231" s="137"/>
      <c r="CS231" s="137"/>
      <c r="CT231" s="137"/>
      <c r="CU231" s="137"/>
      <c r="CV231" s="137"/>
      <c r="CW231" s="137"/>
      <c r="CX231" s="137"/>
      <c r="CY231" s="137"/>
      <c r="CZ231" s="137"/>
      <c r="DA231" s="137"/>
      <c r="DB231" s="152"/>
    </row>
  </sheetData>
  <autoFilter ref="A1:EL1" xr:uid="{00000000-0009-0000-0000-000006000000}"/>
  <phoneticPr fontId="3" type="noConversion"/>
  <pageMargins left="0.7" right="0.7" top="0.75" bottom="0.75" header="0.3" footer="0.3"/>
  <pageSetup paperSize="9" orientation="portrait" horizontalDpi="0" verticalDpi="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07"/>
  <sheetViews>
    <sheetView zoomScale="90" zoomScaleNormal="90" workbookViewId="0">
      <pane xSplit="9" ySplit="1" topLeftCell="X2" activePane="bottomRight" state="frozen"/>
      <selection pane="topRight" activeCell="I1" sqref="I1"/>
      <selection pane="bottomLeft" activeCell="A2" sqref="A2"/>
      <selection pane="bottomRight" activeCell="O32" sqref="O32"/>
    </sheetView>
  </sheetViews>
  <sheetFormatPr baseColWidth="10" defaultColWidth="11.5" defaultRowHeight="15"/>
  <cols>
    <col min="1" max="1" width="15.6640625" style="15" bestFit="1" customWidth="1"/>
    <col min="2" max="2" width="15" style="15" hidden="1" customWidth="1"/>
    <col min="3" max="3" width="16.33203125" style="15" hidden="1" customWidth="1"/>
    <col min="4" max="4" width="15.5" style="15" hidden="1" customWidth="1"/>
    <col min="5" max="6" width="12.1640625" style="15" hidden="1" customWidth="1"/>
    <col min="7" max="7" width="10.33203125" style="15" hidden="1" customWidth="1"/>
    <col min="8" max="8" width="14.1640625" style="15" hidden="1" customWidth="1"/>
    <col min="9" max="9" width="13.6640625" style="15" hidden="1" customWidth="1"/>
    <col min="10" max="10" width="12.6640625" style="15" bestFit="1" customWidth="1"/>
    <col min="11" max="11" width="16.5" style="15" bestFit="1" customWidth="1"/>
    <col min="12" max="12" width="15.6640625" style="84" bestFit="1" customWidth="1"/>
    <col min="13" max="13" width="17.6640625" style="15" bestFit="1" customWidth="1"/>
    <col min="14" max="14" width="17.6640625" style="15" customWidth="1"/>
    <col min="15" max="15" width="12.5" style="15" bestFit="1" customWidth="1"/>
    <col min="16" max="16" width="18.6640625" style="15" bestFit="1" customWidth="1"/>
    <col min="17" max="17" width="14.6640625" style="15" bestFit="1" customWidth="1"/>
    <col min="18" max="18" width="13" style="15" bestFit="1" customWidth="1"/>
    <col min="19" max="20" width="19.1640625" style="15" bestFit="1" customWidth="1"/>
    <col min="21" max="21" width="15" style="15" bestFit="1" customWidth="1"/>
    <col min="22" max="22" width="23.5" style="15" bestFit="1" customWidth="1"/>
    <col min="23" max="23" width="21.6640625" style="15" bestFit="1" customWidth="1"/>
    <col min="24" max="24" width="20.6640625" style="15" bestFit="1" customWidth="1"/>
    <col min="25" max="25" width="19" style="15" bestFit="1" customWidth="1"/>
    <col min="26" max="26" width="20.6640625" style="15" bestFit="1" customWidth="1"/>
    <col min="27" max="27" width="14.1640625" style="15" bestFit="1" customWidth="1"/>
    <col min="28" max="28" width="20.6640625" style="15" bestFit="1" customWidth="1"/>
    <col min="29" max="29" width="16.33203125" style="15" bestFit="1" customWidth="1"/>
    <col min="30" max="30" width="15.6640625" style="15" bestFit="1" customWidth="1"/>
    <col min="31" max="31" width="28.1640625" style="15" bestFit="1" customWidth="1"/>
    <col min="32" max="32" width="15.6640625" style="15" bestFit="1" customWidth="1"/>
    <col min="33" max="33" width="28" style="15" bestFit="1" customWidth="1"/>
    <col min="34" max="35" width="15.6640625" style="15" bestFit="1" customWidth="1"/>
    <col min="36" max="36" width="17.1640625" style="15" bestFit="1" customWidth="1"/>
    <col min="37" max="37" width="17.1640625" style="15" customWidth="1"/>
    <col min="38" max="38" width="17" style="15" bestFit="1" customWidth="1"/>
    <col min="39" max="39" width="16.33203125" style="15" bestFit="1" customWidth="1"/>
    <col min="40" max="40" width="11.6640625" style="15" bestFit="1" customWidth="1"/>
    <col min="41" max="41" width="18" style="15" bestFit="1" customWidth="1"/>
    <col min="42" max="42" width="16.6640625" style="15" bestFit="1" customWidth="1"/>
    <col min="43" max="43" width="16.33203125" style="15" bestFit="1" customWidth="1"/>
    <col min="44" max="44" width="16.6640625" style="15" bestFit="1" customWidth="1"/>
    <col min="45" max="46" width="17.1640625" style="15" bestFit="1" customWidth="1"/>
    <col min="47" max="47" width="18.6640625" style="15" bestFit="1" customWidth="1"/>
    <col min="48" max="48" width="18.6640625" style="15" customWidth="1"/>
    <col min="49" max="49" width="13.1640625" style="15" bestFit="1" customWidth="1"/>
    <col min="50" max="51" width="17.1640625" style="15" bestFit="1" customWidth="1"/>
    <col min="52" max="52" width="18.6640625" style="15" bestFit="1" customWidth="1"/>
    <col min="53" max="53" width="18.6640625" style="15" customWidth="1"/>
    <col min="54" max="54" width="13.1640625" style="15" bestFit="1" customWidth="1"/>
    <col min="55" max="56" width="15.6640625" style="15" bestFit="1" customWidth="1"/>
    <col min="57" max="57" width="17" style="15" bestFit="1" customWidth="1"/>
    <col min="58" max="58" width="17" style="15" customWidth="1"/>
    <col min="59" max="59" width="13.33203125" style="15" bestFit="1" customWidth="1"/>
    <col min="60" max="60" width="26.1640625" style="15" bestFit="1" customWidth="1"/>
  </cols>
  <sheetData>
    <row r="1" spans="1:60" ht="16">
      <c r="A1" s="2" t="s">
        <v>1992</v>
      </c>
      <c r="B1" s="2" t="s">
        <v>1</v>
      </c>
      <c r="C1" s="2" t="s">
        <v>2</v>
      </c>
      <c r="D1" s="2" t="s">
        <v>5</v>
      </c>
      <c r="E1" s="2" t="s">
        <v>6</v>
      </c>
      <c r="F1" s="2" t="s">
        <v>2459</v>
      </c>
      <c r="G1" s="2" t="s">
        <v>12</v>
      </c>
      <c r="H1" s="55" t="s">
        <v>7</v>
      </c>
      <c r="I1" s="55" t="s">
        <v>8</v>
      </c>
      <c r="J1" s="2" t="s">
        <v>845</v>
      </c>
      <c r="K1" s="2" t="s">
        <v>1626</v>
      </c>
      <c r="L1" s="2" t="s">
        <v>2447</v>
      </c>
      <c r="M1" s="2" t="s">
        <v>2448</v>
      </c>
      <c r="N1" s="2" t="s">
        <v>2458</v>
      </c>
      <c r="O1" s="2" t="s">
        <v>1627</v>
      </c>
      <c r="P1" s="2" t="s">
        <v>1628</v>
      </c>
      <c r="Q1" s="2" t="s">
        <v>1629</v>
      </c>
      <c r="R1" s="2" t="s">
        <v>1630</v>
      </c>
      <c r="S1" s="2" t="s">
        <v>1631</v>
      </c>
      <c r="T1" s="2" t="s">
        <v>1632</v>
      </c>
      <c r="U1" s="2" t="s">
        <v>1633</v>
      </c>
      <c r="V1" s="2" t="s">
        <v>1634</v>
      </c>
      <c r="W1" s="2" t="s">
        <v>2213</v>
      </c>
      <c r="X1" s="2" t="s">
        <v>1637</v>
      </c>
      <c r="Y1" s="25" t="s">
        <v>1636</v>
      </c>
      <c r="Z1" s="25" t="s">
        <v>1638</v>
      </c>
      <c r="AA1" s="2" t="s">
        <v>1635</v>
      </c>
      <c r="AB1" s="2" t="s">
        <v>1639</v>
      </c>
      <c r="AC1" s="2" t="s">
        <v>1640</v>
      </c>
      <c r="AD1" s="2" t="s">
        <v>2211</v>
      </c>
      <c r="AE1" s="2" t="s">
        <v>1641</v>
      </c>
      <c r="AF1" s="2" t="s">
        <v>2212</v>
      </c>
      <c r="AG1" s="2" t="s">
        <v>1642</v>
      </c>
      <c r="AH1" s="2" t="s">
        <v>1643</v>
      </c>
      <c r="AI1" s="2" t="s">
        <v>2449</v>
      </c>
      <c r="AJ1" s="2" t="s">
        <v>2450</v>
      </c>
      <c r="AK1" s="2" t="s">
        <v>2458</v>
      </c>
      <c r="AL1" s="25" t="s">
        <v>1644</v>
      </c>
      <c r="AM1" s="25" t="s">
        <v>1647</v>
      </c>
      <c r="AN1" s="2" t="s">
        <v>1645</v>
      </c>
      <c r="AO1" s="2" t="s">
        <v>1648</v>
      </c>
      <c r="AP1" s="2" t="s">
        <v>1646</v>
      </c>
      <c r="AQ1" s="2" t="s">
        <v>1649</v>
      </c>
      <c r="AR1" s="2" t="s">
        <v>1650</v>
      </c>
      <c r="AS1" s="2" t="s">
        <v>1651</v>
      </c>
      <c r="AT1" s="2" t="s">
        <v>2451</v>
      </c>
      <c r="AU1" s="2" t="s">
        <v>2452</v>
      </c>
      <c r="AV1" s="2" t="s">
        <v>2458</v>
      </c>
      <c r="AW1" s="2" t="s">
        <v>1652</v>
      </c>
      <c r="AX1" s="2" t="s">
        <v>2417</v>
      </c>
      <c r="AY1" s="2" t="s">
        <v>2453</v>
      </c>
      <c r="AZ1" s="2" t="s">
        <v>2454</v>
      </c>
      <c r="BA1" s="2" t="s">
        <v>2458</v>
      </c>
      <c r="BB1" s="2" t="s">
        <v>1653</v>
      </c>
      <c r="BC1" s="2" t="s">
        <v>1654</v>
      </c>
      <c r="BD1" s="2" t="s">
        <v>2455</v>
      </c>
      <c r="BE1" s="2" t="s">
        <v>2456</v>
      </c>
      <c r="BF1" s="2" t="s">
        <v>2458</v>
      </c>
      <c r="BG1" s="2" t="s">
        <v>1655</v>
      </c>
      <c r="BH1" s="2" t="s">
        <v>1656</v>
      </c>
    </row>
    <row r="2" spans="1:60" s="110" customFormat="1" ht="16">
      <c r="A2" s="17" t="s">
        <v>15</v>
      </c>
      <c r="B2" s="17">
        <v>22104031</v>
      </c>
      <c r="C2" s="17" t="s">
        <v>16</v>
      </c>
      <c r="D2" s="40">
        <v>43970</v>
      </c>
      <c r="E2" s="40">
        <v>43974</v>
      </c>
      <c r="F2" s="40">
        <v>43970</v>
      </c>
      <c r="G2" s="17" t="s">
        <v>19</v>
      </c>
      <c r="H2" s="75">
        <v>44127</v>
      </c>
      <c r="I2" s="75">
        <v>44339</v>
      </c>
      <c r="J2" s="40">
        <v>44432</v>
      </c>
      <c r="K2" s="17" t="s">
        <v>1657</v>
      </c>
      <c r="L2" s="21" t="e">
        <f t="shared" ref="L2:L65" si="0">DATEDIF(D2,K2,"y")&amp;"Y"&amp;DATEDIF(D2,K2,"ym")&amp;"M"&amp;DATEDIF(D2,K2,"md")&amp;"D"</f>
        <v>#VALUE!</v>
      </c>
      <c r="M2" s="21" t="e">
        <f t="shared" ref="M2:M65" si="1">DATEDIF(E2,K2,"y")&amp;"Y"&amp;DATEDIF(E2,K2,"ym")&amp;"M"&amp;DATEDIF(E2,K2,"md")&amp;"D"</f>
        <v>#VALUE!</v>
      </c>
      <c r="N2" s="17" t="e">
        <f t="shared" ref="N2:N65" si="2">(K2-F2)/365</f>
        <v>#VALUE!</v>
      </c>
      <c r="O2" s="17"/>
      <c r="P2" s="17"/>
      <c r="Q2" s="17"/>
      <c r="R2" s="17"/>
      <c r="S2" s="17"/>
      <c r="T2" s="17"/>
      <c r="U2" s="17"/>
      <c r="V2" s="17"/>
      <c r="W2" s="17"/>
      <c r="X2" s="17"/>
      <c r="Y2" s="17"/>
      <c r="Z2" s="17"/>
      <c r="AA2" s="17"/>
      <c r="AB2" s="17"/>
      <c r="AC2" s="17"/>
      <c r="AD2" s="17"/>
      <c r="AE2" s="17"/>
      <c r="AF2" s="17"/>
      <c r="AG2" s="17"/>
      <c r="AH2" s="40">
        <v>44160</v>
      </c>
      <c r="AI2" s="21" t="str">
        <f t="shared" ref="AI2:AI65" si="3">DATEDIF(D2,AH2,"y")&amp;"Y"&amp;DATEDIF(D2,AH2,"ym")&amp;"M"&amp;DATEDIF(D2,AH2,"md")&amp;"D"</f>
        <v>0Y6M6D</v>
      </c>
      <c r="AJ2" s="21" t="str">
        <f t="shared" ref="AJ2:AJ65" si="4">DATEDIF(E2,AH2,"y")&amp;"Y"&amp;DATEDIF(E2,AH2,"ym")&amp;"M"&amp;DATEDIF(E2,AH2,"md")&amp;"D"</f>
        <v>0Y6M2D</v>
      </c>
      <c r="AK2" s="21">
        <f t="shared" ref="AK2:AK65" si="5">(AH2-F2)/365</f>
        <v>0.52054794520547942</v>
      </c>
      <c r="AL2" s="17">
        <v>1</v>
      </c>
      <c r="AM2" s="17">
        <v>1</v>
      </c>
      <c r="AN2" s="17">
        <v>1</v>
      </c>
      <c r="AO2" s="17">
        <v>1</v>
      </c>
      <c r="AP2" s="17">
        <v>1</v>
      </c>
      <c r="AQ2" s="17"/>
      <c r="AR2" s="17" t="s">
        <v>1658</v>
      </c>
      <c r="AS2" s="40">
        <v>44159</v>
      </c>
      <c r="AT2" s="21" t="str">
        <f t="shared" ref="AT2:AT65" si="6">DATEDIF(D2,AS2,"y")&amp;"Y"&amp;DATEDIF(D2,AS2,"ym")&amp;"M"&amp;DATEDIF(D2,AS2,"md")&amp;"D"</f>
        <v>0Y6M5D</v>
      </c>
      <c r="AU2" s="21" t="str">
        <f t="shared" ref="AU2:AU65" si="7">DATEDIF(E2,AS2,"y")&amp;"Y"&amp;DATEDIF(E2,AS2,"ym")&amp;"M"&amp;DATEDIF(E2,AS2,"md")&amp;"D"</f>
        <v>0Y6M1D</v>
      </c>
      <c r="AV2" s="21">
        <f t="shared" ref="AV2:AV65" si="8">(AS2-F2)/365</f>
        <v>0.51780821917808217</v>
      </c>
      <c r="AW2" s="17">
        <v>1</v>
      </c>
      <c r="AX2" s="17"/>
      <c r="AY2" s="21" t="e">
        <f t="shared" ref="AY2:AY65" si="9">DATEDIF(D2,AX2,"y")&amp;"Y"&amp;DATEDIF(D2,AX2,"ym")&amp;"M"&amp;DATEDIF(D2,AX2,"md")&amp;"D"</f>
        <v>#NUM!</v>
      </c>
      <c r="AZ2" s="21" t="e">
        <f t="shared" ref="AZ2:AZ65" si="10">DATEDIF(E2,AX2,"y")&amp;"Y"&amp;DATEDIF(E2,AX2,"ym")&amp;"M"&amp;DATEDIF(E2,AX2,"md")&amp;"D"</f>
        <v>#NUM!</v>
      </c>
      <c r="BA2" s="21">
        <f t="shared" ref="BA2:BA65" si="11">(AX2-F2)/365</f>
        <v>-120.46575342465754</v>
      </c>
      <c r="BB2" s="17"/>
      <c r="BC2" s="40">
        <v>44160</v>
      </c>
      <c r="BD2" s="21" t="str">
        <f t="shared" ref="BD2:BD65" si="12">DATEDIF(D2,BC2,"y")&amp;"Y"&amp;DATEDIF(D2,BC2,"ym")&amp;"M"&amp;DATEDIF(D2,BC2,"md")&amp;"D"</f>
        <v>0Y6M6D</v>
      </c>
      <c r="BE2" s="21" t="str">
        <f t="shared" ref="BE2:BE65" si="13">DATEDIF(E2,BC2,"y")&amp;"Y"&amp;DATEDIF(E2,BC2,"ym")&amp;"M"&amp;DATEDIF(E2,BC2,"md")&amp;"D"</f>
        <v>0Y6M2D</v>
      </c>
      <c r="BF2" s="21">
        <f t="shared" ref="BF2:BF65" si="14">(BC2-F2)/365</f>
        <v>0.52054794520547942</v>
      </c>
      <c r="BG2" s="17">
        <v>1</v>
      </c>
      <c r="BH2" s="17">
        <v>0</v>
      </c>
    </row>
    <row r="3" spans="1:60" ht="16">
      <c r="A3" s="2" t="s">
        <v>21</v>
      </c>
      <c r="B3" s="2">
        <v>22103764</v>
      </c>
      <c r="C3" s="76" t="s">
        <v>1659</v>
      </c>
      <c r="D3" s="23">
        <v>43941</v>
      </c>
      <c r="E3" s="23">
        <v>43955</v>
      </c>
      <c r="F3" s="23">
        <v>43941</v>
      </c>
      <c r="G3" s="2" t="s">
        <v>24</v>
      </c>
      <c r="H3" s="55">
        <v>44108</v>
      </c>
      <c r="I3" s="55">
        <v>44320</v>
      </c>
      <c r="J3" s="23">
        <v>44529</v>
      </c>
      <c r="K3" s="23">
        <v>44140</v>
      </c>
      <c r="L3" s="3" t="str">
        <f t="shared" si="0"/>
        <v>0Y6M16D</v>
      </c>
      <c r="M3" s="3" t="str">
        <f t="shared" si="1"/>
        <v>0Y6M1D</v>
      </c>
      <c r="N3" s="3">
        <f t="shared" si="2"/>
        <v>0.54520547945205478</v>
      </c>
      <c r="O3" s="2">
        <v>1</v>
      </c>
      <c r="P3" s="2">
        <v>2</v>
      </c>
      <c r="Q3" s="2" t="s">
        <v>1660</v>
      </c>
      <c r="R3" s="2">
        <v>1</v>
      </c>
      <c r="S3" s="2">
        <v>1</v>
      </c>
      <c r="T3" s="2">
        <v>1</v>
      </c>
      <c r="U3" s="2"/>
      <c r="V3" s="2" t="s">
        <v>1661</v>
      </c>
      <c r="W3" s="2">
        <v>1</v>
      </c>
      <c r="X3" s="2">
        <v>1</v>
      </c>
      <c r="Y3" s="2">
        <v>1</v>
      </c>
      <c r="Z3" s="2">
        <v>1</v>
      </c>
      <c r="AA3" s="2">
        <v>1</v>
      </c>
      <c r="AB3" s="2">
        <v>1</v>
      </c>
      <c r="AC3" s="2"/>
      <c r="AD3" s="2">
        <v>1</v>
      </c>
      <c r="AE3" s="2">
        <v>1</v>
      </c>
      <c r="AF3" s="2">
        <v>1</v>
      </c>
      <c r="AG3" s="2">
        <v>1</v>
      </c>
      <c r="AH3" s="23">
        <v>44132</v>
      </c>
      <c r="AI3" s="3" t="str">
        <f t="shared" si="3"/>
        <v>0Y6M8D</v>
      </c>
      <c r="AJ3" s="3" t="str">
        <f t="shared" si="4"/>
        <v>0Y5M24D</v>
      </c>
      <c r="AK3" s="3">
        <f t="shared" si="5"/>
        <v>0.52328767123287667</v>
      </c>
      <c r="AL3" s="2">
        <v>1</v>
      </c>
      <c r="AM3" s="2">
        <v>1</v>
      </c>
      <c r="AN3" s="2">
        <v>1</v>
      </c>
      <c r="AO3" s="2">
        <v>1</v>
      </c>
      <c r="AP3" s="2">
        <v>1</v>
      </c>
      <c r="AQ3" s="2">
        <v>1</v>
      </c>
      <c r="AR3" s="2" t="s">
        <v>1662</v>
      </c>
      <c r="AS3" s="23">
        <v>44131</v>
      </c>
      <c r="AT3" s="3" t="str">
        <f t="shared" si="6"/>
        <v>0Y6M7D</v>
      </c>
      <c r="AU3" s="3" t="str">
        <f t="shared" si="7"/>
        <v>0Y5M23D</v>
      </c>
      <c r="AV3" s="3">
        <f t="shared" si="8"/>
        <v>0.52054794520547942</v>
      </c>
      <c r="AW3" s="2">
        <v>1</v>
      </c>
      <c r="AX3" s="23">
        <v>44132</v>
      </c>
      <c r="AY3" s="3" t="str">
        <f t="shared" si="9"/>
        <v>0Y6M8D</v>
      </c>
      <c r="AZ3" s="3" t="str">
        <f t="shared" si="10"/>
        <v>0Y5M24D</v>
      </c>
      <c r="BA3" s="3">
        <f t="shared" si="11"/>
        <v>0.52328767123287667</v>
      </c>
      <c r="BB3" s="2">
        <v>1</v>
      </c>
      <c r="BC3" s="23">
        <v>44132</v>
      </c>
      <c r="BD3" s="3" t="str">
        <f t="shared" si="12"/>
        <v>0Y6M8D</v>
      </c>
      <c r="BE3" s="3" t="str">
        <f t="shared" si="13"/>
        <v>0Y5M24D</v>
      </c>
      <c r="BF3" s="3">
        <f t="shared" si="14"/>
        <v>0.52328767123287667</v>
      </c>
      <c r="BG3" s="2">
        <v>1</v>
      </c>
      <c r="BH3" s="2">
        <v>1</v>
      </c>
    </row>
    <row r="4" spans="1:60" ht="16">
      <c r="A4" s="2" t="s">
        <v>26</v>
      </c>
      <c r="B4" s="2">
        <v>22103833</v>
      </c>
      <c r="C4" s="2" t="s">
        <v>27</v>
      </c>
      <c r="D4" s="23">
        <v>43948</v>
      </c>
      <c r="E4" s="23">
        <v>43946</v>
      </c>
      <c r="F4" s="23">
        <v>43948</v>
      </c>
      <c r="G4" s="2" t="s">
        <v>29</v>
      </c>
      <c r="H4" s="55">
        <v>44099</v>
      </c>
      <c r="I4" s="55">
        <v>44311</v>
      </c>
      <c r="J4" s="23">
        <v>44405</v>
      </c>
      <c r="K4" s="23">
        <v>44139</v>
      </c>
      <c r="L4" s="3" t="str">
        <f t="shared" si="0"/>
        <v>0Y6M8D</v>
      </c>
      <c r="M4" s="3" t="str">
        <f t="shared" si="1"/>
        <v>0Y6M10D</v>
      </c>
      <c r="N4" s="3">
        <f t="shared" si="2"/>
        <v>0.52328767123287667</v>
      </c>
      <c r="O4" s="2">
        <v>1</v>
      </c>
      <c r="P4" s="2">
        <v>2</v>
      </c>
      <c r="Q4" s="2" t="s">
        <v>1663</v>
      </c>
      <c r="R4" s="2">
        <v>1</v>
      </c>
      <c r="S4" s="2">
        <v>1</v>
      </c>
      <c r="T4" s="2">
        <v>1</v>
      </c>
      <c r="U4" s="2"/>
      <c r="V4" s="2" t="s">
        <v>1664</v>
      </c>
      <c r="W4" s="2">
        <v>1</v>
      </c>
      <c r="X4" s="2">
        <v>1</v>
      </c>
      <c r="Y4" s="2">
        <v>1</v>
      </c>
      <c r="Z4" s="2">
        <v>1</v>
      </c>
      <c r="AA4" s="2">
        <v>1</v>
      </c>
      <c r="AB4" s="2">
        <v>1</v>
      </c>
      <c r="AC4" s="2" t="s">
        <v>1663</v>
      </c>
      <c r="AD4" s="2">
        <v>1</v>
      </c>
      <c r="AE4" s="2">
        <v>1</v>
      </c>
      <c r="AF4" s="2">
        <v>1</v>
      </c>
      <c r="AG4" s="2">
        <v>1</v>
      </c>
      <c r="AH4" s="23">
        <v>44139</v>
      </c>
      <c r="AI4" s="3" t="str">
        <f t="shared" si="3"/>
        <v>0Y6M8D</v>
      </c>
      <c r="AJ4" s="3" t="str">
        <f t="shared" si="4"/>
        <v>0Y6M10D</v>
      </c>
      <c r="AK4" s="3">
        <f t="shared" si="5"/>
        <v>0.52328767123287667</v>
      </c>
      <c r="AL4" s="2">
        <v>1</v>
      </c>
      <c r="AM4" s="2">
        <v>1</v>
      </c>
      <c r="AN4" s="2">
        <v>1</v>
      </c>
      <c r="AO4" s="2">
        <v>1</v>
      </c>
      <c r="AP4" s="2">
        <v>1</v>
      </c>
      <c r="AQ4" s="2">
        <v>3</v>
      </c>
      <c r="AR4" s="2"/>
      <c r="AS4" s="23">
        <v>44138</v>
      </c>
      <c r="AT4" s="3" t="str">
        <f t="shared" si="6"/>
        <v>0Y6M7D</v>
      </c>
      <c r="AU4" s="3" t="str">
        <f t="shared" si="7"/>
        <v>0Y6M9D</v>
      </c>
      <c r="AV4" s="3">
        <f t="shared" si="8"/>
        <v>0.52054794520547942</v>
      </c>
      <c r="AW4" s="2">
        <v>1</v>
      </c>
      <c r="AX4" s="2"/>
      <c r="AY4" s="3" t="e">
        <f t="shared" si="9"/>
        <v>#NUM!</v>
      </c>
      <c r="AZ4" s="3" t="e">
        <f t="shared" si="10"/>
        <v>#NUM!</v>
      </c>
      <c r="BA4" s="3">
        <f t="shared" si="11"/>
        <v>-120.40547945205479</v>
      </c>
      <c r="BB4" s="2"/>
      <c r="BC4" s="23">
        <v>44139</v>
      </c>
      <c r="BD4" s="3" t="str">
        <f t="shared" si="12"/>
        <v>0Y6M8D</v>
      </c>
      <c r="BE4" s="3" t="str">
        <f t="shared" si="13"/>
        <v>0Y6M10D</v>
      </c>
      <c r="BF4" s="3">
        <f t="shared" si="14"/>
        <v>0.52328767123287667</v>
      </c>
      <c r="BG4" s="2">
        <v>1</v>
      </c>
      <c r="BH4" s="2">
        <v>0</v>
      </c>
    </row>
    <row r="5" spans="1:60" s="114" customFormat="1" ht="16">
      <c r="A5" s="16" t="s">
        <v>31</v>
      </c>
      <c r="B5" s="16">
        <v>21928650</v>
      </c>
      <c r="C5" s="16" t="s">
        <v>32</v>
      </c>
      <c r="D5" s="77">
        <v>43485</v>
      </c>
      <c r="E5" s="77">
        <v>43596</v>
      </c>
      <c r="F5" s="77">
        <v>43596</v>
      </c>
      <c r="G5" s="16" t="s">
        <v>34</v>
      </c>
      <c r="H5" s="78">
        <v>43749</v>
      </c>
      <c r="I5" s="78">
        <v>43962</v>
      </c>
      <c r="J5" s="16"/>
      <c r="K5" s="16"/>
      <c r="L5" s="68" t="e">
        <f t="shared" si="0"/>
        <v>#NUM!</v>
      </c>
      <c r="M5" s="68" t="e">
        <f t="shared" si="1"/>
        <v>#NUM!</v>
      </c>
      <c r="N5" s="68">
        <f t="shared" si="2"/>
        <v>-119.44109589041096</v>
      </c>
      <c r="O5" s="16"/>
      <c r="P5" s="16"/>
      <c r="Q5" s="16"/>
      <c r="R5" s="16"/>
      <c r="S5" s="16"/>
      <c r="T5" s="16"/>
      <c r="U5" s="16"/>
      <c r="V5" s="16"/>
      <c r="W5" s="16"/>
      <c r="X5" s="16"/>
      <c r="Y5" s="16"/>
      <c r="Z5" s="16"/>
      <c r="AA5" s="16"/>
      <c r="AB5" s="16"/>
      <c r="AC5" s="16"/>
      <c r="AD5" s="16"/>
      <c r="AE5" s="16"/>
      <c r="AF5" s="16"/>
      <c r="AG5" s="16"/>
      <c r="AH5" s="16"/>
      <c r="AI5" s="68" t="e">
        <f t="shared" si="3"/>
        <v>#NUM!</v>
      </c>
      <c r="AJ5" s="68" t="e">
        <f t="shared" si="4"/>
        <v>#NUM!</v>
      </c>
      <c r="AK5" s="68">
        <f t="shared" si="5"/>
        <v>-119.44109589041096</v>
      </c>
      <c r="AL5" s="16"/>
      <c r="AM5" s="16"/>
      <c r="AN5" s="16"/>
      <c r="AO5" s="16"/>
      <c r="AP5" s="16"/>
      <c r="AQ5" s="16"/>
      <c r="AR5" s="16"/>
      <c r="AS5" s="16"/>
      <c r="AT5" s="68" t="e">
        <f t="shared" si="6"/>
        <v>#NUM!</v>
      </c>
      <c r="AU5" s="68" t="e">
        <f t="shared" si="7"/>
        <v>#NUM!</v>
      </c>
      <c r="AV5" s="68">
        <f t="shared" si="8"/>
        <v>-119.44109589041096</v>
      </c>
      <c r="AW5" s="16"/>
      <c r="AX5" s="16"/>
      <c r="AY5" s="68" t="e">
        <f t="shared" si="9"/>
        <v>#NUM!</v>
      </c>
      <c r="AZ5" s="68" t="e">
        <f t="shared" si="10"/>
        <v>#NUM!</v>
      </c>
      <c r="BA5" s="68">
        <f t="shared" si="11"/>
        <v>-119.44109589041096</v>
      </c>
      <c r="BB5" s="16"/>
      <c r="BC5" s="16"/>
      <c r="BD5" s="68" t="e">
        <f t="shared" si="12"/>
        <v>#NUM!</v>
      </c>
      <c r="BE5" s="68" t="e">
        <f t="shared" si="13"/>
        <v>#NUM!</v>
      </c>
      <c r="BF5" s="68">
        <f t="shared" si="14"/>
        <v>-119.44109589041096</v>
      </c>
      <c r="BG5" s="16"/>
      <c r="BH5" s="16"/>
    </row>
    <row r="6" spans="1:60" ht="16">
      <c r="A6" s="2" t="s">
        <v>36</v>
      </c>
      <c r="B6" s="2">
        <v>16900804</v>
      </c>
      <c r="C6" s="2" t="s">
        <v>37</v>
      </c>
      <c r="D6" s="23">
        <v>43979</v>
      </c>
      <c r="E6" s="23">
        <v>43979</v>
      </c>
      <c r="F6" s="23">
        <v>43979</v>
      </c>
      <c r="G6" s="2" t="s">
        <v>39</v>
      </c>
      <c r="H6" s="55">
        <v>44132</v>
      </c>
      <c r="I6" s="55">
        <v>44344</v>
      </c>
      <c r="J6" s="23">
        <v>44643</v>
      </c>
      <c r="K6" s="23">
        <v>44195</v>
      </c>
      <c r="L6" s="3" t="str">
        <f t="shared" si="0"/>
        <v>0Y7M2D</v>
      </c>
      <c r="M6" s="3" t="str">
        <f t="shared" si="1"/>
        <v>0Y7M2D</v>
      </c>
      <c r="N6" s="3">
        <f t="shared" si="2"/>
        <v>0.59178082191780823</v>
      </c>
      <c r="O6" s="2">
        <v>1</v>
      </c>
      <c r="P6" s="2">
        <v>1</v>
      </c>
      <c r="Q6" s="2" t="s">
        <v>1665</v>
      </c>
      <c r="R6" s="2">
        <v>1</v>
      </c>
      <c r="S6" s="2">
        <v>1</v>
      </c>
      <c r="T6" s="2">
        <v>1</v>
      </c>
      <c r="U6" s="2" t="s">
        <v>1663</v>
      </c>
      <c r="V6" s="2" t="s">
        <v>1664</v>
      </c>
      <c r="W6" s="2">
        <v>1</v>
      </c>
      <c r="X6" s="2">
        <v>1</v>
      </c>
      <c r="Y6" s="2">
        <v>1</v>
      </c>
      <c r="Z6" s="2">
        <v>1</v>
      </c>
      <c r="AA6" s="2">
        <v>1</v>
      </c>
      <c r="AB6" s="2">
        <v>1</v>
      </c>
      <c r="AC6" s="2" t="s">
        <v>1666</v>
      </c>
      <c r="AD6" s="2">
        <v>1</v>
      </c>
      <c r="AE6" s="2">
        <v>1</v>
      </c>
      <c r="AF6" s="2">
        <v>1</v>
      </c>
      <c r="AG6" s="2">
        <v>1</v>
      </c>
      <c r="AH6" s="23">
        <v>44174</v>
      </c>
      <c r="AI6" s="3" t="str">
        <f t="shared" si="3"/>
        <v>0Y6M11D</v>
      </c>
      <c r="AJ6" s="3" t="str">
        <f t="shared" si="4"/>
        <v>0Y6M11D</v>
      </c>
      <c r="AK6" s="3">
        <f t="shared" si="5"/>
        <v>0.53424657534246578</v>
      </c>
      <c r="AL6" s="2">
        <v>1</v>
      </c>
      <c r="AM6" s="2">
        <v>1</v>
      </c>
      <c r="AN6" s="2">
        <v>1</v>
      </c>
      <c r="AO6" s="2">
        <v>1</v>
      </c>
      <c r="AP6" s="2">
        <v>1</v>
      </c>
      <c r="AQ6" s="2">
        <v>3</v>
      </c>
      <c r="AR6" s="2"/>
      <c r="AS6" s="23">
        <v>44170</v>
      </c>
      <c r="AT6" s="3" t="str">
        <f t="shared" si="6"/>
        <v>0Y6M7D</v>
      </c>
      <c r="AU6" s="3" t="str">
        <f t="shared" si="7"/>
        <v>0Y6M7D</v>
      </c>
      <c r="AV6" s="3">
        <f t="shared" si="8"/>
        <v>0.52328767123287667</v>
      </c>
      <c r="AW6" s="2">
        <v>1</v>
      </c>
      <c r="AX6" s="2"/>
      <c r="AY6" s="3" t="e">
        <f t="shared" si="9"/>
        <v>#NUM!</v>
      </c>
      <c r="AZ6" s="3" t="e">
        <f t="shared" si="10"/>
        <v>#NUM!</v>
      </c>
      <c r="BA6" s="3">
        <f t="shared" si="11"/>
        <v>-120.49041095890411</v>
      </c>
      <c r="BB6" s="2"/>
      <c r="BC6" s="23">
        <v>44174</v>
      </c>
      <c r="BD6" s="3" t="str">
        <f t="shared" si="12"/>
        <v>0Y6M11D</v>
      </c>
      <c r="BE6" s="3" t="str">
        <f t="shared" si="13"/>
        <v>0Y6M11D</v>
      </c>
      <c r="BF6" s="3">
        <f t="shared" si="14"/>
        <v>0.53424657534246578</v>
      </c>
      <c r="BG6" s="2">
        <v>1</v>
      </c>
      <c r="BH6" s="2">
        <v>0</v>
      </c>
    </row>
    <row r="7" spans="1:60" s="127" customFormat="1" ht="16">
      <c r="A7" s="131" t="s">
        <v>41</v>
      </c>
      <c r="B7" s="131">
        <v>21926441</v>
      </c>
      <c r="C7" s="131" t="s">
        <v>42</v>
      </c>
      <c r="D7" s="132">
        <v>43276</v>
      </c>
      <c r="E7" s="132">
        <v>43336</v>
      </c>
      <c r="F7" s="132">
        <v>43336</v>
      </c>
      <c r="G7" s="131" t="s">
        <v>44</v>
      </c>
      <c r="H7" s="85">
        <v>43489</v>
      </c>
      <c r="I7" s="85">
        <v>43701</v>
      </c>
      <c r="J7" s="132"/>
      <c r="K7" s="131" t="s">
        <v>18</v>
      </c>
      <c r="L7" s="133" t="e">
        <f t="shared" si="0"/>
        <v>#VALUE!</v>
      </c>
      <c r="M7" s="133" t="e">
        <f t="shared" si="1"/>
        <v>#VALUE!</v>
      </c>
      <c r="N7" s="133" t="e">
        <f t="shared" si="2"/>
        <v>#VALUE!</v>
      </c>
      <c r="O7" s="20"/>
      <c r="P7" s="20"/>
      <c r="Q7" s="20"/>
      <c r="R7" s="20"/>
      <c r="S7" s="20"/>
      <c r="T7" s="20"/>
      <c r="U7" s="20"/>
      <c r="V7" s="20"/>
      <c r="W7" s="20"/>
      <c r="X7" s="20"/>
      <c r="Y7" s="20"/>
      <c r="Z7" s="20"/>
      <c r="AA7" s="20"/>
      <c r="AB7" s="20"/>
      <c r="AC7" s="20"/>
      <c r="AD7" s="20"/>
      <c r="AE7" s="20"/>
      <c r="AF7" s="20"/>
      <c r="AG7" s="20"/>
      <c r="AH7" s="131"/>
      <c r="AI7" s="133" t="e">
        <f t="shared" si="3"/>
        <v>#NUM!</v>
      </c>
      <c r="AJ7" s="133" t="e">
        <f t="shared" si="4"/>
        <v>#NUM!</v>
      </c>
      <c r="AK7" s="133">
        <f t="shared" si="5"/>
        <v>-118.72876712328767</v>
      </c>
      <c r="AL7" s="20"/>
      <c r="AM7" s="20"/>
      <c r="AN7" s="20"/>
      <c r="AO7" s="20"/>
      <c r="AP7" s="20"/>
      <c r="AQ7" s="20"/>
      <c r="AR7" s="20"/>
      <c r="AS7" s="131"/>
      <c r="AT7" s="133" t="e">
        <f t="shared" si="6"/>
        <v>#NUM!</v>
      </c>
      <c r="AU7" s="133" t="e">
        <f t="shared" si="7"/>
        <v>#NUM!</v>
      </c>
      <c r="AV7" s="133">
        <f t="shared" si="8"/>
        <v>-118.72876712328767</v>
      </c>
      <c r="AW7" s="20"/>
      <c r="AX7" s="131"/>
      <c r="AY7" s="133" t="e">
        <f t="shared" si="9"/>
        <v>#NUM!</v>
      </c>
      <c r="AZ7" s="133" t="e">
        <f t="shared" si="10"/>
        <v>#NUM!</v>
      </c>
      <c r="BA7" s="133">
        <f t="shared" si="11"/>
        <v>-118.72876712328767</v>
      </c>
      <c r="BB7" s="20"/>
      <c r="BC7" s="131"/>
      <c r="BD7" s="133" t="e">
        <f t="shared" si="12"/>
        <v>#NUM!</v>
      </c>
      <c r="BE7" s="133" t="e">
        <f t="shared" si="13"/>
        <v>#NUM!</v>
      </c>
      <c r="BF7" s="133">
        <f t="shared" si="14"/>
        <v>-118.72876712328767</v>
      </c>
      <c r="BG7" s="131"/>
      <c r="BH7" s="131">
        <v>1</v>
      </c>
    </row>
    <row r="8" spans="1:60" s="114" customFormat="1" ht="16">
      <c r="A8" s="16" t="s">
        <v>46</v>
      </c>
      <c r="B8" s="16">
        <v>21929504</v>
      </c>
      <c r="C8" s="16" t="s">
        <v>47</v>
      </c>
      <c r="D8" s="77">
        <v>43563</v>
      </c>
      <c r="E8" s="77">
        <v>43647</v>
      </c>
      <c r="F8" s="77">
        <v>43647</v>
      </c>
      <c r="G8" s="16" t="s">
        <v>49</v>
      </c>
      <c r="H8" s="78">
        <v>43800</v>
      </c>
      <c r="I8" s="78">
        <v>44013</v>
      </c>
      <c r="J8" s="16"/>
      <c r="K8" s="16"/>
      <c r="L8" s="68" t="e">
        <f t="shared" si="0"/>
        <v>#NUM!</v>
      </c>
      <c r="M8" s="68" t="e">
        <f t="shared" si="1"/>
        <v>#NUM!</v>
      </c>
      <c r="N8" s="68">
        <f t="shared" si="2"/>
        <v>-119.58082191780822</v>
      </c>
      <c r="O8" s="16"/>
      <c r="P8" s="16"/>
      <c r="Q8" s="16"/>
      <c r="R8" s="16"/>
      <c r="S8" s="16"/>
      <c r="T8" s="16"/>
      <c r="U8" s="16"/>
      <c r="V8" s="16"/>
      <c r="W8" s="16"/>
      <c r="X8" s="16"/>
      <c r="Y8" s="16"/>
      <c r="Z8" s="16"/>
      <c r="AA8" s="16"/>
      <c r="AB8" s="16"/>
      <c r="AC8" s="16"/>
      <c r="AD8" s="16"/>
      <c r="AE8" s="16"/>
      <c r="AF8" s="16"/>
      <c r="AG8" s="16"/>
      <c r="AH8" s="16"/>
      <c r="AI8" s="68" t="e">
        <f t="shared" si="3"/>
        <v>#NUM!</v>
      </c>
      <c r="AJ8" s="68" t="e">
        <f t="shared" si="4"/>
        <v>#NUM!</v>
      </c>
      <c r="AK8" s="68">
        <f t="shared" si="5"/>
        <v>-119.58082191780822</v>
      </c>
      <c r="AL8" s="16"/>
      <c r="AM8" s="16"/>
      <c r="AN8" s="16"/>
      <c r="AO8" s="16"/>
      <c r="AP8" s="16"/>
      <c r="AQ8" s="16"/>
      <c r="AR8" s="16"/>
      <c r="AS8" s="16"/>
      <c r="AT8" s="68" t="e">
        <f t="shared" si="6"/>
        <v>#NUM!</v>
      </c>
      <c r="AU8" s="68" t="e">
        <f t="shared" si="7"/>
        <v>#NUM!</v>
      </c>
      <c r="AV8" s="68">
        <f t="shared" si="8"/>
        <v>-119.58082191780822</v>
      </c>
      <c r="AW8" s="16"/>
      <c r="AX8" s="16"/>
      <c r="AY8" s="68" t="e">
        <f t="shared" si="9"/>
        <v>#NUM!</v>
      </c>
      <c r="AZ8" s="68" t="e">
        <f t="shared" si="10"/>
        <v>#NUM!</v>
      </c>
      <c r="BA8" s="68">
        <f t="shared" si="11"/>
        <v>-119.58082191780822</v>
      </c>
      <c r="BB8" s="16"/>
      <c r="BC8" s="16"/>
      <c r="BD8" s="68" t="e">
        <f t="shared" si="12"/>
        <v>#NUM!</v>
      </c>
      <c r="BE8" s="68" t="e">
        <f t="shared" si="13"/>
        <v>#NUM!</v>
      </c>
      <c r="BF8" s="68">
        <f t="shared" si="14"/>
        <v>-119.58082191780822</v>
      </c>
      <c r="BG8" s="16"/>
      <c r="BH8" s="16"/>
    </row>
    <row r="9" spans="1:60" s="114" customFormat="1" ht="16">
      <c r="A9" s="16" t="s">
        <v>51</v>
      </c>
      <c r="B9" s="16">
        <v>21929505</v>
      </c>
      <c r="C9" s="16" t="s">
        <v>52</v>
      </c>
      <c r="D9" s="77">
        <v>43563</v>
      </c>
      <c r="E9" s="77">
        <v>43647</v>
      </c>
      <c r="F9" s="77">
        <v>43647</v>
      </c>
      <c r="G9" s="16" t="s">
        <v>49</v>
      </c>
      <c r="H9" s="78">
        <v>43800</v>
      </c>
      <c r="I9" s="78">
        <v>44013</v>
      </c>
      <c r="J9" s="16"/>
      <c r="K9" s="16"/>
      <c r="L9" s="68" t="e">
        <f t="shared" si="0"/>
        <v>#NUM!</v>
      </c>
      <c r="M9" s="68" t="e">
        <f t="shared" si="1"/>
        <v>#NUM!</v>
      </c>
      <c r="N9" s="68">
        <f t="shared" si="2"/>
        <v>-119.58082191780822</v>
      </c>
      <c r="O9" s="16"/>
      <c r="P9" s="16"/>
      <c r="Q9" s="16"/>
      <c r="R9" s="16"/>
      <c r="S9" s="16"/>
      <c r="T9" s="16"/>
      <c r="U9" s="16"/>
      <c r="V9" s="16"/>
      <c r="W9" s="16"/>
      <c r="X9" s="16"/>
      <c r="Y9" s="16"/>
      <c r="Z9" s="16"/>
      <c r="AA9" s="16"/>
      <c r="AB9" s="16"/>
      <c r="AC9" s="16"/>
      <c r="AD9" s="16"/>
      <c r="AE9" s="16"/>
      <c r="AF9" s="16"/>
      <c r="AG9" s="16"/>
      <c r="AH9" s="16"/>
      <c r="AI9" s="68" t="e">
        <f t="shared" si="3"/>
        <v>#NUM!</v>
      </c>
      <c r="AJ9" s="68" t="e">
        <f t="shared" si="4"/>
        <v>#NUM!</v>
      </c>
      <c r="AK9" s="68">
        <f t="shared" si="5"/>
        <v>-119.58082191780822</v>
      </c>
      <c r="AL9" s="16"/>
      <c r="AM9" s="16"/>
      <c r="AN9" s="16"/>
      <c r="AO9" s="16"/>
      <c r="AP9" s="16"/>
      <c r="AQ9" s="16"/>
      <c r="AR9" s="16"/>
      <c r="AS9" s="16"/>
      <c r="AT9" s="68" t="e">
        <f t="shared" si="6"/>
        <v>#NUM!</v>
      </c>
      <c r="AU9" s="68" t="e">
        <f t="shared" si="7"/>
        <v>#NUM!</v>
      </c>
      <c r="AV9" s="68">
        <f t="shared" si="8"/>
        <v>-119.58082191780822</v>
      </c>
      <c r="AW9" s="16"/>
      <c r="AX9" s="16"/>
      <c r="AY9" s="68" t="e">
        <f t="shared" si="9"/>
        <v>#NUM!</v>
      </c>
      <c r="AZ9" s="68" t="e">
        <f t="shared" si="10"/>
        <v>#NUM!</v>
      </c>
      <c r="BA9" s="68">
        <f t="shared" si="11"/>
        <v>-119.58082191780822</v>
      </c>
      <c r="BB9" s="16"/>
      <c r="BC9" s="16"/>
      <c r="BD9" s="68" t="e">
        <f t="shared" si="12"/>
        <v>#NUM!</v>
      </c>
      <c r="BE9" s="68" t="e">
        <f t="shared" si="13"/>
        <v>#NUM!</v>
      </c>
      <c r="BF9" s="68">
        <f t="shared" si="14"/>
        <v>-119.58082191780822</v>
      </c>
      <c r="BG9" s="16"/>
      <c r="BH9" s="16"/>
    </row>
    <row r="10" spans="1:60" s="114" customFormat="1" ht="16">
      <c r="A10" s="16" t="s">
        <v>54</v>
      </c>
      <c r="B10" s="16">
        <v>22100733</v>
      </c>
      <c r="C10" s="16" t="s">
        <v>55</v>
      </c>
      <c r="D10" s="77">
        <v>43676</v>
      </c>
      <c r="E10" s="77">
        <v>43671</v>
      </c>
      <c r="F10" s="77">
        <v>43676</v>
      </c>
      <c r="G10" s="16" t="s">
        <v>57</v>
      </c>
      <c r="H10" s="78">
        <v>43824</v>
      </c>
      <c r="I10" s="78">
        <v>44037</v>
      </c>
      <c r="J10" s="16"/>
      <c r="K10" s="16"/>
      <c r="L10" s="68" t="e">
        <f t="shared" si="0"/>
        <v>#NUM!</v>
      </c>
      <c r="M10" s="68" t="e">
        <f t="shared" si="1"/>
        <v>#NUM!</v>
      </c>
      <c r="N10" s="68">
        <f t="shared" si="2"/>
        <v>-119.66027397260274</v>
      </c>
      <c r="O10" s="16"/>
      <c r="P10" s="16"/>
      <c r="Q10" s="16"/>
      <c r="R10" s="16"/>
      <c r="S10" s="16"/>
      <c r="T10" s="16"/>
      <c r="U10" s="16"/>
      <c r="V10" s="16"/>
      <c r="W10" s="16"/>
      <c r="X10" s="16"/>
      <c r="Y10" s="16"/>
      <c r="Z10" s="16"/>
      <c r="AA10" s="16"/>
      <c r="AB10" s="16"/>
      <c r="AC10" s="16"/>
      <c r="AD10" s="16"/>
      <c r="AE10" s="16"/>
      <c r="AF10" s="16"/>
      <c r="AG10" s="16"/>
      <c r="AH10" s="16"/>
      <c r="AI10" s="68" t="e">
        <f t="shared" si="3"/>
        <v>#NUM!</v>
      </c>
      <c r="AJ10" s="68" t="e">
        <f t="shared" si="4"/>
        <v>#NUM!</v>
      </c>
      <c r="AK10" s="68">
        <f t="shared" si="5"/>
        <v>-119.66027397260274</v>
      </c>
      <c r="AL10" s="16"/>
      <c r="AM10" s="16"/>
      <c r="AN10" s="16"/>
      <c r="AO10" s="16"/>
      <c r="AP10" s="16"/>
      <c r="AQ10" s="16"/>
      <c r="AR10" s="16"/>
      <c r="AS10" s="16"/>
      <c r="AT10" s="68" t="e">
        <f t="shared" si="6"/>
        <v>#NUM!</v>
      </c>
      <c r="AU10" s="68" t="e">
        <f t="shared" si="7"/>
        <v>#NUM!</v>
      </c>
      <c r="AV10" s="68">
        <f t="shared" si="8"/>
        <v>-119.66027397260274</v>
      </c>
      <c r="AW10" s="16"/>
      <c r="AX10" s="16"/>
      <c r="AY10" s="68" t="e">
        <f t="shared" si="9"/>
        <v>#NUM!</v>
      </c>
      <c r="AZ10" s="68" t="e">
        <f t="shared" si="10"/>
        <v>#NUM!</v>
      </c>
      <c r="BA10" s="68">
        <f t="shared" si="11"/>
        <v>-119.66027397260274</v>
      </c>
      <c r="BB10" s="16"/>
      <c r="BC10" s="16"/>
      <c r="BD10" s="68" t="e">
        <f t="shared" si="12"/>
        <v>#NUM!</v>
      </c>
      <c r="BE10" s="68" t="e">
        <f t="shared" si="13"/>
        <v>#NUM!</v>
      </c>
      <c r="BF10" s="68">
        <f t="shared" si="14"/>
        <v>-119.66027397260274</v>
      </c>
      <c r="BG10" s="16"/>
      <c r="BH10" s="16"/>
    </row>
    <row r="11" spans="1:60" s="110" customFormat="1" ht="16">
      <c r="A11" s="17" t="s">
        <v>59</v>
      </c>
      <c r="B11" s="17">
        <v>22101152</v>
      </c>
      <c r="C11" s="17" t="s">
        <v>60</v>
      </c>
      <c r="D11" s="40">
        <v>43709</v>
      </c>
      <c r="E11" s="40">
        <v>43713</v>
      </c>
      <c r="F11" s="40">
        <v>43709</v>
      </c>
      <c r="G11" s="17" t="s">
        <v>19</v>
      </c>
      <c r="H11" s="75">
        <v>43866</v>
      </c>
      <c r="I11" s="75">
        <v>44079</v>
      </c>
      <c r="J11" s="17"/>
      <c r="K11" s="17"/>
      <c r="L11" s="21" t="e">
        <f t="shared" si="0"/>
        <v>#NUM!</v>
      </c>
      <c r="M11" s="21" t="e">
        <f t="shared" si="1"/>
        <v>#NUM!</v>
      </c>
      <c r="N11" s="21">
        <f t="shared" si="2"/>
        <v>-119.75068493150685</v>
      </c>
      <c r="O11" s="17"/>
      <c r="P11" s="17"/>
      <c r="Q11" s="17"/>
      <c r="R11" s="17"/>
      <c r="S11" s="17"/>
      <c r="T11" s="17"/>
      <c r="U11" s="17"/>
      <c r="V11" s="17"/>
      <c r="W11" s="17"/>
      <c r="X11" s="17"/>
      <c r="Y11" s="17"/>
      <c r="Z11" s="17"/>
      <c r="AA11" s="17"/>
      <c r="AB11" s="17"/>
      <c r="AC11" s="17"/>
      <c r="AD11" s="17"/>
      <c r="AE11" s="17"/>
      <c r="AF11" s="17"/>
      <c r="AG11" s="17"/>
      <c r="AH11" s="40">
        <v>44257</v>
      </c>
      <c r="AI11" s="21" t="str">
        <f t="shared" si="3"/>
        <v>1Y6M1D</v>
      </c>
      <c r="AJ11" s="21" t="str">
        <f t="shared" si="4"/>
        <v>1Y5M25D</v>
      </c>
      <c r="AK11" s="21">
        <f t="shared" si="5"/>
        <v>1.5013698630136987</v>
      </c>
      <c r="AL11" s="17"/>
      <c r="AM11" s="17"/>
      <c r="AN11" s="17">
        <v>1</v>
      </c>
      <c r="AO11" s="17">
        <v>1</v>
      </c>
      <c r="AP11" s="17"/>
      <c r="AQ11" s="17"/>
      <c r="AR11" s="17"/>
      <c r="AS11" s="40">
        <v>44257</v>
      </c>
      <c r="AT11" s="21" t="str">
        <f t="shared" si="6"/>
        <v>1Y6M1D</v>
      </c>
      <c r="AU11" s="21" t="str">
        <f t="shared" si="7"/>
        <v>1Y5M25D</v>
      </c>
      <c r="AV11" s="21">
        <f t="shared" si="8"/>
        <v>1.5013698630136987</v>
      </c>
      <c r="AW11" s="17">
        <v>1</v>
      </c>
      <c r="AX11" s="40">
        <v>44257</v>
      </c>
      <c r="AY11" s="21" t="str">
        <f t="shared" si="9"/>
        <v>1Y6M1D</v>
      </c>
      <c r="AZ11" s="21" t="str">
        <f t="shared" si="10"/>
        <v>1Y5M25D</v>
      </c>
      <c r="BA11" s="21">
        <f t="shared" si="11"/>
        <v>1.5013698630136987</v>
      </c>
      <c r="BB11" s="17">
        <v>1</v>
      </c>
      <c r="BC11" s="17"/>
      <c r="BD11" s="21" t="e">
        <f t="shared" si="12"/>
        <v>#NUM!</v>
      </c>
      <c r="BE11" s="21" t="e">
        <f t="shared" si="13"/>
        <v>#NUM!</v>
      </c>
      <c r="BF11" s="21">
        <f t="shared" si="14"/>
        <v>-119.75068493150685</v>
      </c>
      <c r="BG11" s="17"/>
      <c r="BH11" s="17"/>
    </row>
    <row r="12" spans="1:60" s="127" customFormat="1" ht="16">
      <c r="A12" s="131" t="s">
        <v>63</v>
      </c>
      <c r="B12" s="131">
        <v>22140400</v>
      </c>
      <c r="C12" s="131" t="s">
        <v>64</v>
      </c>
      <c r="D12" s="132">
        <v>43493</v>
      </c>
      <c r="E12" s="132">
        <v>43554</v>
      </c>
      <c r="F12" s="132">
        <v>43554</v>
      </c>
      <c r="G12" s="131" t="s">
        <v>66</v>
      </c>
      <c r="H12" s="85">
        <v>43707</v>
      </c>
      <c r="I12" s="85">
        <v>43920</v>
      </c>
      <c r="J12" s="132"/>
      <c r="K12" s="131" t="s">
        <v>18</v>
      </c>
      <c r="L12" s="133" t="e">
        <f t="shared" si="0"/>
        <v>#VALUE!</v>
      </c>
      <c r="M12" s="133" t="e">
        <f t="shared" si="1"/>
        <v>#VALUE!</v>
      </c>
      <c r="N12" s="133" t="e">
        <f t="shared" si="2"/>
        <v>#VALUE!</v>
      </c>
      <c r="O12" s="20"/>
      <c r="P12" s="20"/>
      <c r="Q12" s="20"/>
      <c r="R12" s="20"/>
      <c r="S12" s="20"/>
      <c r="T12" s="20"/>
      <c r="U12" s="20"/>
      <c r="V12" s="20"/>
      <c r="W12" s="20"/>
      <c r="X12" s="20"/>
      <c r="Y12" s="20"/>
      <c r="Z12" s="20"/>
      <c r="AA12" s="20"/>
      <c r="AB12" s="20"/>
      <c r="AC12" s="20"/>
      <c r="AD12" s="20"/>
      <c r="AE12" s="20"/>
      <c r="AF12" s="20"/>
      <c r="AG12" s="20"/>
      <c r="AH12" s="131"/>
      <c r="AI12" s="133" t="e">
        <f t="shared" si="3"/>
        <v>#NUM!</v>
      </c>
      <c r="AJ12" s="133" t="e">
        <f t="shared" si="4"/>
        <v>#NUM!</v>
      </c>
      <c r="AK12" s="133">
        <f t="shared" si="5"/>
        <v>-119.32602739726028</v>
      </c>
      <c r="AL12" s="20"/>
      <c r="AM12" s="20"/>
      <c r="AN12" s="20"/>
      <c r="AO12" s="20"/>
      <c r="AP12" s="20"/>
      <c r="AQ12" s="20"/>
      <c r="AR12" s="20"/>
      <c r="AS12" s="131"/>
      <c r="AT12" s="133" t="e">
        <f t="shared" si="6"/>
        <v>#NUM!</v>
      </c>
      <c r="AU12" s="133" t="e">
        <f t="shared" si="7"/>
        <v>#NUM!</v>
      </c>
      <c r="AV12" s="133">
        <f t="shared" si="8"/>
        <v>-119.32602739726028</v>
      </c>
      <c r="AW12" s="20"/>
      <c r="AX12" s="131"/>
      <c r="AY12" s="133" t="e">
        <f t="shared" si="9"/>
        <v>#NUM!</v>
      </c>
      <c r="AZ12" s="133" t="e">
        <f t="shared" si="10"/>
        <v>#NUM!</v>
      </c>
      <c r="BA12" s="133">
        <f t="shared" si="11"/>
        <v>-119.32602739726028</v>
      </c>
      <c r="BB12" s="20"/>
      <c r="BC12" s="131"/>
      <c r="BD12" s="133" t="e">
        <f t="shared" si="12"/>
        <v>#NUM!</v>
      </c>
      <c r="BE12" s="133" t="e">
        <f t="shared" si="13"/>
        <v>#NUM!</v>
      </c>
      <c r="BF12" s="133">
        <f t="shared" si="14"/>
        <v>-119.32602739726028</v>
      </c>
      <c r="BG12" s="131"/>
      <c r="BH12" s="131">
        <v>1</v>
      </c>
    </row>
    <row r="13" spans="1:60" s="127" customFormat="1" ht="16">
      <c r="A13" s="131" t="s">
        <v>68</v>
      </c>
      <c r="B13" s="131">
        <v>22140401</v>
      </c>
      <c r="C13" s="131" t="s">
        <v>69</v>
      </c>
      <c r="D13" s="132">
        <v>43493</v>
      </c>
      <c r="E13" s="132">
        <v>43554</v>
      </c>
      <c r="F13" s="132">
        <v>43554</v>
      </c>
      <c r="G13" s="131" t="s">
        <v>66</v>
      </c>
      <c r="H13" s="85">
        <v>43707</v>
      </c>
      <c r="I13" s="85">
        <v>43920</v>
      </c>
      <c r="J13" s="132"/>
      <c r="K13" s="131" t="s">
        <v>18</v>
      </c>
      <c r="L13" s="133" t="e">
        <f t="shared" si="0"/>
        <v>#VALUE!</v>
      </c>
      <c r="M13" s="133" t="e">
        <f t="shared" si="1"/>
        <v>#VALUE!</v>
      </c>
      <c r="N13" s="133" t="e">
        <f t="shared" si="2"/>
        <v>#VALUE!</v>
      </c>
      <c r="O13" s="20"/>
      <c r="P13" s="20"/>
      <c r="Q13" s="20"/>
      <c r="R13" s="20"/>
      <c r="S13" s="20"/>
      <c r="T13" s="20"/>
      <c r="U13" s="20"/>
      <c r="V13" s="20"/>
      <c r="W13" s="20"/>
      <c r="X13" s="20"/>
      <c r="Y13" s="20"/>
      <c r="Z13" s="20"/>
      <c r="AA13" s="20"/>
      <c r="AB13" s="20"/>
      <c r="AC13" s="20"/>
      <c r="AD13" s="20"/>
      <c r="AE13" s="20"/>
      <c r="AF13" s="20"/>
      <c r="AG13" s="20"/>
      <c r="AH13" s="131"/>
      <c r="AI13" s="133" t="e">
        <f t="shared" si="3"/>
        <v>#NUM!</v>
      </c>
      <c r="AJ13" s="133" t="e">
        <f t="shared" si="4"/>
        <v>#NUM!</v>
      </c>
      <c r="AK13" s="133">
        <f t="shared" si="5"/>
        <v>-119.32602739726028</v>
      </c>
      <c r="AL13" s="20"/>
      <c r="AM13" s="20"/>
      <c r="AN13" s="20"/>
      <c r="AO13" s="20"/>
      <c r="AP13" s="20"/>
      <c r="AQ13" s="20"/>
      <c r="AR13" s="20"/>
      <c r="AS13" s="131"/>
      <c r="AT13" s="133" t="e">
        <f t="shared" si="6"/>
        <v>#NUM!</v>
      </c>
      <c r="AU13" s="133" t="e">
        <f t="shared" si="7"/>
        <v>#NUM!</v>
      </c>
      <c r="AV13" s="133">
        <f t="shared" si="8"/>
        <v>-119.32602739726028</v>
      </c>
      <c r="AW13" s="20"/>
      <c r="AX13" s="131"/>
      <c r="AY13" s="133" t="e">
        <f t="shared" si="9"/>
        <v>#NUM!</v>
      </c>
      <c r="AZ13" s="133" t="e">
        <f t="shared" si="10"/>
        <v>#NUM!</v>
      </c>
      <c r="BA13" s="133">
        <f t="shared" si="11"/>
        <v>-119.32602739726028</v>
      </c>
      <c r="BB13" s="20"/>
      <c r="BC13" s="131"/>
      <c r="BD13" s="133" t="e">
        <f t="shared" si="12"/>
        <v>#NUM!</v>
      </c>
      <c r="BE13" s="133" t="e">
        <f t="shared" si="13"/>
        <v>#NUM!</v>
      </c>
      <c r="BF13" s="133">
        <f t="shared" si="14"/>
        <v>-119.32602739726028</v>
      </c>
      <c r="BG13" s="131"/>
      <c r="BH13" s="131">
        <v>1</v>
      </c>
    </row>
    <row r="14" spans="1:60" s="110" customFormat="1" ht="16">
      <c r="A14" s="17" t="s">
        <v>71</v>
      </c>
      <c r="B14" s="17">
        <v>16900981</v>
      </c>
      <c r="C14" s="17" t="s">
        <v>72</v>
      </c>
      <c r="D14" s="40">
        <v>44023</v>
      </c>
      <c r="E14" s="40">
        <v>44023</v>
      </c>
      <c r="F14" s="40">
        <v>44023</v>
      </c>
      <c r="G14" s="17" t="s">
        <v>75</v>
      </c>
      <c r="H14" s="75">
        <v>44176</v>
      </c>
      <c r="I14" s="75">
        <v>44388</v>
      </c>
      <c r="J14" s="40">
        <v>44482</v>
      </c>
      <c r="K14" s="17" t="s">
        <v>1667</v>
      </c>
      <c r="L14" s="21" t="e">
        <f t="shared" si="0"/>
        <v>#VALUE!</v>
      </c>
      <c r="M14" s="21" t="e">
        <f t="shared" si="1"/>
        <v>#VALUE!</v>
      </c>
      <c r="N14" s="21" t="e">
        <f t="shared" si="2"/>
        <v>#VALUE!</v>
      </c>
      <c r="O14" s="17"/>
      <c r="P14" s="17"/>
      <c r="Q14" s="17"/>
      <c r="R14" s="17"/>
      <c r="S14" s="17"/>
      <c r="T14" s="17"/>
      <c r="U14" s="17"/>
      <c r="V14" s="17"/>
      <c r="W14" s="17"/>
      <c r="X14" s="17"/>
      <c r="Y14" s="17"/>
      <c r="Z14" s="17"/>
      <c r="AA14" s="17"/>
      <c r="AB14" s="17"/>
      <c r="AC14" s="17"/>
      <c r="AD14" s="17"/>
      <c r="AE14" s="17"/>
      <c r="AF14" s="17"/>
      <c r="AG14" s="17"/>
      <c r="AH14" s="40">
        <v>44209</v>
      </c>
      <c r="AI14" s="21" t="str">
        <f t="shared" si="3"/>
        <v>0Y6M2D</v>
      </c>
      <c r="AJ14" s="21" t="str">
        <f t="shared" si="4"/>
        <v>0Y6M2D</v>
      </c>
      <c r="AK14" s="21">
        <f t="shared" si="5"/>
        <v>0.50958904109589043</v>
      </c>
      <c r="AL14" s="17">
        <v>1</v>
      </c>
      <c r="AM14" s="17" t="s">
        <v>1668</v>
      </c>
      <c r="AN14" s="17"/>
      <c r="AO14" s="17"/>
      <c r="AP14" s="17">
        <v>1</v>
      </c>
      <c r="AQ14" s="17"/>
      <c r="AR14" s="17"/>
      <c r="AS14" s="40">
        <v>44204</v>
      </c>
      <c r="AT14" s="21" t="str">
        <f t="shared" si="6"/>
        <v>0Y5M28D</v>
      </c>
      <c r="AU14" s="21" t="str">
        <f t="shared" si="7"/>
        <v>0Y5M28D</v>
      </c>
      <c r="AV14" s="21">
        <f t="shared" si="8"/>
        <v>0.49589041095890413</v>
      </c>
      <c r="AW14" s="17">
        <v>1</v>
      </c>
      <c r="AX14" s="40">
        <v>44208</v>
      </c>
      <c r="AY14" s="21" t="str">
        <f t="shared" si="9"/>
        <v>0Y6M1D</v>
      </c>
      <c r="AZ14" s="21" t="str">
        <f t="shared" si="10"/>
        <v>0Y6M1D</v>
      </c>
      <c r="BA14" s="21">
        <f t="shared" si="11"/>
        <v>0.50684931506849318</v>
      </c>
      <c r="BB14" s="17">
        <v>1</v>
      </c>
      <c r="BC14" s="40">
        <v>44209</v>
      </c>
      <c r="BD14" s="21" t="str">
        <f t="shared" si="12"/>
        <v>0Y6M2D</v>
      </c>
      <c r="BE14" s="21" t="str">
        <f t="shared" si="13"/>
        <v>0Y6M2D</v>
      </c>
      <c r="BF14" s="21">
        <f t="shared" si="14"/>
        <v>0.50958904109589043</v>
      </c>
      <c r="BG14" s="17">
        <v>1</v>
      </c>
      <c r="BH14" s="17">
        <v>1</v>
      </c>
    </row>
    <row r="15" spans="1:60" s="114" customFormat="1" ht="16">
      <c r="A15" s="16" t="s">
        <v>77</v>
      </c>
      <c r="B15" s="16">
        <v>21928109</v>
      </c>
      <c r="C15" s="16" t="s">
        <v>78</v>
      </c>
      <c r="D15" s="77">
        <v>43434</v>
      </c>
      <c r="E15" s="77">
        <v>43532</v>
      </c>
      <c r="F15" s="77">
        <v>43532</v>
      </c>
      <c r="G15" s="16" t="s">
        <v>80</v>
      </c>
      <c r="H15" s="78">
        <v>43685</v>
      </c>
      <c r="I15" s="78">
        <v>43898</v>
      </c>
      <c r="J15" s="16"/>
      <c r="K15" s="16"/>
      <c r="L15" s="68" t="e">
        <f t="shared" si="0"/>
        <v>#NUM!</v>
      </c>
      <c r="M15" s="68" t="e">
        <f t="shared" si="1"/>
        <v>#NUM!</v>
      </c>
      <c r="N15" s="68">
        <f t="shared" si="2"/>
        <v>-119.26575342465753</v>
      </c>
      <c r="O15" s="16"/>
      <c r="P15" s="16"/>
      <c r="Q15" s="16"/>
      <c r="R15" s="16"/>
      <c r="S15" s="16"/>
      <c r="T15" s="16"/>
      <c r="U15" s="16"/>
      <c r="V15" s="16"/>
      <c r="W15" s="16"/>
      <c r="X15" s="16"/>
      <c r="Y15" s="16"/>
      <c r="Z15" s="16"/>
      <c r="AA15" s="16"/>
      <c r="AB15" s="16"/>
      <c r="AC15" s="16"/>
      <c r="AD15" s="16"/>
      <c r="AE15" s="16"/>
      <c r="AF15" s="16"/>
      <c r="AG15" s="16"/>
      <c r="AH15" s="16"/>
      <c r="AI15" s="68" t="e">
        <f t="shared" si="3"/>
        <v>#NUM!</v>
      </c>
      <c r="AJ15" s="68" t="e">
        <f t="shared" si="4"/>
        <v>#NUM!</v>
      </c>
      <c r="AK15" s="68">
        <f t="shared" si="5"/>
        <v>-119.26575342465753</v>
      </c>
      <c r="AL15" s="16"/>
      <c r="AM15" s="16"/>
      <c r="AN15" s="16"/>
      <c r="AO15" s="16"/>
      <c r="AP15" s="16"/>
      <c r="AQ15" s="16"/>
      <c r="AR15" s="16"/>
      <c r="AS15" s="16"/>
      <c r="AT15" s="68" t="e">
        <f t="shared" si="6"/>
        <v>#NUM!</v>
      </c>
      <c r="AU15" s="68" t="e">
        <f t="shared" si="7"/>
        <v>#NUM!</v>
      </c>
      <c r="AV15" s="68">
        <f t="shared" si="8"/>
        <v>-119.26575342465753</v>
      </c>
      <c r="AW15" s="16"/>
      <c r="AX15" s="16"/>
      <c r="AY15" s="68" t="e">
        <f t="shared" si="9"/>
        <v>#NUM!</v>
      </c>
      <c r="AZ15" s="68" t="e">
        <f t="shared" si="10"/>
        <v>#NUM!</v>
      </c>
      <c r="BA15" s="68">
        <f t="shared" si="11"/>
        <v>-119.26575342465753</v>
      </c>
      <c r="BB15" s="16"/>
      <c r="BC15" s="16"/>
      <c r="BD15" s="68" t="e">
        <f t="shared" si="12"/>
        <v>#NUM!</v>
      </c>
      <c r="BE15" s="68" t="e">
        <f t="shared" si="13"/>
        <v>#NUM!</v>
      </c>
      <c r="BF15" s="68">
        <f t="shared" si="14"/>
        <v>-119.26575342465753</v>
      </c>
      <c r="BG15" s="16"/>
      <c r="BH15" s="16"/>
    </row>
    <row r="16" spans="1:60" ht="16">
      <c r="A16" s="2" t="s">
        <v>82</v>
      </c>
      <c r="B16" s="2">
        <v>22104301</v>
      </c>
      <c r="C16" s="2" t="s">
        <v>83</v>
      </c>
      <c r="D16" s="23">
        <v>43999</v>
      </c>
      <c r="E16" s="23">
        <v>44058</v>
      </c>
      <c r="F16" s="23">
        <v>44058</v>
      </c>
      <c r="G16" s="2" t="s">
        <v>85</v>
      </c>
      <c r="H16" s="55">
        <v>44211</v>
      </c>
      <c r="I16" s="55">
        <v>44423</v>
      </c>
      <c r="J16" s="23">
        <v>44433</v>
      </c>
      <c r="K16" s="23">
        <v>44244</v>
      </c>
      <c r="L16" s="3" t="str">
        <f t="shared" si="0"/>
        <v>0Y8M0D</v>
      </c>
      <c r="M16" s="3" t="str">
        <f t="shared" si="1"/>
        <v>0Y6M2D</v>
      </c>
      <c r="N16" s="3">
        <f t="shared" si="2"/>
        <v>0.50958904109589043</v>
      </c>
      <c r="O16" s="2">
        <v>1</v>
      </c>
      <c r="P16" s="2">
        <v>5</v>
      </c>
      <c r="Q16" s="2"/>
      <c r="R16" s="2">
        <v>1</v>
      </c>
      <c r="S16" s="2">
        <v>1</v>
      </c>
      <c r="T16" s="2">
        <v>1</v>
      </c>
      <c r="U16" s="2" t="s">
        <v>1669</v>
      </c>
      <c r="V16" s="2" t="s">
        <v>1664</v>
      </c>
      <c r="W16" s="2">
        <v>1</v>
      </c>
      <c r="X16" s="2">
        <v>1</v>
      </c>
      <c r="Y16" s="2">
        <v>1</v>
      </c>
      <c r="Z16" s="2">
        <v>1</v>
      </c>
      <c r="AA16" s="2">
        <v>1</v>
      </c>
      <c r="AB16" s="2">
        <v>1</v>
      </c>
      <c r="AC16" s="2" t="s">
        <v>1666</v>
      </c>
      <c r="AD16" s="2">
        <v>1</v>
      </c>
      <c r="AE16" s="2">
        <v>1</v>
      </c>
      <c r="AF16" s="2">
        <v>1</v>
      </c>
      <c r="AG16" s="2">
        <v>1</v>
      </c>
      <c r="AH16" s="23">
        <v>44244</v>
      </c>
      <c r="AI16" s="3" t="str">
        <f t="shared" si="3"/>
        <v>0Y8M0D</v>
      </c>
      <c r="AJ16" s="3" t="str">
        <f t="shared" si="4"/>
        <v>0Y6M2D</v>
      </c>
      <c r="AK16" s="3">
        <f t="shared" si="5"/>
        <v>0.50958904109589043</v>
      </c>
      <c r="AL16" s="2">
        <v>1</v>
      </c>
      <c r="AM16" s="2">
        <v>1</v>
      </c>
      <c r="AN16" s="2">
        <v>1</v>
      </c>
      <c r="AO16" s="2">
        <v>1</v>
      </c>
      <c r="AP16" s="2">
        <v>1</v>
      </c>
      <c r="AQ16" s="2">
        <v>3</v>
      </c>
      <c r="AR16" s="2"/>
      <c r="AS16" s="23">
        <v>44236</v>
      </c>
      <c r="AT16" s="3" t="str">
        <f t="shared" si="6"/>
        <v>0Y7M23D</v>
      </c>
      <c r="AU16" s="3" t="str">
        <f t="shared" si="7"/>
        <v>0Y5M25D</v>
      </c>
      <c r="AV16" s="3">
        <f t="shared" si="8"/>
        <v>0.48767123287671232</v>
      </c>
      <c r="AW16" s="2">
        <v>1</v>
      </c>
      <c r="AX16" s="23">
        <v>44238</v>
      </c>
      <c r="AY16" s="3" t="str">
        <f t="shared" si="9"/>
        <v>0Y7M25D</v>
      </c>
      <c r="AZ16" s="3" t="str">
        <f t="shared" si="10"/>
        <v>0Y5M27D</v>
      </c>
      <c r="BA16" s="3">
        <f t="shared" si="11"/>
        <v>0.49315068493150682</v>
      </c>
      <c r="BB16" s="2">
        <v>1</v>
      </c>
      <c r="BC16" s="23">
        <v>44244</v>
      </c>
      <c r="BD16" s="3" t="str">
        <f t="shared" si="12"/>
        <v>0Y8M0D</v>
      </c>
      <c r="BE16" s="3" t="str">
        <f t="shared" si="13"/>
        <v>0Y6M2D</v>
      </c>
      <c r="BF16" s="3">
        <f t="shared" si="14"/>
        <v>0.50958904109589043</v>
      </c>
      <c r="BG16" s="2">
        <v>1</v>
      </c>
      <c r="BH16" s="2">
        <v>1</v>
      </c>
    </row>
    <row r="17" spans="1:60" s="127" customFormat="1" ht="16">
      <c r="A17" s="131" t="s">
        <v>87</v>
      </c>
      <c r="B17" s="131">
        <v>21929043</v>
      </c>
      <c r="C17" s="131" t="s">
        <v>88</v>
      </c>
      <c r="D17" s="132">
        <v>43521</v>
      </c>
      <c r="E17" s="132">
        <v>43521</v>
      </c>
      <c r="F17" s="132">
        <v>43521</v>
      </c>
      <c r="G17" s="131" t="s">
        <v>90</v>
      </c>
      <c r="H17" s="85">
        <v>43671</v>
      </c>
      <c r="I17" s="85">
        <v>43886</v>
      </c>
      <c r="J17" s="132"/>
      <c r="K17" s="131" t="s">
        <v>18</v>
      </c>
      <c r="L17" s="133" t="e">
        <f t="shared" si="0"/>
        <v>#VALUE!</v>
      </c>
      <c r="M17" s="133" t="e">
        <f t="shared" si="1"/>
        <v>#VALUE!</v>
      </c>
      <c r="N17" s="133" t="e">
        <f t="shared" si="2"/>
        <v>#VALUE!</v>
      </c>
      <c r="O17" s="20"/>
      <c r="P17" s="20"/>
      <c r="Q17" s="20"/>
      <c r="R17" s="20"/>
      <c r="S17" s="20"/>
      <c r="T17" s="20"/>
      <c r="U17" s="20"/>
      <c r="V17" s="20"/>
      <c r="W17" s="20"/>
      <c r="X17" s="20"/>
      <c r="Y17" s="20"/>
      <c r="Z17" s="20"/>
      <c r="AA17" s="20"/>
      <c r="AB17" s="20"/>
      <c r="AC17" s="20"/>
      <c r="AD17" s="20"/>
      <c r="AE17" s="20"/>
      <c r="AF17" s="20"/>
      <c r="AG17" s="20"/>
      <c r="AH17" s="131"/>
      <c r="AI17" s="133" t="e">
        <f t="shared" si="3"/>
        <v>#NUM!</v>
      </c>
      <c r="AJ17" s="133" t="e">
        <f t="shared" si="4"/>
        <v>#NUM!</v>
      </c>
      <c r="AK17" s="133">
        <f t="shared" si="5"/>
        <v>-119.23561643835616</v>
      </c>
      <c r="AL17" s="20"/>
      <c r="AM17" s="20"/>
      <c r="AN17" s="20"/>
      <c r="AO17" s="20"/>
      <c r="AP17" s="20"/>
      <c r="AQ17" s="20"/>
      <c r="AR17" s="20"/>
      <c r="AS17" s="131"/>
      <c r="AT17" s="133" t="e">
        <f t="shared" si="6"/>
        <v>#NUM!</v>
      </c>
      <c r="AU17" s="133" t="e">
        <f t="shared" si="7"/>
        <v>#NUM!</v>
      </c>
      <c r="AV17" s="133">
        <f t="shared" si="8"/>
        <v>-119.23561643835616</v>
      </c>
      <c r="AW17" s="20"/>
      <c r="AX17" s="131"/>
      <c r="AY17" s="133" t="e">
        <f t="shared" si="9"/>
        <v>#NUM!</v>
      </c>
      <c r="AZ17" s="133" t="e">
        <f t="shared" si="10"/>
        <v>#NUM!</v>
      </c>
      <c r="BA17" s="133">
        <f t="shared" si="11"/>
        <v>-119.23561643835616</v>
      </c>
      <c r="BB17" s="20"/>
      <c r="BC17" s="131"/>
      <c r="BD17" s="133" t="e">
        <f t="shared" si="12"/>
        <v>#NUM!</v>
      </c>
      <c r="BE17" s="133" t="e">
        <f t="shared" si="13"/>
        <v>#NUM!</v>
      </c>
      <c r="BF17" s="133">
        <f t="shared" si="14"/>
        <v>-119.23561643835616</v>
      </c>
      <c r="BG17" s="131"/>
      <c r="BH17" s="131">
        <v>1</v>
      </c>
    </row>
    <row r="18" spans="1:60" ht="16">
      <c r="A18" s="2" t="s">
        <v>92</v>
      </c>
      <c r="B18" s="2">
        <v>22104128</v>
      </c>
      <c r="C18" s="2" t="s">
        <v>93</v>
      </c>
      <c r="D18" s="23">
        <v>43981</v>
      </c>
      <c r="E18" s="23">
        <v>44058</v>
      </c>
      <c r="F18" s="23">
        <v>44058</v>
      </c>
      <c r="G18" s="2" t="s">
        <v>95</v>
      </c>
      <c r="H18" s="55">
        <v>44211</v>
      </c>
      <c r="I18" s="55">
        <v>44423</v>
      </c>
      <c r="J18" s="23">
        <v>44470</v>
      </c>
      <c r="K18" s="23">
        <v>44232</v>
      </c>
      <c r="L18" s="3" t="str">
        <f t="shared" si="0"/>
        <v>0Y8M6D</v>
      </c>
      <c r="M18" s="3" t="str">
        <f t="shared" si="1"/>
        <v>0Y5M21D</v>
      </c>
      <c r="N18" s="3">
        <f t="shared" si="2"/>
        <v>0.47671232876712327</v>
      </c>
      <c r="O18" s="2">
        <v>1</v>
      </c>
      <c r="P18" s="2">
        <v>2</v>
      </c>
      <c r="Q18" s="2" t="s">
        <v>1665</v>
      </c>
      <c r="R18" s="2">
        <v>1</v>
      </c>
      <c r="S18" s="2">
        <v>1</v>
      </c>
      <c r="T18" s="2"/>
      <c r="U18" s="2" t="s">
        <v>1670</v>
      </c>
      <c r="V18" s="2" t="s">
        <v>1661</v>
      </c>
      <c r="W18" s="2">
        <v>1</v>
      </c>
      <c r="X18" s="2">
        <v>1</v>
      </c>
      <c r="Y18" s="2"/>
      <c r="Z18" s="2">
        <v>1</v>
      </c>
      <c r="AA18" s="2">
        <v>1</v>
      </c>
      <c r="AB18" s="2"/>
      <c r="AC18" s="2" t="s">
        <v>1671</v>
      </c>
      <c r="AD18" s="2">
        <v>1</v>
      </c>
      <c r="AE18" s="2">
        <v>1</v>
      </c>
      <c r="AF18" s="2">
        <v>1</v>
      </c>
      <c r="AG18" s="2">
        <v>1</v>
      </c>
      <c r="AH18" s="23">
        <v>44232</v>
      </c>
      <c r="AI18" s="3" t="str">
        <f t="shared" si="3"/>
        <v>0Y8M6D</v>
      </c>
      <c r="AJ18" s="3" t="str">
        <f t="shared" si="4"/>
        <v>0Y5M21D</v>
      </c>
      <c r="AK18" s="3">
        <f t="shared" si="5"/>
        <v>0.47671232876712327</v>
      </c>
      <c r="AL18" s="2">
        <v>1</v>
      </c>
      <c r="AM18" s="2">
        <v>1</v>
      </c>
      <c r="AN18" s="2">
        <v>1</v>
      </c>
      <c r="AO18" s="2">
        <v>1</v>
      </c>
      <c r="AP18" s="2">
        <v>1</v>
      </c>
      <c r="AQ18" s="2">
        <v>1</v>
      </c>
      <c r="AR18" s="2" t="s">
        <v>1672</v>
      </c>
      <c r="AS18" s="23">
        <v>44243</v>
      </c>
      <c r="AT18" s="3" t="str">
        <f t="shared" si="6"/>
        <v>0Y8M17D</v>
      </c>
      <c r="AU18" s="3" t="str">
        <f t="shared" si="7"/>
        <v>0Y6M1D</v>
      </c>
      <c r="AV18" s="3">
        <f t="shared" si="8"/>
        <v>0.50684931506849318</v>
      </c>
      <c r="AW18" s="2">
        <v>1</v>
      </c>
      <c r="AX18" s="23">
        <v>44244</v>
      </c>
      <c r="AY18" s="3" t="str">
        <f t="shared" si="9"/>
        <v>0Y8M18D</v>
      </c>
      <c r="AZ18" s="3" t="str">
        <f t="shared" si="10"/>
        <v>0Y6M2D</v>
      </c>
      <c r="BA18" s="3">
        <f t="shared" si="11"/>
        <v>0.50958904109589043</v>
      </c>
      <c r="BB18" s="2">
        <v>1</v>
      </c>
      <c r="BC18" s="23">
        <v>44232</v>
      </c>
      <c r="BD18" s="3" t="str">
        <f t="shared" si="12"/>
        <v>0Y8M6D</v>
      </c>
      <c r="BE18" s="3" t="str">
        <f t="shared" si="13"/>
        <v>0Y5M21D</v>
      </c>
      <c r="BF18" s="3">
        <f t="shared" si="14"/>
        <v>0.47671232876712327</v>
      </c>
      <c r="BG18" s="2">
        <v>1</v>
      </c>
      <c r="BH18" s="2">
        <v>1</v>
      </c>
    </row>
    <row r="19" spans="1:60" ht="16">
      <c r="A19" s="9" t="s">
        <v>97</v>
      </c>
      <c r="B19" s="9">
        <v>22104135</v>
      </c>
      <c r="C19" s="9" t="s">
        <v>98</v>
      </c>
      <c r="D19" s="30">
        <v>43981</v>
      </c>
      <c r="E19" s="30">
        <v>44050</v>
      </c>
      <c r="F19" s="30">
        <v>44050</v>
      </c>
      <c r="G19" s="9" t="s">
        <v>100</v>
      </c>
      <c r="H19" s="55">
        <v>44203</v>
      </c>
      <c r="I19" s="55">
        <v>44415</v>
      </c>
      <c r="J19" s="30">
        <v>44442</v>
      </c>
      <c r="K19" s="30">
        <v>44225</v>
      </c>
      <c r="L19" s="11" t="str">
        <f t="shared" si="0"/>
        <v>0Y7M30D</v>
      </c>
      <c r="M19" s="11" t="str">
        <f t="shared" si="1"/>
        <v>0Y5M22D</v>
      </c>
      <c r="N19" s="11">
        <f t="shared" si="2"/>
        <v>0.47945205479452052</v>
      </c>
      <c r="O19" s="2">
        <v>1</v>
      </c>
      <c r="P19" s="2">
        <v>4</v>
      </c>
      <c r="Q19" s="2"/>
      <c r="R19" s="2">
        <v>1</v>
      </c>
      <c r="S19" s="2">
        <v>1</v>
      </c>
      <c r="T19" s="2">
        <v>1</v>
      </c>
      <c r="U19" s="2" t="s">
        <v>1673</v>
      </c>
      <c r="V19" s="2" t="s">
        <v>1664</v>
      </c>
      <c r="W19" s="2">
        <v>1</v>
      </c>
      <c r="X19" s="2">
        <v>1</v>
      </c>
      <c r="Y19" s="2">
        <v>1</v>
      </c>
      <c r="Z19" s="2">
        <v>1</v>
      </c>
      <c r="AA19" s="2">
        <v>1</v>
      </c>
      <c r="AB19" s="2">
        <v>1</v>
      </c>
      <c r="AC19" s="2" t="s">
        <v>1674</v>
      </c>
      <c r="AD19" s="2">
        <v>1</v>
      </c>
      <c r="AE19" s="2">
        <v>1</v>
      </c>
      <c r="AF19" s="2">
        <v>1</v>
      </c>
      <c r="AG19" s="2">
        <v>1</v>
      </c>
      <c r="AH19" s="30">
        <v>44225</v>
      </c>
      <c r="AI19" s="11" t="str">
        <f t="shared" si="3"/>
        <v>0Y7M30D</v>
      </c>
      <c r="AJ19" s="11" t="str">
        <f t="shared" si="4"/>
        <v>0Y5M22D</v>
      </c>
      <c r="AK19" s="11">
        <f t="shared" si="5"/>
        <v>0.47945205479452052</v>
      </c>
      <c r="AL19" s="2">
        <v>1</v>
      </c>
      <c r="AM19" s="2">
        <v>1</v>
      </c>
      <c r="AN19" s="2">
        <v>1</v>
      </c>
      <c r="AO19" s="2">
        <v>1</v>
      </c>
      <c r="AP19" s="2">
        <v>1</v>
      </c>
      <c r="AQ19" s="2">
        <v>3</v>
      </c>
      <c r="AR19" s="2"/>
      <c r="AS19" s="30">
        <v>44224</v>
      </c>
      <c r="AT19" s="11" t="str">
        <f t="shared" si="6"/>
        <v>0Y7M29D</v>
      </c>
      <c r="AU19" s="11" t="str">
        <f t="shared" si="7"/>
        <v>0Y5M21D</v>
      </c>
      <c r="AV19" s="11">
        <f t="shared" si="8"/>
        <v>0.47671232876712327</v>
      </c>
      <c r="AW19" s="2">
        <v>1</v>
      </c>
      <c r="AX19" s="9"/>
      <c r="AY19" s="11" t="e">
        <f t="shared" si="9"/>
        <v>#NUM!</v>
      </c>
      <c r="AZ19" s="11" t="e">
        <f t="shared" si="10"/>
        <v>#NUM!</v>
      </c>
      <c r="BA19" s="11">
        <f t="shared" si="11"/>
        <v>-120.68493150684931</v>
      </c>
      <c r="BB19" s="2"/>
      <c r="BC19" s="30">
        <v>44225</v>
      </c>
      <c r="BD19" s="11" t="str">
        <f t="shared" si="12"/>
        <v>0Y7M30D</v>
      </c>
      <c r="BE19" s="11" t="str">
        <f t="shared" si="13"/>
        <v>0Y5M22D</v>
      </c>
      <c r="BF19" s="11">
        <f t="shared" si="14"/>
        <v>0.47945205479452052</v>
      </c>
      <c r="BG19" s="9">
        <v>1</v>
      </c>
      <c r="BH19" s="9">
        <v>1</v>
      </c>
    </row>
    <row r="20" spans="1:60" ht="16">
      <c r="A20" s="9" t="s">
        <v>102</v>
      </c>
      <c r="B20" s="9">
        <v>22243391</v>
      </c>
      <c r="C20" s="9" t="s">
        <v>103</v>
      </c>
      <c r="D20" s="30">
        <v>44009</v>
      </c>
      <c r="E20" s="30">
        <v>44069</v>
      </c>
      <c r="F20" s="30">
        <v>44069</v>
      </c>
      <c r="G20" s="9" t="s">
        <v>105</v>
      </c>
      <c r="H20" s="55">
        <v>44222</v>
      </c>
      <c r="I20" s="55">
        <v>44434</v>
      </c>
      <c r="J20" s="30">
        <v>44461</v>
      </c>
      <c r="K20" s="30">
        <v>44279</v>
      </c>
      <c r="L20" s="11" t="str">
        <f t="shared" si="0"/>
        <v>0Y8M25D</v>
      </c>
      <c r="M20" s="11" t="str">
        <f t="shared" si="1"/>
        <v>0Y6M26D</v>
      </c>
      <c r="N20" s="11">
        <f t="shared" si="2"/>
        <v>0.57534246575342463</v>
      </c>
      <c r="O20" s="9">
        <v>1</v>
      </c>
      <c r="P20" s="9">
        <v>3</v>
      </c>
      <c r="Q20" s="30"/>
      <c r="R20" s="9">
        <v>1</v>
      </c>
      <c r="S20" s="9">
        <v>1</v>
      </c>
      <c r="T20" s="9">
        <v>1</v>
      </c>
      <c r="U20" s="30" t="s">
        <v>1669</v>
      </c>
      <c r="V20" s="9" t="s">
        <v>1675</v>
      </c>
      <c r="W20" s="9">
        <v>1</v>
      </c>
      <c r="X20" s="9">
        <v>1</v>
      </c>
      <c r="Y20" s="9">
        <v>1</v>
      </c>
      <c r="Z20" s="9">
        <v>1</v>
      </c>
      <c r="AA20" s="9">
        <v>1</v>
      </c>
      <c r="AB20" s="9">
        <v>1</v>
      </c>
      <c r="AC20" s="9"/>
      <c r="AD20" s="9">
        <v>1</v>
      </c>
      <c r="AE20" s="9">
        <v>1</v>
      </c>
      <c r="AF20" s="9">
        <v>1</v>
      </c>
      <c r="AG20" s="9">
        <v>1</v>
      </c>
      <c r="AH20" s="30">
        <v>44279</v>
      </c>
      <c r="AI20" s="11" t="str">
        <f t="shared" si="3"/>
        <v>0Y8M25D</v>
      </c>
      <c r="AJ20" s="11" t="str">
        <f t="shared" si="4"/>
        <v>0Y6M26D</v>
      </c>
      <c r="AK20" s="11">
        <f t="shared" si="5"/>
        <v>0.57534246575342463</v>
      </c>
      <c r="AL20" s="9">
        <v>1</v>
      </c>
      <c r="AM20" s="9">
        <v>1</v>
      </c>
      <c r="AN20" s="9">
        <v>1</v>
      </c>
      <c r="AO20" s="9">
        <v>1</v>
      </c>
      <c r="AP20" s="9">
        <v>1</v>
      </c>
      <c r="AQ20" s="9">
        <v>3</v>
      </c>
      <c r="AR20" s="9"/>
      <c r="AS20" s="30">
        <v>44276</v>
      </c>
      <c r="AT20" s="11" t="str">
        <f t="shared" si="6"/>
        <v>0Y8M22D</v>
      </c>
      <c r="AU20" s="11" t="str">
        <f t="shared" si="7"/>
        <v>0Y6M23D</v>
      </c>
      <c r="AV20" s="11">
        <f t="shared" si="8"/>
        <v>0.56712328767123288</v>
      </c>
      <c r="AW20" s="9">
        <v>1</v>
      </c>
      <c r="AX20" s="9"/>
      <c r="AY20" s="11" t="e">
        <f t="shared" si="9"/>
        <v>#NUM!</v>
      </c>
      <c r="AZ20" s="11" t="e">
        <f t="shared" si="10"/>
        <v>#NUM!</v>
      </c>
      <c r="BA20" s="11">
        <f t="shared" si="11"/>
        <v>-120.73698630136987</v>
      </c>
      <c r="BB20" s="9"/>
      <c r="BC20" s="30">
        <v>44279</v>
      </c>
      <c r="BD20" s="11" t="str">
        <f t="shared" si="12"/>
        <v>0Y8M25D</v>
      </c>
      <c r="BE20" s="11" t="str">
        <f t="shared" si="13"/>
        <v>0Y6M26D</v>
      </c>
      <c r="BF20" s="11">
        <f t="shared" si="14"/>
        <v>0.57534246575342463</v>
      </c>
      <c r="BG20" s="9">
        <v>1</v>
      </c>
      <c r="BH20" s="9">
        <v>1</v>
      </c>
    </row>
    <row r="21" spans="1:60" ht="16">
      <c r="A21" s="9" t="s">
        <v>107</v>
      </c>
      <c r="B21" s="9">
        <v>22103984</v>
      </c>
      <c r="C21" s="9" t="s">
        <v>108</v>
      </c>
      <c r="D21" s="30">
        <v>43964</v>
      </c>
      <c r="E21" s="30">
        <v>43970</v>
      </c>
      <c r="F21" s="30">
        <v>43964</v>
      </c>
      <c r="G21" s="9" t="s">
        <v>110</v>
      </c>
      <c r="H21" s="55">
        <v>44123</v>
      </c>
      <c r="I21" s="55">
        <v>44335</v>
      </c>
      <c r="J21" s="30">
        <v>44330</v>
      </c>
      <c r="K21" s="30">
        <v>44211</v>
      </c>
      <c r="L21" s="11" t="str">
        <f t="shared" si="0"/>
        <v>0Y8M2D</v>
      </c>
      <c r="M21" s="11" t="str">
        <f t="shared" si="1"/>
        <v>0Y7M27D</v>
      </c>
      <c r="N21" s="11">
        <f t="shared" si="2"/>
        <v>0.67671232876712328</v>
      </c>
      <c r="O21" s="9">
        <v>1</v>
      </c>
      <c r="P21" s="9">
        <v>4</v>
      </c>
      <c r="Q21" s="9"/>
      <c r="R21" s="9">
        <v>1</v>
      </c>
      <c r="S21" s="9">
        <v>1</v>
      </c>
      <c r="T21" s="9"/>
      <c r="U21" s="9" t="s">
        <v>1674</v>
      </c>
      <c r="V21" s="9" t="s">
        <v>1661</v>
      </c>
      <c r="W21" s="9">
        <v>1</v>
      </c>
      <c r="X21" s="9">
        <v>1</v>
      </c>
      <c r="Y21" s="9">
        <v>1</v>
      </c>
      <c r="Z21" s="9">
        <v>1</v>
      </c>
      <c r="AA21" s="9">
        <v>1</v>
      </c>
      <c r="AB21" s="9">
        <v>1</v>
      </c>
      <c r="AC21" s="9" t="s">
        <v>1663</v>
      </c>
      <c r="AD21" s="9">
        <v>1</v>
      </c>
      <c r="AE21" s="9">
        <v>1</v>
      </c>
      <c r="AF21" s="9">
        <v>1</v>
      </c>
      <c r="AG21" s="9">
        <v>1</v>
      </c>
      <c r="AH21" s="30">
        <v>44211</v>
      </c>
      <c r="AI21" s="11" t="str">
        <f t="shared" si="3"/>
        <v>0Y8M2D</v>
      </c>
      <c r="AJ21" s="11" t="str">
        <f t="shared" si="4"/>
        <v>0Y7M27D</v>
      </c>
      <c r="AK21" s="11">
        <f t="shared" si="5"/>
        <v>0.67671232876712328</v>
      </c>
      <c r="AL21" s="9">
        <v>1</v>
      </c>
      <c r="AM21" s="9" t="s">
        <v>1676</v>
      </c>
      <c r="AN21" s="9">
        <v>1</v>
      </c>
      <c r="AO21" s="9">
        <v>1</v>
      </c>
      <c r="AP21" s="9">
        <v>1</v>
      </c>
      <c r="AQ21" s="9"/>
      <c r="AR21" s="9"/>
      <c r="AS21" s="30">
        <v>44210</v>
      </c>
      <c r="AT21" s="11" t="str">
        <f t="shared" si="6"/>
        <v>0Y8M1D</v>
      </c>
      <c r="AU21" s="11" t="str">
        <f t="shared" si="7"/>
        <v>0Y7M26D</v>
      </c>
      <c r="AV21" s="11">
        <f t="shared" si="8"/>
        <v>0.67397260273972603</v>
      </c>
      <c r="AW21" s="9">
        <v>1</v>
      </c>
      <c r="AX21" s="9"/>
      <c r="AY21" s="11" t="e">
        <f t="shared" si="9"/>
        <v>#NUM!</v>
      </c>
      <c r="AZ21" s="11" t="e">
        <f t="shared" si="10"/>
        <v>#NUM!</v>
      </c>
      <c r="BA21" s="11">
        <f t="shared" si="11"/>
        <v>-120.44931506849315</v>
      </c>
      <c r="BB21" s="9"/>
      <c r="BC21" s="30">
        <v>44211</v>
      </c>
      <c r="BD21" s="11" t="str">
        <f t="shared" si="12"/>
        <v>0Y8M2D</v>
      </c>
      <c r="BE21" s="11" t="str">
        <f t="shared" si="13"/>
        <v>0Y7M27D</v>
      </c>
      <c r="BF21" s="11">
        <f t="shared" si="14"/>
        <v>0.67671232876712328</v>
      </c>
      <c r="BG21" s="9">
        <v>1</v>
      </c>
      <c r="BH21" s="9">
        <v>0</v>
      </c>
    </row>
    <row r="22" spans="1:60" s="114" customFormat="1" ht="16">
      <c r="A22" s="18" t="s">
        <v>112</v>
      </c>
      <c r="B22" s="18">
        <v>21927677</v>
      </c>
      <c r="C22" s="18" t="s">
        <v>113</v>
      </c>
      <c r="D22" s="79">
        <v>43396</v>
      </c>
      <c r="E22" s="79">
        <v>43480</v>
      </c>
      <c r="F22" s="79">
        <v>43480</v>
      </c>
      <c r="G22" s="18" t="s">
        <v>49</v>
      </c>
      <c r="H22" s="78">
        <v>43631</v>
      </c>
      <c r="I22" s="78">
        <v>43845</v>
      </c>
      <c r="J22" s="16"/>
      <c r="K22" s="16"/>
      <c r="L22" s="68" t="e">
        <f t="shared" si="0"/>
        <v>#NUM!</v>
      </c>
      <c r="M22" s="68" t="e">
        <f t="shared" si="1"/>
        <v>#NUM!</v>
      </c>
      <c r="N22" s="68">
        <f t="shared" si="2"/>
        <v>-119.12328767123287</v>
      </c>
      <c r="O22" s="16"/>
      <c r="P22" s="16"/>
      <c r="Q22" s="16"/>
      <c r="R22" s="16"/>
      <c r="S22" s="16"/>
      <c r="T22" s="16"/>
      <c r="U22" s="16"/>
      <c r="V22" s="16"/>
      <c r="W22" s="16"/>
      <c r="X22" s="16"/>
      <c r="Y22" s="16"/>
      <c r="Z22" s="16"/>
      <c r="AA22" s="16"/>
      <c r="AB22" s="16"/>
      <c r="AC22" s="16"/>
      <c r="AD22" s="16"/>
      <c r="AE22" s="16"/>
      <c r="AF22" s="16"/>
      <c r="AG22" s="16"/>
      <c r="AH22" s="16"/>
      <c r="AI22" s="68" t="e">
        <f t="shared" si="3"/>
        <v>#NUM!</v>
      </c>
      <c r="AJ22" s="68" t="e">
        <f t="shared" si="4"/>
        <v>#NUM!</v>
      </c>
      <c r="AK22" s="68">
        <f t="shared" si="5"/>
        <v>-119.12328767123287</v>
      </c>
      <c r="AL22" s="16"/>
      <c r="AM22" s="16"/>
      <c r="AN22" s="16"/>
      <c r="AO22" s="16"/>
      <c r="AP22" s="16"/>
      <c r="AQ22" s="16"/>
      <c r="AR22" s="16"/>
      <c r="AS22" s="16"/>
      <c r="AT22" s="68" t="e">
        <f t="shared" si="6"/>
        <v>#NUM!</v>
      </c>
      <c r="AU22" s="68" t="e">
        <f t="shared" si="7"/>
        <v>#NUM!</v>
      </c>
      <c r="AV22" s="68">
        <f t="shared" si="8"/>
        <v>-119.12328767123287</v>
      </c>
      <c r="AW22" s="16"/>
      <c r="AX22" s="16"/>
      <c r="AY22" s="68" t="e">
        <f t="shared" si="9"/>
        <v>#NUM!</v>
      </c>
      <c r="AZ22" s="68" t="e">
        <f t="shared" si="10"/>
        <v>#NUM!</v>
      </c>
      <c r="BA22" s="68">
        <f t="shared" si="11"/>
        <v>-119.12328767123287</v>
      </c>
      <c r="BB22" s="16"/>
      <c r="BC22" s="16"/>
      <c r="BD22" s="68" t="e">
        <f t="shared" si="12"/>
        <v>#NUM!</v>
      </c>
      <c r="BE22" s="68" t="e">
        <f t="shared" si="13"/>
        <v>#NUM!</v>
      </c>
      <c r="BF22" s="68">
        <f t="shared" si="14"/>
        <v>-119.12328767123287</v>
      </c>
      <c r="BG22" s="16"/>
      <c r="BH22" s="16"/>
    </row>
    <row r="23" spans="1:60" ht="16">
      <c r="A23" s="9" t="s">
        <v>116</v>
      </c>
      <c r="B23" s="9">
        <v>22104757</v>
      </c>
      <c r="C23" s="9" t="s">
        <v>117</v>
      </c>
      <c r="D23" s="30">
        <v>44041</v>
      </c>
      <c r="E23" s="30">
        <v>44099</v>
      </c>
      <c r="F23" s="30">
        <v>44099</v>
      </c>
      <c r="G23" s="9" t="s">
        <v>119</v>
      </c>
      <c r="H23" s="55">
        <v>44252</v>
      </c>
      <c r="I23" s="55">
        <v>44464</v>
      </c>
      <c r="J23" s="30">
        <v>44411</v>
      </c>
      <c r="K23" s="30">
        <v>44278</v>
      </c>
      <c r="L23" s="11" t="str">
        <f t="shared" si="0"/>
        <v>0Y7M22D</v>
      </c>
      <c r="M23" s="11" t="str">
        <f t="shared" si="1"/>
        <v>0Y5M26D</v>
      </c>
      <c r="N23" s="11">
        <f t="shared" si="2"/>
        <v>0.49041095890410957</v>
      </c>
      <c r="O23" s="9">
        <v>1</v>
      </c>
      <c r="P23" s="9">
        <v>3</v>
      </c>
      <c r="Q23" s="30"/>
      <c r="R23" s="9">
        <v>1</v>
      </c>
      <c r="S23" s="9">
        <v>1</v>
      </c>
      <c r="T23" s="9">
        <v>1</v>
      </c>
      <c r="U23" s="30" t="s">
        <v>1677</v>
      </c>
      <c r="V23" s="9" t="s">
        <v>1675</v>
      </c>
      <c r="W23" s="9">
        <v>1</v>
      </c>
      <c r="X23" s="9">
        <v>1</v>
      </c>
      <c r="Y23" s="9">
        <v>1</v>
      </c>
      <c r="Z23" s="9">
        <v>1</v>
      </c>
      <c r="AA23" s="9">
        <v>1</v>
      </c>
      <c r="AB23" s="9">
        <v>1</v>
      </c>
      <c r="AC23" s="9" t="s">
        <v>1678</v>
      </c>
      <c r="AD23" s="9">
        <v>1</v>
      </c>
      <c r="AE23" s="9">
        <v>1</v>
      </c>
      <c r="AF23" s="9">
        <v>1</v>
      </c>
      <c r="AG23" s="9">
        <v>1</v>
      </c>
      <c r="AH23" s="30">
        <v>44278</v>
      </c>
      <c r="AI23" s="11" t="str">
        <f t="shared" si="3"/>
        <v>0Y7M22D</v>
      </c>
      <c r="AJ23" s="11" t="str">
        <f t="shared" si="4"/>
        <v>0Y5M26D</v>
      </c>
      <c r="AK23" s="11">
        <f t="shared" si="5"/>
        <v>0.49041095890410957</v>
      </c>
      <c r="AL23" s="9">
        <v>1</v>
      </c>
      <c r="AM23" s="9">
        <v>1</v>
      </c>
      <c r="AN23" s="9">
        <v>1</v>
      </c>
      <c r="AO23" s="9">
        <v>1</v>
      </c>
      <c r="AP23" s="9">
        <v>1</v>
      </c>
      <c r="AQ23" s="9"/>
      <c r="AR23" s="9" t="s">
        <v>1658</v>
      </c>
      <c r="AS23" s="30">
        <v>44276</v>
      </c>
      <c r="AT23" s="11" t="str">
        <f t="shared" si="6"/>
        <v>0Y7M20D</v>
      </c>
      <c r="AU23" s="11" t="str">
        <f t="shared" si="7"/>
        <v>0Y5M24D</v>
      </c>
      <c r="AV23" s="11">
        <f t="shared" si="8"/>
        <v>0.48493150684931507</v>
      </c>
      <c r="AW23" s="9">
        <v>1</v>
      </c>
      <c r="AX23" s="30">
        <v>44277</v>
      </c>
      <c r="AY23" s="11" t="str">
        <f t="shared" si="9"/>
        <v>0Y7M21D</v>
      </c>
      <c r="AZ23" s="11" t="str">
        <f t="shared" si="10"/>
        <v>0Y5M25D</v>
      </c>
      <c r="BA23" s="11">
        <f t="shared" si="11"/>
        <v>0.48767123287671232</v>
      </c>
      <c r="BB23" s="9">
        <v>1</v>
      </c>
      <c r="BC23" s="30">
        <v>44278</v>
      </c>
      <c r="BD23" s="11" t="str">
        <f t="shared" si="12"/>
        <v>0Y7M22D</v>
      </c>
      <c r="BE23" s="11" t="str">
        <f t="shared" si="13"/>
        <v>0Y5M26D</v>
      </c>
      <c r="BF23" s="11">
        <f t="shared" si="14"/>
        <v>0.49041095890410957</v>
      </c>
      <c r="BG23" s="9">
        <v>1</v>
      </c>
      <c r="BH23" s="9">
        <v>1</v>
      </c>
    </row>
    <row r="24" spans="1:60" ht="16">
      <c r="A24" s="9" t="s">
        <v>121</v>
      </c>
      <c r="B24" s="9">
        <v>22104689</v>
      </c>
      <c r="C24" s="9" t="s">
        <v>122</v>
      </c>
      <c r="D24" s="30">
        <v>44035</v>
      </c>
      <c r="E24" s="30">
        <v>44042</v>
      </c>
      <c r="F24" s="30">
        <v>44035</v>
      </c>
      <c r="G24" s="9" t="s">
        <v>124</v>
      </c>
      <c r="H24" s="55">
        <v>44195</v>
      </c>
      <c r="I24" s="55">
        <v>44407</v>
      </c>
      <c r="J24" s="30">
        <v>44477</v>
      </c>
      <c r="K24" s="30">
        <v>44232</v>
      </c>
      <c r="L24" s="11" t="str">
        <f t="shared" si="0"/>
        <v>0Y6M13D</v>
      </c>
      <c r="M24" s="11" t="str">
        <f t="shared" si="1"/>
        <v>0Y6M6D</v>
      </c>
      <c r="N24" s="11">
        <f t="shared" si="2"/>
        <v>0.53972602739726028</v>
      </c>
      <c r="O24" s="9">
        <v>1</v>
      </c>
      <c r="P24" s="9">
        <v>3</v>
      </c>
      <c r="Q24" s="9"/>
      <c r="R24" s="9">
        <v>1</v>
      </c>
      <c r="S24" s="9">
        <v>1</v>
      </c>
      <c r="T24" s="9"/>
      <c r="U24" s="9" t="s">
        <v>1671</v>
      </c>
      <c r="V24" s="9" t="s">
        <v>1664</v>
      </c>
      <c r="W24" s="9">
        <v>1</v>
      </c>
      <c r="X24" s="9">
        <v>1</v>
      </c>
      <c r="Y24" s="9">
        <v>1</v>
      </c>
      <c r="Z24" s="9">
        <v>1</v>
      </c>
      <c r="AA24" s="9">
        <v>1</v>
      </c>
      <c r="AB24" s="9">
        <v>1</v>
      </c>
      <c r="AC24" s="9"/>
      <c r="AD24" s="9">
        <v>1</v>
      </c>
      <c r="AE24" s="9">
        <v>1</v>
      </c>
      <c r="AF24" s="9">
        <v>1</v>
      </c>
      <c r="AG24" s="9">
        <v>1</v>
      </c>
      <c r="AH24" s="30">
        <v>44249</v>
      </c>
      <c r="AI24" s="11" t="str">
        <f t="shared" si="3"/>
        <v>0Y6M30D</v>
      </c>
      <c r="AJ24" s="11" t="str">
        <f t="shared" si="4"/>
        <v>0Y6M23D</v>
      </c>
      <c r="AK24" s="11">
        <f t="shared" si="5"/>
        <v>0.58630136986301373</v>
      </c>
      <c r="AL24" s="9">
        <v>1</v>
      </c>
      <c r="AM24" s="9">
        <v>1</v>
      </c>
      <c r="AN24" s="9">
        <v>1</v>
      </c>
      <c r="AO24" s="9">
        <v>1</v>
      </c>
      <c r="AP24" s="9">
        <v>1</v>
      </c>
      <c r="AQ24" s="9">
        <v>2</v>
      </c>
      <c r="AR24" s="9" t="s">
        <v>1677</v>
      </c>
      <c r="AS24" s="30">
        <v>44247</v>
      </c>
      <c r="AT24" s="11" t="str">
        <f t="shared" si="6"/>
        <v>0Y6M28D</v>
      </c>
      <c r="AU24" s="11" t="str">
        <f t="shared" si="7"/>
        <v>0Y6M21D</v>
      </c>
      <c r="AV24" s="11">
        <f t="shared" si="8"/>
        <v>0.58082191780821912</v>
      </c>
      <c r="AW24" s="9">
        <v>1</v>
      </c>
      <c r="AX24" s="9"/>
      <c r="AY24" s="11" t="e">
        <f t="shared" si="9"/>
        <v>#NUM!</v>
      </c>
      <c r="AZ24" s="11" t="e">
        <f t="shared" si="10"/>
        <v>#NUM!</v>
      </c>
      <c r="BA24" s="11">
        <f t="shared" si="11"/>
        <v>-120.64383561643835</v>
      </c>
      <c r="BB24" s="9"/>
      <c r="BC24" s="30">
        <v>44232</v>
      </c>
      <c r="BD24" s="11" t="str">
        <f t="shared" si="12"/>
        <v>0Y6M13D</v>
      </c>
      <c r="BE24" s="11" t="str">
        <f t="shared" si="13"/>
        <v>0Y6M6D</v>
      </c>
      <c r="BF24" s="11">
        <f t="shared" si="14"/>
        <v>0.53972602739726028</v>
      </c>
      <c r="BG24" s="9">
        <v>1</v>
      </c>
      <c r="BH24" s="9">
        <v>0</v>
      </c>
    </row>
    <row r="25" spans="1:60" s="110" customFormat="1" ht="16">
      <c r="A25" s="19" t="s">
        <v>126</v>
      </c>
      <c r="B25" s="19">
        <v>22264557</v>
      </c>
      <c r="C25" s="19" t="s">
        <v>127</v>
      </c>
      <c r="D25" s="48">
        <v>44036</v>
      </c>
      <c r="E25" s="48">
        <v>44043</v>
      </c>
      <c r="F25" s="48">
        <v>44036</v>
      </c>
      <c r="G25" s="19" t="s">
        <v>129</v>
      </c>
      <c r="H25" s="75">
        <v>44196</v>
      </c>
      <c r="I25" s="75">
        <v>44408</v>
      </c>
      <c r="J25" s="48">
        <v>44418</v>
      </c>
      <c r="K25" s="48">
        <v>44264</v>
      </c>
      <c r="L25" s="69" t="str">
        <f t="shared" si="0"/>
        <v>0Y7M13D</v>
      </c>
      <c r="M25" s="69" t="str">
        <f t="shared" si="1"/>
        <v>0Y7M6D</v>
      </c>
      <c r="N25" s="69">
        <f t="shared" si="2"/>
        <v>0.62465753424657533</v>
      </c>
      <c r="O25" s="19">
        <v>1</v>
      </c>
      <c r="P25" s="19">
        <v>2</v>
      </c>
      <c r="Q25" s="19"/>
      <c r="R25" s="19">
        <v>1</v>
      </c>
      <c r="S25" s="19">
        <v>1</v>
      </c>
      <c r="T25" s="19"/>
      <c r="U25" s="19" t="s">
        <v>1671</v>
      </c>
      <c r="V25" s="19" t="s">
        <v>1661</v>
      </c>
      <c r="W25" s="19">
        <v>1</v>
      </c>
      <c r="X25" s="19">
        <v>1</v>
      </c>
      <c r="Y25" s="19">
        <v>1</v>
      </c>
      <c r="Z25" s="19">
        <v>1</v>
      </c>
      <c r="AA25" s="19">
        <v>1</v>
      </c>
      <c r="AB25" s="19">
        <v>1</v>
      </c>
      <c r="AC25" s="19" t="s">
        <v>1679</v>
      </c>
      <c r="AD25" s="19">
        <v>1</v>
      </c>
      <c r="AE25" s="19">
        <v>1</v>
      </c>
      <c r="AF25" s="19">
        <v>1</v>
      </c>
      <c r="AG25" s="19">
        <v>1</v>
      </c>
      <c r="AH25" s="48">
        <v>44264</v>
      </c>
      <c r="AI25" s="69" t="str">
        <f t="shared" si="3"/>
        <v>0Y7M13D</v>
      </c>
      <c r="AJ25" s="69" t="str">
        <f t="shared" si="4"/>
        <v>0Y7M6D</v>
      </c>
      <c r="AK25" s="69">
        <f t="shared" si="5"/>
        <v>0.62465753424657533</v>
      </c>
      <c r="AL25" s="19">
        <v>1</v>
      </c>
      <c r="AM25" s="19">
        <v>1</v>
      </c>
      <c r="AN25" s="19">
        <v>1</v>
      </c>
      <c r="AO25" s="19">
        <v>1</v>
      </c>
      <c r="AP25" s="19">
        <v>1</v>
      </c>
      <c r="AQ25" s="19"/>
      <c r="AR25" s="19" t="s">
        <v>1671</v>
      </c>
      <c r="AS25" s="49" t="s">
        <v>1680</v>
      </c>
      <c r="AT25" s="80" t="e">
        <f t="shared" si="6"/>
        <v>#VALUE!</v>
      </c>
      <c r="AU25" s="69" t="e">
        <f t="shared" si="7"/>
        <v>#VALUE!</v>
      </c>
      <c r="AV25" s="69" t="e">
        <f t="shared" si="8"/>
        <v>#VALUE!</v>
      </c>
      <c r="AW25" s="19"/>
      <c r="AX25" s="19" t="s">
        <v>1680</v>
      </c>
      <c r="AY25" s="69" t="e">
        <f t="shared" si="9"/>
        <v>#VALUE!</v>
      </c>
      <c r="AZ25" s="69" t="e">
        <f t="shared" si="10"/>
        <v>#VALUE!</v>
      </c>
      <c r="BA25" s="69" t="e">
        <f t="shared" si="11"/>
        <v>#VALUE!</v>
      </c>
      <c r="BB25" s="19"/>
      <c r="BC25" s="48">
        <v>44264</v>
      </c>
      <c r="BD25" s="69" t="str">
        <f t="shared" si="12"/>
        <v>0Y7M13D</v>
      </c>
      <c r="BE25" s="69" t="str">
        <f t="shared" si="13"/>
        <v>0Y7M6D</v>
      </c>
      <c r="BF25" s="69">
        <f t="shared" si="14"/>
        <v>0.62465753424657533</v>
      </c>
      <c r="BG25" s="19">
        <v>1</v>
      </c>
      <c r="BH25" s="19">
        <v>1</v>
      </c>
    </row>
    <row r="26" spans="1:60" ht="16">
      <c r="A26" s="9" t="s">
        <v>131</v>
      </c>
      <c r="B26" s="9">
        <v>22104829</v>
      </c>
      <c r="C26" s="81" t="s">
        <v>1032</v>
      </c>
      <c r="D26" s="30">
        <v>44049</v>
      </c>
      <c r="E26" s="30">
        <v>44114</v>
      </c>
      <c r="F26" s="30">
        <v>44114</v>
      </c>
      <c r="G26" s="9" t="s">
        <v>134</v>
      </c>
      <c r="H26" s="55">
        <v>44265</v>
      </c>
      <c r="I26" s="55">
        <v>44479</v>
      </c>
      <c r="J26" s="30">
        <v>44481</v>
      </c>
      <c r="K26" s="30">
        <v>44292</v>
      </c>
      <c r="L26" s="11" t="str">
        <f t="shared" si="0"/>
        <v>0Y8M0D</v>
      </c>
      <c r="M26" s="11" t="str">
        <f t="shared" si="1"/>
        <v>0Y5M27D</v>
      </c>
      <c r="N26" s="11">
        <f t="shared" si="2"/>
        <v>0.48767123287671232</v>
      </c>
      <c r="O26" s="9">
        <v>1</v>
      </c>
      <c r="P26" s="9">
        <v>2</v>
      </c>
      <c r="Q26" s="9"/>
      <c r="R26" s="9">
        <v>1</v>
      </c>
      <c r="S26" s="9">
        <v>1</v>
      </c>
      <c r="T26" s="9"/>
      <c r="U26" s="9" t="s">
        <v>1681</v>
      </c>
      <c r="V26" s="9" t="s">
        <v>1661</v>
      </c>
      <c r="W26" s="9">
        <v>1</v>
      </c>
      <c r="X26" s="9">
        <v>1</v>
      </c>
      <c r="Y26" s="9">
        <v>1</v>
      </c>
      <c r="Z26" s="9">
        <v>1</v>
      </c>
      <c r="AA26" s="9">
        <v>1</v>
      </c>
      <c r="AB26" s="9"/>
      <c r="AC26" s="9" t="s">
        <v>1682</v>
      </c>
      <c r="AD26" s="9">
        <v>1</v>
      </c>
      <c r="AE26" s="9">
        <v>1</v>
      </c>
      <c r="AF26" s="9">
        <v>1</v>
      </c>
      <c r="AG26" s="9">
        <v>1</v>
      </c>
      <c r="AH26" s="30">
        <v>44292</v>
      </c>
      <c r="AI26" s="11" t="str">
        <f t="shared" si="3"/>
        <v>0Y8M0D</v>
      </c>
      <c r="AJ26" s="11" t="str">
        <f t="shared" si="4"/>
        <v>0Y5M27D</v>
      </c>
      <c r="AK26" s="11">
        <f t="shared" si="5"/>
        <v>0.48767123287671232</v>
      </c>
      <c r="AL26" s="9">
        <v>1</v>
      </c>
      <c r="AM26" s="9">
        <v>1</v>
      </c>
      <c r="AN26" s="9">
        <v>1</v>
      </c>
      <c r="AO26" s="9">
        <v>1</v>
      </c>
      <c r="AP26" s="9">
        <v>1</v>
      </c>
      <c r="AQ26" s="9">
        <v>1</v>
      </c>
      <c r="AR26" s="9" t="s">
        <v>1683</v>
      </c>
      <c r="AS26" s="30">
        <v>44290</v>
      </c>
      <c r="AT26" s="11" t="str">
        <f t="shared" si="6"/>
        <v>0Y7M29D</v>
      </c>
      <c r="AU26" s="11" t="str">
        <f t="shared" si="7"/>
        <v>0Y5M25D</v>
      </c>
      <c r="AV26" s="11">
        <f t="shared" si="8"/>
        <v>0.48219178082191783</v>
      </c>
      <c r="AW26" s="9">
        <v>1</v>
      </c>
      <c r="AX26" s="30">
        <v>44291</v>
      </c>
      <c r="AY26" s="11" t="str">
        <f t="shared" si="9"/>
        <v>0Y7M30D</v>
      </c>
      <c r="AZ26" s="11" t="str">
        <f t="shared" si="10"/>
        <v>0Y5M26D</v>
      </c>
      <c r="BA26" s="11">
        <f t="shared" si="11"/>
        <v>0.48493150684931507</v>
      </c>
      <c r="BB26" s="9">
        <v>1</v>
      </c>
      <c r="BC26" s="30">
        <v>44292</v>
      </c>
      <c r="BD26" s="11" t="str">
        <f t="shared" si="12"/>
        <v>0Y8M0D</v>
      </c>
      <c r="BE26" s="11" t="str">
        <f t="shared" si="13"/>
        <v>0Y5M27D</v>
      </c>
      <c r="BF26" s="11">
        <f t="shared" si="14"/>
        <v>0.48767123287671232</v>
      </c>
      <c r="BG26" s="9">
        <v>1</v>
      </c>
      <c r="BH26" s="9">
        <v>1</v>
      </c>
    </row>
    <row r="27" spans="1:60" ht="16">
      <c r="A27" s="9" t="s">
        <v>136</v>
      </c>
      <c r="B27" s="9">
        <v>22105033</v>
      </c>
      <c r="C27" s="9" t="s">
        <v>137</v>
      </c>
      <c r="D27" s="30">
        <v>44067</v>
      </c>
      <c r="E27" s="30">
        <v>44134</v>
      </c>
      <c r="F27" s="30">
        <v>44134</v>
      </c>
      <c r="G27" s="9" t="s">
        <v>139</v>
      </c>
      <c r="H27" s="55">
        <v>44285</v>
      </c>
      <c r="I27" s="55">
        <v>44499</v>
      </c>
      <c r="J27" s="30">
        <v>44435</v>
      </c>
      <c r="K27" s="30">
        <v>44302</v>
      </c>
      <c r="L27" s="11" t="str">
        <f t="shared" si="0"/>
        <v>0Y7M23D</v>
      </c>
      <c r="M27" s="11" t="str">
        <f t="shared" si="1"/>
        <v>0Y5M17D</v>
      </c>
      <c r="N27" s="11">
        <f t="shared" si="2"/>
        <v>0.46027397260273972</v>
      </c>
      <c r="O27" s="9">
        <v>1</v>
      </c>
      <c r="P27" s="9">
        <v>3</v>
      </c>
      <c r="Q27" s="9"/>
      <c r="R27" s="9">
        <v>1</v>
      </c>
      <c r="S27" s="9">
        <v>1</v>
      </c>
      <c r="T27" s="30"/>
      <c r="U27" s="9" t="s">
        <v>1684</v>
      </c>
      <c r="V27" s="9" t="s">
        <v>1685</v>
      </c>
      <c r="W27" s="9">
        <v>1</v>
      </c>
      <c r="X27" s="9">
        <v>1</v>
      </c>
      <c r="Y27" s="9">
        <v>1</v>
      </c>
      <c r="Z27" s="9">
        <v>1</v>
      </c>
      <c r="AA27" s="9"/>
      <c r="AB27" s="9"/>
      <c r="AC27" s="9"/>
      <c r="AD27" s="9">
        <v>1</v>
      </c>
      <c r="AE27" s="9">
        <v>1</v>
      </c>
      <c r="AF27" s="9">
        <v>1</v>
      </c>
      <c r="AG27" s="9">
        <v>1</v>
      </c>
      <c r="AH27" s="30">
        <v>44435</v>
      </c>
      <c r="AI27" s="11" t="str">
        <f t="shared" si="3"/>
        <v>1Y0M3D</v>
      </c>
      <c r="AJ27" s="11" t="str">
        <f t="shared" si="4"/>
        <v>0Y9M28D</v>
      </c>
      <c r="AK27" s="11">
        <f t="shared" si="5"/>
        <v>0.8246575342465754</v>
      </c>
      <c r="AL27" s="9">
        <v>1</v>
      </c>
      <c r="AM27" s="9">
        <v>1</v>
      </c>
      <c r="AN27" s="9">
        <v>1</v>
      </c>
      <c r="AO27" s="9">
        <v>1</v>
      </c>
      <c r="AP27" s="9">
        <v>1</v>
      </c>
      <c r="AQ27" s="9"/>
      <c r="AR27" s="9" t="s">
        <v>1686</v>
      </c>
      <c r="AS27" s="30">
        <v>44299</v>
      </c>
      <c r="AT27" s="11" t="str">
        <f t="shared" si="6"/>
        <v>0Y7M20D</v>
      </c>
      <c r="AU27" s="11" t="str">
        <f t="shared" si="7"/>
        <v>0Y5M14D</v>
      </c>
      <c r="AV27" s="11">
        <f t="shared" si="8"/>
        <v>0.45205479452054792</v>
      </c>
      <c r="AW27" s="9">
        <v>1</v>
      </c>
      <c r="AX27" s="30">
        <v>44300</v>
      </c>
      <c r="AY27" s="11" t="str">
        <f t="shared" si="9"/>
        <v>0Y7M21D</v>
      </c>
      <c r="AZ27" s="11" t="str">
        <f t="shared" si="10"/>
        <v>0Y5M15D</v>
      </c>
      <c r="BA27" s="11">
        <f t="shared" si="11"/>
        <v>0.45479452054794522</v>
      </c>
      <c r="BB27" s="9">
        <v>1</v>
      </c>
      <c r="BC27" s="30">
        <v>44435</v>
      </c>
      <c r="BD27" s="11" t="str">
        <f t="shared" si="12"/>
        <v>1Y0M3D</v>
      </c>
      <c r="BE27" s="11" t="str">
        <f t="shared" si="13"/>
        <v>0Y9M28D</v>
      </c>
      <c r="BF27" s="11">
        <f t="shared" si="14"/>
        <v>0.8246575342465754</v>
      </c>
      <c r="BG27" s="9">
        <v>1</v>
      </c>
      <c r="BH27" s="9">
        <v>1</v>
      </c>
    </row>
    <row r="28" spans="1:60" ht="16">
      <c r="A28" s="9" t="s">
        <v>141</v>
      </c>
      <c r="B28" s="9">
        <v>22104898</v>
      </c>
      <c r="C28" s="9" t="s">
        <v>142</v>
      </c>
      <c r="D28" s="30">
        <v>44055</v>
      </c>
      <c r="E28" s="30">
        <v>44142</v>
      </c>
      <c r="F28" s="30">
        <v>44142</v>
      </c>
      <c r="G28" s="9" t="s">
        <v>144</v>
      </c>
      <c r="H28" s="55">
        <v>44293</v>
      </c>
      <c r="I28" s="55">
        <v>44507</v>
      </c>
      <c r="J28" s="30">
        <v>44421</v>
      </c>
      <c r="K28" s="30">
        <v>44326</v>
      </c>
      <c r="L28" s="11" t="str">
        <f t="shared" si="0"/>
        <v>0Y8M28D</v>
      </c>
      <c r="M28" s="11" t="str">
        <f t="shared" si="1"/>
        <v>0Y6M3D</v>
      </c>
      <c r="N28" s="11">
        <f t="shared" si="2"/>
        <v>0.50410958904109593</v>
      </c>
      <c r="O28" s="9">
        <v>1</v>
      </c>
      <c r="P28" s="9">
        <v>5</v>
      </c>
      <c r="Q28" s="30" t="s">
        <v>1687</v>
      </c>
      <c r="R28" s="9">
        <v>1</v>
      </c>
      <c r="S28" s="9">
        <v>1</v>
      </c>
      <c r="T28" s="9">
        <v>1</v>
      </c>
      <c r="U28" s="30" t="s">
        <v>1688</v>
      </c>
      <c r="V28" s="9" t="s">
        <v>1675</v>
      </c>
      <c r="W28" s="9">
        <v>1</v>
      </c>
      <c r="X28" s="9">
        <v>1</v>
      </c>
      <c r="Y28" s="9">
        <v>1</v>
      </c>
      <c r="Z28" s="9">
        <v>1</v>
      </c>
      <c r="AA28" s="9">
        <v>1</v>
      </c>
      <c r="AB28" s="9">
        <v>1</v>
      </c>
      <c r="AC28" s="9" t="s">
        <v>1689</v>
      </c>
      <c r="AD28" s="9">
        <v>1</v>
      </c>
      <c r="AE28" s="9">
        <v>1</v>
      </c>
      <c r="AF28" s="9">
        <v>1</v>
      </c>
      <c r="AG28" s="9">
        <v>1</v>
      </c>
      <c r="AH28" s="30">
        <v>44326</v>
      </c>
      <c r="AI28" s="11" t="str">
        <f t="shared" si="3"/>
        <v>0Y8M28D</v>
      </c>
      <c r="AJ28" s="11" t="str">
        <f t="shared" si="4"/>
        <v>0Y6M3D</v>
      </c>
      <c r="AK28" s="11">
        <f t="shared" si="5"/>
        <v>0.50410958904109593</v>
      </c>
      <c r="AL28" s="9">
        <v>1</v>
      </c>
      <c r="AM28" s="9">
        <v>1</v>
      </c>
      <c r="AN28" s="9">
        <v>1</v>
      </c>
      <c r="AO28" s="9" t="s">
        <v>1690</v>
      </c>
      <c r="AP28" s="9">
        <v>1</v>
      </c>
      <c r="AQ28" s="9"/>
      <c r="AR28" s="9"/>
      <c r="AS28" s="30">
        <v>44325</v>
      </c>
      <c r="AT28" s="11" t="str">
        <f t="shared" si="6"/>
        <v>0Y8M27D</v>
      </c>
      <c r="AU28" s="11" t="str">
        <f t="shared" si="7"/>
        <v>0Y6M2D</v>
      </c>
      <c r="AV28" s="11">
        <f t="shared" si="8"/>
        <v>0.50136986301369868</v>
      </c>
      <c r="AW28" s="9">
        <v>1</v>
      </c>
      <c r="AX28" s="30">
        <v>44322</v>
      </c>
      <c r="AY28" s="11" t="str">
        <f t="shared" si="9"/>
        <v>0Y8M24D</v>
      </c>
      <c r="AZ28" s="11" t="str">
        <f t="shared" si="10"/>
        <v>0Y5M29D</v>
      </c>
      <c r="BA28" s="11">
        <f t="shared" si="11"/>
        <v>0.49315068493150682</v>
      </c>
      <c r="BB28" s="9">
        <v>1</v>
      </c>
      <c r="BC28" s="30">
        <v>44326</v>
      </c>
      <c r="BD28" s="11" t="str">
        <f t="shared" si="12"/>
        <v>0Y8M28D</v>
      </c>
      <c r="BE28" s="11" t="str">
        <f t="shared" si="13"/>
        <v>0Y6M3D</v>
      </c>
      <c r="BF28" s="11">
        <f t="shared" si="14"/>
        <v>0.50410958904109593</v>
      </c>
      <c r="BG28" s="9">
        <v>1</v>
      </c>
      <c r="BH28" s="9">
        <v>1</v>
      </c>
    </row>
    <row r="29" spans="1:60" ht="16">
      <c r="A29" s="9" t="s">
        <v>146</v>
      </c>
      <c r="B29" s="9">
        <v>22104899</v>
      </c>
      <c r="C29" s="9" t="s">
        <v>147</v>
      </c>
      <c r="D29" s="30">
        <v>44055</v>
      </c>
      <c r="E29" s="30">
        <v>44142</v>
      </c>
      <c r="F29" s="30">
        <v>44142</v>
      </c>
      <c r="G29" s="9" t="s">
        <v>144</v>
      </c>
      <c r="H29" s="55">
        <v>44293</v>
      </c>
      <c r="I29" s="55">
        <v>44507</v>
      </c>
      <c r="J29" s="30">
        <v>44421</v>
      </c>
      <c r="K29" s="30">
        <v>44421</v>
      </c>
      <c r="L29" s="11" t="str">
        <f t="shared" si="0"/>
        <v>1Y0M1D</v>
      </c>
      <c r="M29" s="3" t="str">
        <f t="shared" si="1"/>
        <v>0Y9M6D</v>
      </c>
      <c r="N29" s="3">
        <f t="shared" si="2"/>
        <v>0.76438356164383559</v>
      </c>
      <c r="O29" s="9">
        <v>1</v>
      </c>
      <c r="P29" s="9">
        <v>5</v>
      </c>
      <c r="Q29" s="9"/>
      <c r="R29" s="9">
        <v>1</v>
      </c>
      <c r="S29" s="9">
        <v>1</v>
      </c>
      <c r="T29" s="9"/>
      <c r="U29" s="9" t="s">
        <v>1689</v>
      </c>
      <c r="V29" s="9" t="s">
        <v>1661</v>
      </c>
      <c r="W29" s="9">
        <v>1</v>
      </c>
      <c r="X29" s="9">
        <v>1</v>
      </c>
      <c r="Y29" s="9">
        <v>1</v>
      </c>
      <c r="Z29" s="9">
        <v>1</v>
      </c>
      <c r="AA29" s="9">
        <v>1</v>
      </c>
      <c r="AB29" s="9"/>
      <c r="AC29" s="9" t="s">
        <v>1663</v>
      </c>
      <c r="AD29" s="9">
        <v>1</v>
      </c>
      <c r="AE29" s="9">
        <v>1</v>
      </c>
      <c r="AF29" s="9">
        <v>1</v>
      </c>
      <c r="AG29" s="9">
        <v>1</v>
      </c>
      <c r="AH29" s="30">
        <v>44424</v>
      </c>
      <c r="AI29" s="11" t="str">
        <f t="shared" si="3"/>
        <v>1Y0M4D</v>
      </c>
      <c r="AJ29" s="11" t="str">
        <f t="shared" si="4"/>
        <v>0Y9M9D</v>
      </c>
      <c r="AK29" s="11">
        <f t="shared" si="5"/>
        <v>0.77260273972602744</v>
      </c>
      <c r="AL29" s="9">
        <v>1</v>
      </c>
      <c r="AM29" s="9">
        <v>1</v>
      </c>
      <c r="AN29" s="9">
        <v>1</v>
      </c>
      <c r="AO29" s="9">
        <v>1</v>
      </c>
      <c r="AP29" s="9">
        <v>1</v>
      </c>
      <c r="AQ29" s="9"/>
      <c r="AR29" s="9" t="s">
        <v>1691</v>
      </c>
      <c r="AS29" s="30">
        <v>44326</v>
      </c>
      <c r="AT29" s="11" t="str">
        <f t="shared" si="6"/>
        <v>0Y8M28D</v>
      </c>
      <c r="AU29" s="11" t="str">
        <f t="shared" si="7"/>
        <v>0Y6M3D</v>
      </c>
      <c r="AV29" s="11">
        <f t="shared" si="8"/>
        <v>0.50410958904109593</v>
      </c>
      <c r="AW29" s="9">
        <v>1</v>
      </c>
      <c r="AX29" s="30">
        <v>44323</v>
      </c>
      <c r="AY29" s="11" t="str">
        <f t="shared" si="9"/>
        <v>0Y8M25D</v>
      </c>
      <c r="AZ29" s="11" t="str">
        <f t="shared" si="10"/>
        <v>0Y6M0D</v>
      </c>
      <c r="BA29" s="11">
        <f t="shared" si="11"/>
        <v>0.49589041095890413</v>
      </c>
      <c r="BB29" s="9">
        <v>1</v>
      </c>
      <c r="BC29" s="30">
        <v>44326</v>
      </c>
      <c r="BD29" s="11" t="str">
        <f t="shared" si="12"/>
        <v>0Y8M28D</v>
      </c>
      <c r="BE29" s="11" t="str">
        <f t="shared" si="13"/>
        <v>0Y6M3D</v>
      </c>
      <c r="BF29" s="11">
        <f t="shared" si="14"/>
        <v>0.50410958904109593</v>
      </c>
      <c r="BG29" s="9">
        <v>1</v>
      </c>
      <c r="BH29" s="9">
        <v>1</v>
      </c>
    </row>
    <row r="30" spans="1:60" ht="16">
      <c r="A30" s="9" t="s">
        <v>148</v>
      </c>
      <c r="B30" s="9">
        <v>22103889</v>
      </c>
      <c r="C30" s="9" t="s">
        <v>149</v>
      </c>
      <c r="D30" s="30">
        <v>43954</v>
      </c>
      <c r="E30" s="30">
        <v>44024</v>
      </c>
      <c r="F30" s="30">
        <v>44024</v>
      </c>
      <c r="G30" s="9" t="s">
        <v>44</v>
      </c>
      <c r="H30" s="55">
        <v>44177</v>
      </c>
      <c r="I30" s="55">
        <v>44389</v>
      </c>
      <c r="J30" s="30">
        <v>44621</v>
      </c>
      <c r="K30" s="30">
        <v>44250</v>
      </c>
      <c r="L30" s="11" t="str">
        <f t="shared" si="0"/>
        <v>0Y9M20D</v>
      </c>
      <c r="M30" s="11" t="str">
        <f t="shared" si="1"/>
        <v>0Y7M11D</v>
      </c>
      <c r="N30" s="11">
        <f t="shared" si="2"/>
        <v>0.61917808219178083</v>
      </c>
      <c r="O30" s="9">
        <v>1</v>
      </c>
      <c r="P30" s="9">
        <v>2</v>
      </c>
      <c r="Q30" s="9" t="s">
        <v>1665</v>
      </c>
      <c r="R30" s="9">
        <v>1</v>
      </c>
      <c r="S30" s="9">
        <v>1</v>
      </c>
      <c r="T30" s="9">
        <v>1</v>
      </c>
      <c r="U30" s="9" t="s">
        <v>1669</v>
      </c>
      <c r="V30" s="9" t="s">
        <v>1664</v>
      </c>
      <c r="W30" s="9">
        <v>1</v>
      </c>
      <c r="X30" s="9">
        <v>1</v>
      </c>
      <c r="Y30" s="9">
        <v>1</v>
      </c>
      <c r="Z30" s="9">
        <v>1</v>
      </c>
      <c r="AA30" s="9">
        <v>1</v>
      </c>
      <c r="AB30" s="9"/>
      <c r="AC30" s="9" t="s">
        <v>1670</v>
      </c>
      <c r="AD30" s="9">
        <v>1</v>
      </c>
      <c r="AE30" s="9">
        <v>1</v>
      </c>
      <c r="AF30" s="9">
        <v>1</v>
      </c>
      <c r="AG30" s="9">
        <v>1</v>
      </c>
      <c r="AH30" s="30">
        <v>44253</v>
      </c>
      <c r="AI30" s="11" t="str">
        <f t="shared" si="3"/>
        <v>0Y9M23D</v>
      </c>
      <c r="AJ30" s="11" t="str">
        <f t="shared" si="4"/>
        <v>0Y7M14D</v>
      </c>
      <c r="AK30" s="11">
        <f t="shared" si="5"/>
        <v>0.62739726027397258</v>
      </c>
      <c r="AL30" s="9">
        <v>1</v>
      </c>
      <c r="AM30" s="9">
        <v>1</v>
      </c>
      <c r="AN30" s="9">
        <v>1</v>
      </c>
      <c r="AO30" s="9">
        <v>1</v>
      </c>
      <c r="AP30" s="9">
        <v>1</v>
      </c>
      <c r="AQ30" s="9">
        <v>3</v>
      </c>
      <c r="AR30" s="9"/>
      <c r="AS30" s="30">
        <v>44251</v>
      </c>
      <c r="AT30" s="11" t="str">
        <f t="shared" si="6"/>
        <v>0Y9M21D</v>
      </c>
      <c r="AU30" s="11" t="str">
        <f t="shared" si="7"/>
        <v>0Y7M12D</v>
      </c>
      <c r="AV30" s="11">
        <f t="shared" si="8"/>
        <v>0.62191780821917808</v>
      </c>
      <c r="AW30" s="9">
        <v>1</v>
      </c>
      <c r="AX30" s="30">
        <v>44251</v>
      </c>
      <c r="AY30" s="11" t="str">
        <f t="shared" si="9"/>
        <v>0Y9M21D</v>
      </c>
      <c r="AZ30" s="11" t="str">
        <f t="shared" si="10"/>
        <v>0Y7M12D</v>
      </c>
      <c r="BA30" s="11">
        <f t="shared" si="11"/>
        <v>0.62191780821917808</v>
      </c>
      <c r="BB30" s="9">
        <v>1</v>
      </c>
      <c r="BC30" s="30">
        <v>44250</v>
      </c>
      <c r="BD30" s="11" t="str">
        <f t="shared" si="12"/>
        <v>0Y9M20D</v>
      </c>
      <c r="BE30" s="11" t="str">
        <f t="shared" si="13"/>
        <v>0Y7M11D</v>
      </c>
      <c r="BF30" s="11">
        <f t="shared" si="14"/>
        <v>0.61917808219178083</v>
      </c>
      <c r="BG30" s="9">
        <v>1</v>
      </c>
      <c r="BH30" s="9">
        <v>1</v>
      </c>
    </row>
    <row r="31" spans="1:60" s="110" customFormat="1" ht="16">
      <c r="A31" s="19" t="s">
        <v>152</v>
      </c>
      <c r="B31" s="19">
        <v>22105253</v>
      </c>
      <c r="C31" s="19" t="s">
        <v>153</v>
      </c>
      <c r="D31" s="48">
        <v>44088</v>
      </c>
      <c r="E31" s="48">
        <v>44097</v>
      </c>
      <c r="F31" s="48">
        <v>44088</v>
      </c>
      <c r="G31" s="19" t="s">
        <v>155</v>
      </c>
      <c r="H31" s="75">
        <v>44250</v>
      </c>
      <c r="I31" s="75">
        <v>44462</v>
      </c>
      <c r="J31" s="48">
        <v>44440</v>
      </c>
      <c r="K31" s="48">
        <v>44280</v>
      </c>
      <c r="L31" s="69" t="str">
        <f t="shared" si="0"/>
        <v>0Y6M11D</v>
      </c>
      <c r="M31" s="69" t="str">
        <f t="shared" si="1"/>
        <v>0Y6M2D</v>
      </c>
      <c r="N31" s="69">
        <f t="shared" si="2"/>
        <v>0.52602739726027392</v>
      </c>
      <c r="O31" s="19">
        <v>1</v>
      </c>
      <c r="P31" s="19">
        <v>3</v>
      </c>
      <c r="Q31" s="19"/>
      <c r="R31" s="19">
        <v>1</v>
      </c>
      <c r="S31" s="19">
        <v>1</v>
      </c>
      <c r="T31" s="19">
        <v>1</v>
      </c>
      <c r="U31" s="48" t="s">
        <v>1688</v>
      </c>
      <c r="V31" s="19" t="s">
        <v>1664</v>
      </c>
      <c r="W31" s="19">
        <v>1</v>
      </c>
      <c r="X31" s="19">
        <v>1</v>
      </c>
      <c r="Y31" s="19">
        <v>1</v>
      </c>
      <c r="Z31" s="19">
        <v>1</v>
      </c>
      <c r="AA31" s="19">
        <v>1</v>
      </c>
      <c r="AB31" s="19">
        <v>2</v>
      </c>
      <c r="AC31" s="19"/>
      <c r="AD31" s="19">
        <v>1</v>
      </c>
      <c r="AE31" s="19">
        <v>1</v>
      </c>
      <c r="AF31" s="19">
        <v>1</v>
      </c>
      <c r="AG31" s="19">
        <v>1</v>
      </c>
      <c r="AH31" s="48">
        <v>44280</v>
      </c>
      <c r="AI31" s="69" t="str">
        <f t="shared" si="3"/>
        <v>0Y6M11D</v>
      </c>
      <c r="AJ31" s="69" t="str">
        <f t="shared" si="4"/>
        <v>0Y6M2D</v>
      </c>
      <c r="AK31" s="69">
        <f t="shared" si="5"/>
        <v>0.52602739726027392</v>
      </c>
      <c r="AL31" s="19">
        <v>1</v>
      </c>
      <c r="AM31" s="19">
        <v>1</v>
      </c>
      <c r="AN31" s="19">
        <v>1</v>
      </c>
      <c r="AO31" s="19" t="s">
        <v>1692</v>
      </c>
      <c r="AP31" s="19">
        <v>1</v>
      </c>
      <c r="AQ31" s="19"/>
      <c r="AR31" s="19"/>
      <c r="AS31" s="48">
        <v>44280</v>
      </c>
      <c r="AT31" s="69" t="str">
        <f t="shared" si="6"/>
        <v>0Y6M11D</v>
      </c>
      <c r="AU31" s="69" t="str">
        <f t="shared" si="7"/>
        <v>0Y6M2D</v>
      </c>
      <c r="AV31" s="69">
        <f t="shared" si="8"/>
        <v>0.52602739726027392</v>
      </c>
      <c r="AW31" s="19">
        <v>2</v>
      </c>
      <c r="AX31" s="48">
        <v>44280</v>
      </c>
      <c r="AY31" s="69" t="str">
        <f t="shared" si="9"/>
        <v>0Y6M11D</v>
      </c>
      <c r="AZ31" s="69" t="str">
        <f t="shared" si="10"/>
        <v>0Y6M2D</v>
      </c>
      <c r="BA31" s="69">
        <f t="shared" si="11"/>
        <v>0.52602739726027392</v>
      </c>
      <c r="BB31" s="19">
        <v>1</v>
      </c>
      <c r="BC31" s="19" t="s">
        <v>1693</v>
      </c>
      <c r="BD31" s="69" t="e">
        <f t="shared" si="12"/>
        <v>#VALUE!</v>
      </c>
      <c r="BE31" s="69" t="e">
        <f t="shared" si="13"/>
        <v>#VALUE!</v>
      </c>
      <c r="BF31" s="69" t="e">
        <f t="shared" si="14"/>
        <v>#VALUE!</v>
      </c>
      <c r="BG31" s="19"/>
      <c r="BH31" s="19">
        <v>1</v>
      </c>
    </row>
    <row r="32" spans="1:60" s="110" customFormat="1" ht="16">
      <c r="A32" s="19" t="s">
        <v>157</v>
      </c>
      <c r="B32" s="19">
        <v>22239382</v>
      </c>
      <c r="C32" s="19" t="s">
        <v>158</v>
      </c>
      <c r="D32" s="48">
        <v>44206</v>
      </c>
      <c r="E32" s="48">
        <v>44222</v>
      </c>
      <c r="F32" s="48">
        <v>44206</v>
      </c>
      <c r="G32" s="19" t="s">
        <v>160</v>
      </c>
      <c r="H32" s="75">
        <v>44373</v>
      </c>
      <c r="I32" s="75">
        <v>44587</v>
      </c>
      <c r="J32" s="48">
        <v>44531</v>
      </c>
      <c r="K32" s="19" t="s">
        <v>18</v>
      </c>
      <c r="L32" s="69" t="e">
        <f t="shared" si="0"/>
        <v>#VALUE!</v>
      </c>
      <c r="M32" s="69" t="e">
        <f t="shared" si="1"/>
        <v>#VALUE!</v>
      </c>
      <c r="N32" s="69" t="e">
        <f t="shared" si="2"/>
        <v>#VALUE!</v>
      </c>
      <c r="O32" s="19"/>
      <c r="P32" s="19"/>
      <c r="Q32" s="19"/>
      <c r="R32" s="19"/>
      <c r="S32" s="19"/>
      <c r="T32" s="19"/>
      <c r="U32" s="19"/>
      <c r="V32" s="19"/>
      <c r="W32" s="19"/>
      <c r="X32" s="19"/>
      <c r="Y32" s="19"/>
      <c r="Z32" s="19"/>
      <c r="AA32" s="19"/>
      <c r="AB32" s="19"/>
      <c r="AC32" s="19"/>
      <c r="AD32" s="19"/>
      <c r="AE32" s="19"/>
      <c r="AF32" s="19"/>
      <c r="AG32" s="19"/>
      <c r="AH32" s="48">
        <v>44425</v>
      </c>
      <c r="AI32" s="69" t="str">
        <f t="shared" si="3"/>
        <v>0Y7M7D</v>
      </c>
      <c r="AJ32" s="69" t="str">
        <f t="shared" si="4"/>
        <v>0Y6M22D</v>
      </c>
      <c r="AK32" s="69">
        <f t="shared" si="5"/>
        <v>0.6</v>
      </c>
      <c r="AL32" s="19">
        <v>1</v>
      </c>
      <c r="AM32" s="19">
        <v>1</v>
      </c>
      <c r="AN32" s="19">
        <v>1</v>
      </c>
      <c r="AO32" s="19">
        <v>1</v>
      </c>
      <c r="AP32" s="19">
        <v>1</v>
      </c>
      <c r="AQ32" s="19">
        <v>3</v>
      </c>
      <c r="AR32" s="19"/>
      <c r="AS32" s="48">
        <v>44425</v>
      </c>
      <c r="AT32" s="69" t="str">
        <f t="shared" si="6"/>
        <v>0Y7M7D</v>
      </c>
      <c r="AU32" s="69" t="str">
        <f t="shared" si="7"/>
        <v>0Y6M22D</v>
      </c>
      <c r="AV32" s="69">
        <f t="shared" si="8"/>
        <v>0.6</v>
      </c>
      <c r="AW32" s="19">
        <v>2</v>
      </c>
      <c r="AX32" s="48">
        <v>44425</v>
      </c>
      <c r="AY32" s="69" t="str">
        <f t="shared" si="9"/>
        <v>0Y7M7D</v>
      </c>
      <c r="AZ32" s="69" t="str">
        <f t="shared" si="10"/>
        <v>0Y6M22D</v>
      </c>
      <c r="BA32" s="69">
        <f t="shared" si="11"/>
        <v>0.6</v>
      </c>
      <c r="BB32" s="19">
        <v>2</v>
      </c>
      <c r="BC32" s="48">
        <v>44425</v>
      </c>
      <c r="BD32" s="69" t="str">
        <f t="shared" si="12"/>
        <v>0Y7M7D</v>
      </c>
      <c r="BE32" s="69" t="str">
        <f t="shared" si="13"/>
        <v>0Y6M22D</v>
      </c>
      <c r="BF32" s="69">
        <f t="shared" si="14"/>
        <v>0.6</v>
      </c>
      <c r="BG32" s="19">
        <v>1</v>
      </c>
      <c r="BH32" s="19">
        <v>1</v>
      </c>
    </row>
    <row r="33" spans="1:60" ht="16">
      <c r="A33" s="9" t="s">
        <v>162</v>
      </c>
      <c r="B33" s="9">
        <v>22104618</v>
      </c>
      <c r="C33" s="9" t="s">
        <v>163</v>
      </c>
      <c r="D33" s="30">
        <v>44028</v>
      </c>
      <c r="E33" s="30">
        <v>44120</v>
      </c>
      <c r="F33" s="30">
        <v>44120</v>
      </c>
      <c r="G33" s="9" t="s">
        <v>165</v>
      </c>
      <c r="H33" s="55">
        <v>44271</v>
      </c>
      <c r="I33" s="55">
        <v>44485</v>
      </c>
      <c r="J33" s="30">
        <v>44511</v>
      </c>
      <c r="K33" s="30">
        <v>44292</v>
      </c>
      <c r="L33" s="11" t="str">
        <f t="shared" si="0"/>
        <v>0Y8M21D</v>
      </c>
      <c r="M33" s="11" t="str">
        <f t="shared" si="1"/>
        <v>0Y5M21D</v>
      </c>
      <c r="N33" s="11">
        <f t="shared" si="2"/>
        <v>0.47123287671232877</v>
      </c>
      <c r="O33" s="9">
        <v>1</v>
      </c>
      <c r="P33" s="9">
        <v>3</v>
      </c>
      <c r="Q33" s="9"/>
      <c r="R33" s="9">
        <v>1</v>
      </c>
      <c r="S33" s="9">
        <v>1</v>
      </c>
      <c r="T33" s="9"/>
      <c r="U33" s="9" t="s">
        <v>1666</v>
      </c>
      <c r="V33" s="9" t="s">
        <v>1685</v>
      </c>
      <c r="W33" s="9">
        <v>1</v>
      </c>
      <c r="X33" s="9">
        <v>1</v>
      </c>
      <c r="Y33" s="9">
        <v>1</v>
      </c>
      <c r="Z33" s="9">
        <v>1</v>
      </c>
      <c r="AA33" s="9">
        <v>1</v>
      </c>
      <c r="AB33" s="9"/>
      <c r="AC33" s="9" t="s">
        <v>1689</v>
      </c>
      <c r="AD33" s="9">
        <v>1</v>
      </c>
      <c r="AE33" s="9">
        <v>1</v>
      </c>
      <c r="AF33" s="9">
        <v>1</v>
      </c>
      <c r="AG33" s="9">
        <v>1</v>
      </c>
      <c r="AH33" s="30">
        <v>44292</v>
      </c>
      <c r="AI33" s="11" t="str">
        <f t="shared" si="3"/>
        <v>0Y8M21D</v>
      </c>
      <c r="AJ33" s="11" t="str">
        <f t="shared" si="4"/>
        <v>0Y5M21D</v>
      </c>
      <c r="AK33" s="11">
        <f t="shared" si="5"/>
        <v>0.47123287671232877</v>
      </c>
      <c r="AL33" s="9">
        <v>1</v>
      </c>
      <c r="AM33" s="9">
        <v>1</v>
      </c>
      <c r="AN33" s="9">
        <v>1</v>
      </c>
      <c r="AO33" s="9">
        <v>1</v>
      </c>
      <c r="AP33" s="9">
        <v>1</v>
      </c>
      <c r="AQ33" s="9">
        <v>3</v>
      </c>
      <c r="AR33" s="9"/>
      <c r="AS33" s="30">
        <v>44291</v>
      </c>
      <c r="AT33" s="11" t="str">
        <f t="shared" si="6"/>
        <v>0Y8M20D</v>
      </c>
      <c r="AU33" s="11" t="str">
        <f t="shared" si="7"/>
        <v>0Y5M20D</v>
      </c>
      <c r="AV33" s="11">
        <f t="shared" si="8"/>
        <v>0.46849315068493153</v>
      </c>
      <c r="AW33" s="9" t="s">
        <v>2205</v>
      </c>
      <c r="AX33" s="30">
        <v>44293</v>
      </c>
      <c r="AY33" s="11" t="str">
        <f t="shared" si="9"/>
        <v>0Y8M22D</v>
      </c>
      <c r="AZ33" s="11" t="str">
        <f t="shared" si="10"/>
        <v>0Y5M22D</v>
      </c>
      <c r="BA33" s="11">
        <f t="shared" si="11"/>
        <v>0.47397260273972602</v>
      </c>
      <c r="BB33" s="9" t="s">
        <v>2205</v>
      </c>
      <c r="BC33" s="30">
        <v>44292</v>
      </c>
      <c r="BD33" s="11" t="str">
        <f t="shared" si="12"/>
        <v>0Y8M21D</v>
      </c>
      <c r="BE33" s="11" t="str">
        <f t="shared" si="13"/>
        <v>0Y5M21D</v>
      </c>
      <c r="BF33" s="11">
        <f t="shared" si="14"/>
        <v>0.47123287671232877</v>
      </c>
      <c r="BG33" s="9">
        <v>1</v>
      </c>
      <c r="BH33" s="9">
        <v>1</v>
      </c>
    </row>
    <row r="34" spans="1:60" s="114" customFormat="1" ht="16">
      <c r="A34" s="16" t="s">
        <v>167</v>
      </c>
      <c r="B34" s="16">
        <v>4997153</v>
      </c>
      <c r="C34" s="16" t="s">
        <v>168</v>
      </c>
      <c r="D34" s="77">
        <v>43563</v>
      </c>
      <c r="E34" s="77">
        <v>43557</v>
      </c>
      <c r="F34" s="77">
        <v>43563</v>
      </c>
      <c r="G34" s="16" t="s">
        <v>170</v>
      </c>
      <c r="H34" s="78">
        <v>43710</v>
      </c>
      <c r="I34" s="78">
        <v>43923</v>
      </c>
      <c r="J34" s="16"/>
      <c r="K34" s="16"/>
      <c r="L34" s="68" t="e">
        <f t="shared" si="0"/>
        <v>#NUM!</v>
      </c>
      <c r="M34" s="68" t="e">
        <f t="shared" si="1"/>
        <v>#NUM!</v>
      </c>
      <c r="N34" s="68">
        <f t="shared" si="2"/>
        <v>-119.35068493150685</v>
      </c>
      <c r="O34" s="16"/>
      <c r="P34" s="16"/>
      <c r="Q34" s="16"/>
      <c r="R34" s="16"/>
      <c r="S34" s="16"/>
      <c r="T34" s="16"/>
      <c r="U34" s="16"/>
      <c r="V34" s="16"/>
      <c r="W34" s="16"/>
      <c r="X34" s="16"/>
      <c r="Y34" s="16"/>
      <c r="Z34" s="16"/>
      <c r="AA34" s="16"/>
      <c r="AB34" s="16"/>
      <c r="AC34" s="16"/>
      <c r="AD34" s="16"/>
      <c r="AE34" s="16"/>
      <c r="AF34" s="16"/>
      <c r="AG34" s="16"/>
      <c r="AH34" s="16"/>
      <c r="AI34" s="68" t="e">
        <f t="shared" si="3"/>
        <v>#NUM!</v>
      </c>
      <c r="AJ34" s="68" t="e">
        <f t="shared" si="4"/>
        <v>#NUM!</v>
      </c>
      <c r="AK34" s="68">
        <f t="shared" si="5"/>
        <v>-119.35068493150685</v>
      </c>
      <c r="AL34" s="16"/>
      <c r="AM34" s="16"/>
      <c r="AN34" s="16"/>
      <c r="AO34" s="16"/>
      <c r="AP34" s="16"/>
      <c r="AQ34" s="16"/>
      <c r="AR34" s="16"/>
      <c r="AS34" s="16"/>
      <c r="AT34" s="68" t="e">
        <f t="shared" si="6"/>
        <v>#NUM!</v>
      </c>
      <c r="AU34" s="68" t="e">
        <f t="shared" si="7"/>
        <v>#NUM!</v>
      </c>
      <c r="AV34" s="68">
        <f t="shared" si="8"/>
        <v>-119.35068493150685</v>
      </c>
      <c r="AW34" s="16"/>
      <c r="AX34" s="16"/>
      <c r="AY34" s="68" t="e">
        <f t="shared" si="9"/>
        <v>#NUM!</v>
      </c>
      <c r="AZ34" s="68" t="e">
        <f t="shared" si="10"/>
        <v>#NUM!</v>
      </c>
      <c r="BA34" s="68">
        <f t="shared" si="11"/>
        <v>-119.35068493150685</v>
      </c>
      <c r="BB34" s="16"/>
      <c r="BC34" s="16"/>
      <c r="BD34" s="68" t="e">
        <f t="shared" si="12"/>
        <v>#NUM!</v>
      </c>
      <c r="BE34" s="68" t="e">
        <f t="shared" si="13"/>
        <v>#NUM!</v>
      </c>
      <c r="BF34" s="68">
        <f t="shared" si="14"/>
        <v>-119.35068493150685</v>
      </c>
      <c r="BG34" s="16"/>
      <c r="BH34" s="16"/>
    </row>
    <row r="35" spans="1:60" s="114" customFormat="1" ht="16">
      <c r="A35" s="16" t="s">
        <v>172</v>
      </c>
      <c r="B35" s="16">
        <v>21926144</v>
      </c>
      <c r="C35" s="16" t="s">
        <v>173</v>
      </c>
      <c r="D35" s="77">
        <v>43245</v>
      </c>
      <c r="E35" s="77">
        <v>43335</v>
      </c>
      <c r="F35" s="77">
        <v>43335</v>
      </c>
      <c r="G35" s="16" t="s">
        <v>175</v>
      </c>
      <c r="H35" s="78">
        <v>43488</v>
      </c>
      <c r="I35" s="78">
        <v>43700</v>
      </c>
      <c r="J35" s="16"/>
      <c r="K35" s="16"/>
      <c r="L35" s="68" t="e">
        <f t="shared" si="0"/>
        <v>#NUM!</v>
      </c>
      <c r="M35" s="68" t="e">
        <f t="shared" si="1"/>
        <v>#NUM!</v>
      </c>
      <c r="N35" s="68">
        <f t="shared" si="2"/>
        <v>-118.72602739726027</v>
      </c>
      <c r="O35" s="16"/>
      <c r="P35" s="16"/>
      <c r="Q35" s="16"/>
      <c r="R35" s="16"/>
      <c r="S35" s="16"/>
      <c r="T35" s="16"/>
      <c r="U35" s="16"/>
      <c r="V35" s="16"/>
      <c r="W35" s="16"/>
      <c r="X35" s="16"/>
      <c r="Y35" s="16"/>
      <c r="Z35" s="16"/>
      <c r="AA35" s="16"/>
      <c r="AB35" s="16"/>
      <c r="AC35" s="16"/>
      <c r="AD35" s="16"/>
      <c r="AE35" s="16"/>
      <c r="AF35" s="16"/>
      <c r="AG35" s="16"/>
      <c r="AH35" s="16"/>
      <c r="AI35" s="68" t="e">
        <f t="shared" si="3"/>
        <v>#NUM!</v>
      </c>
      <c r="AJ35" s="68" t="e">
        <f t="shared" si="4"/>
        <v>#NUM!</v>
      </c>
      <c r="AK35" s="68">
        <f t="shared" si="5"/>
        <v>-118.72602739726027</v>
      </c>
      <c r="AL35" s="16"/>
      <c r="AM35" s="16"/>
      <c r="AN35" s="16"/>
      <c r="AO35" s="16"/>
      <c r="AP35" s="16"/>
      <c r="AQ35" s="16"/>
      <c r="AR35" s="16"/>
      <c r="AS35" s="16"/>
      <c r="AT35" s="68" t="e">
        <f t="shared" si="6"/>
        <v>#NUM!</v>
      </c>
      <c r="AU35" s="68" t="e">
        <f t="shared" si="7"/>
        <v>#NUM!</v>
      </c>
      <c r="AV35" s="68">
        <f t="shared" si="8"/>
        <v>-118.72602739726027</v>
      </c>
      <c r="AW35" s="16"/>
      <c r="AX35" s="16"/>
      <c r="AY35" s="68" t="e">
        <f t="shared" si="9"/>
        <v>#NUM!</v>
      </c>
      <c r="AZ35" s="68" t="e">
        <f t="shared" si="10"/>
        <v>#NUM!</v>
      </c>
      <c r="BA35" s="68">
        <f t="shared" si="11"/>
        <v>-118.72602739726027</v>
      </c>
      <c r="BB35" s="16"/>
      <c r="BC35" s="16"/>
      <c r="BD35" s="68" t="e">
        <f t="shared" si="12"/>
        <v>#NUM!</v>
      </c>
      <c r="BE35" s="68" t="e">
        <f t="shared" si="13"/>
        <v>#NUM!</v>
      </c>
      <c r="BF35" s="68">
        <f t="shared" si="14"/>
        <v>-118.72602739726027</v>
      </c>
      <c r="BG35" s="16"/>
      <c r="BH35" s="16"/>
    </row>
    <row r="36" spans="1:60" s="114" customFormat="1" ht="16">
      <c r="A36" s="16" t="s">
        <v>177</v>
      </c>
      <c r="B36" s="16">
        <v>21923161</v>
      </c>
      <c r="C36" s="16" t="s">
        <v>178</v>
      </c>
      <c r="D36" s="77">
        <v>43447</v>
      </c>
      <c r="E36" s="77">
        <v>43521</v>
      </c>
      <c r="F36" s="77">
        <v>43521</v>
      </c>
      <c r="G36" s="16" t="s">
        <v>180</v>
      </c>
      <c r="H36" s="78">
        <v>43671</v>
      </c>
      <c r="I36" s="78">
        <v>43886</v>
      </c>
      <c r="J36" s="16"/>
      <c r="K36" s="16"/>
      <c r="L36" s="68" t="e">
        <f t="shared" si="0"/>
        <v>#NUM!</v>
      </c>
      <c r="M36" s="68" t="e">
        <f t="shared" si="1"/>
        <v>#NUM!</v>
      </c>
      <c r="N36" s="68">
        <f t="shared" si="2"/>
        <v>-119.23561643835616</v>
      </c>
      <c r="O36" s="16"/>
      <c r="P36" s="16"/>
      <c r="Q36" s="16"/>
      <c r="R36" s="16"/>
      <c r="S36" s="16"/>
      <c r="T36" s="16"/>
      <c r="U36" s="16"/>
      <c r="V36" s="16"/>
      <c r="W36" s="16"/>
      <c r="X36" s="16"/>
      <c r="Y36" s="16"/>
      <c r="Z36" s="16"/>
      <c r="AA36" s="16"/>
      <c r="AB36" s="16"/>
      <c r="AC36" s="16"/>
      <c r="AD36" s="16"/>
      <c r="AE36" s="16"/>
      <c r="AF36" s="16"/>
      <c r="AG36" s="16"/>
      <c r="AH36" s="16"/>
      <c r="AI36" s="68" t="e">
        <f t="shared" si="3"/>
        <v>#NUM!</v>
      </c>
      <c r="AJ36" s="68" t="e">
        <f t="shared" si="4"/>
        <v>#NUM!</v>
      </c>
      <c r="AK36" s="68">
        <f t="shared" si="5"/>
        <v>-119.23561643835616</v>
      </c>
      <c r="AL36" s="16"/>
      <c r="AM36" s="16"/>
      <c r="AN36" s="16"/>
      <c r="AO36" s="16"/>
      <c r="AP36" s="16"/>
      <c r="AQ36" s="16"/>
      <c r="AR36" s="16"/>
      <c r="AS36" s="16"/>
      <c r="AT36" s="68" t="e">
        <f t="shared" si="6"/>
        <v>#NUM!</v>
      </c>
      <c r="AU36" s="68" t="e">
        <f t="shared" si="7"/>
        <v>#NUM!</v>
      </c>
      <c r="AV36" s="68">
        <f t="shared" si="8"/>
        <v>-119.23561643835616</v>
      </c>
      <c r="AW36" s="16"/>
      <c r="AX36" s="16"/>
      <c r="AY36" s="68" t="e">
        <f t="shared" si="9"/>
        <v>#NUM!</v>
      </c>
      <c r="AZ36" s="68" t="e">
        <f t="shared" si="10"/>
        <v>#NUM!</v>
      </c>
      <c r="BA36" s="68">
        <f t="shared" si="11"/>
        <v>-119.23561643835616</v>
      </c>
      <c r="BB36" s="16"/>
      <c r="BC36" s="16"/>
      <c r="BD36" s="68" t="e">
        <f t="shared" si="12"/>
        <v>#NUM!</v>
      </c>
      <c r="BE36" s="68" t="e">
        <f t="shared" si="13"/>
        <v>#NUM!</v>
      </c>
      <c r="BF36" s="68">
        <f t="shared" si="14"/>
        <v>-119.23561643835616</v>
      </c>
      <c r="BG36" s="16"/>
      <c r="BH36" s="16"/>
    </row>
    <row r="37" spans="1:60" s="127" customFormat="1" ht="16">
      <c r="A37" s="20" t="s">
        <v>182</v>
      </c>
      <c r="B37" s="20">
        <v>22104076</v>
      </c>
      <c r="C37" s="20" t="s">
        <v>183</v>
      </c>
      <c r="D37" s="45">
        <v>43976</v>
      </c>
      <c r="E37" s="45">
        <v>44069</v>
      </c>
      <c r="F37" s="45">
        <v>44069</v>
      </c>
      <c r="G37" s="20" t="s">
        <v>185</v>
      </c>
      <c r="H37" s="85">
        <v>44222</v>
      </c>
      <c r="I37" s="85">
        <v>44434</v>
      </c>
      <c r="J37" s="20"/>
      <c r="K37" s="20"/>
      <c r="L37" s="71" t="e">
        <f t="shared" si="0"/>
        <v>#NUM!</v>
      </c>
      <c r="M37" s="71" t="e">
        <f t="shared" si="1"/>
        <v>#NUM!</v>
      </c>
      <c r="N37" s="71">
        <f t="shared" si="2"/>
        <v>-120.73698630136987</v>
      </c>
      <c r="O37" s="20"/>
      <c r="P37" s="20"/>
      <c r="Q37" s="20"/>
      <c r="R37" s="20"/>
      <c r="S37" s="20"/>
      <c r="T37" s="20"/>
      <c r="U37" s="20"/>
      <c r="V37" s="20"/>
      <c r="W37" s="20"/>
      <c r="X37" s="20"/>
      <c r="Y37" s="20"/>
      <c r="Z37" s="20"/>
      <c r="AA37" s="20"/>
      <c r="AB37" s="20"/>
      <c r="AC37" s="20"/>
      <c r="AD37" s="20"/>
      <c r="AE37" s="20"/>
      <c r="AF37" s="20"/>
      <c r="AG37" s="20"/>
      <c r="AH37" s="20"/>
      <c r="AI37" s="71" t="e">
        <f t="shared" si="3"/>
        <v>#NUM!</v>
      </c>
      <c r="AJ37" s="71" t="e">
        <f t="shared" si="4"/>
        <v>#NUM!</v>
      </c>
      <c r="AK37" s="71">
        <f t="shared" si="5"/>
        <v>-120.73698630136987</v>
      </c>
      <c r="AL37" s="20"/>
      <c r="AM37" s="20"/>
      <c r="AN37" s="20"/>
      <c r="AO37" s="20"/>
      <c r="AP37" s="20"/>
      <c r="AQ37" s="20"/>
      <c r="AR37" s="20"/>
      <c r="AS37" s="20"/>
      <c r="AT37" s="71" t="e">
        <f t="shared" si="6"/>
        <v>#NUM!</v>
      </c>
      <c r="AU37" s="71" t="e">
        <f t="shared" si="7"/>
        <v>#NUM!</v>
      </c>
      <c r="AV37" s="71">
        <f t="shared" si="8"/>
        <v>-120.73698630136987</v>
      </c>
      <c r="AW37" s="20"/>
      <c r="AX37" s="20"/>
      <c r="AY37" s="71" t="e">
        <f t="shared" si="9"/>
        <v>#NUM!</v>
      </c>
      <c r="AZ37" s="71" t="e">
        <f t="shared" si="10"/>
        <v>#NUM!</v>
      </c>
      <c r="BA37" s="71">
        <f t="shared" si="11"/>
        <v>-120.73698630136987</v>
      </c>
      <c r="BB37" s="20"/>
      <c r="BC37" s="20"/>
      <c r="BD37" s="71" t="e">
        <f t="shared" si="12"/>
        <v>#NUM!</v>
      </c>
      <c r="BE37" s="71" t="e">
        <f t="shared" si="13"/>
        <v>#NUM!</v>
      </c>
      <c r="BF37" s="71">
        <f t="shared" si="14"/>
        <v>-120.73698630136987</v>
      </c>
      <c r="BG37" s="20"/>
      <c r="BH37" s="20"/>
    </row>
    <row r="38" spans="1:60" s="114" customFormat="1" ht="16">
      <c r="A38" s="16" t="s">
        <v>187</v>
      </c>
      <c r="B38" s="16">
        <v>21929566</v>
      </c>
      <c r="C38" s="16" t="s">
        <v>188</v>
      </c>
      <c r="D38" s="77">
        <v>43567</v>
      </c>
      <c r="E38" s="77">
        <v>43676</v>
      </c>
      <c r="F38" s="77">
        <v>43676</v>
      </c>
      <c r="G38" s="16" t="s">
        <v>190</v>
      </c>
      <c r="H38" s="78">
        <v>43829</v>
      </c>
      <c r="I38" s="78">
        <v>44042</v>
      </c>
      <c r="J38" s="16"/>
      <c r="K38" s="16"/>
      <c r="L38" s="68" t="e">
        <f t="shared" si="0"/>
        <v>#NUM!</v>
      </c>
      <c r="M38" s="68" t="e">
        <f t="shared" si="1"/>
        <v>#NUM!</v>
      </c>
      <c r="N38" s="68">
        <f t="shared" si="2"/>
        <v>-119.66027397260274</v>
      </c>
      <c r="O38" s="16"/>
      <c r="P38" s="16"/>
      <c r="Q38" s="16"/>
      <c r="R38" s="16"/>
      <c r="S38" s="16"/>
      <c r="T38" s="16"/>
      <c r="U38" s="16"/>
      <c r="V38" s="16"/>
      <c r="W38" s="16"/>
      <c r="X38" s="16"/>
      <c r="Y38" s="16"/>
      <c r="Z38" s="16"/>
      <c r="AA38" s="16"/>
      <c r="AB38" s="16"/>
      <c r="AC38" s="16"/>
      <c r="AD38" s="16"/>
      <c r="AE38" s="16"/>
      <c r="AF38" s="16"/>
      <c r="AG38" s="16"/>
      <c r="AH38" s="16"/>
      <c r="AI38" s="68" t="e">
        <f t="shared" si="3"/>
        <v>#NUM!</v>
      </c>
      <c r="AJ38" s="68" t="e">
        <f t="shared" si="4"/>
        <v>#NUM!</v>
      </c>
      <c r="AK38" s="68">
        <f t="shared" si="5"/>
        <v>-119.66027397260274</v>
      </c>
      <c r="AL38" s="16"/>
      <c r="AM38" s="16"/>
      <c r="AN38" s="16"/>
      <c r="AO38" s="16"/>
      <c r="AP38" s="16"/>
      <c r="AQ38" s="16"/>
      <c r="AR38" s="16"/>
      <c r="AS38" s="16"/>
      <c r="AT38" s="68" t="e">
        <f t="shared" si="6"/>
        <v>#NUM!</v>
      </c>
      <c r="AU38" s="68" t="e">
        <f t="shared" si="7"/>
        <v>#NUM!</v>
      </c>
      <c r="AV38" s="68">
        <f t="shared" si="8"/>
        <v>-119.66027397260274</v>
      </c>
      <c r="AW38" s="16"/>
      <c r="AX38" s="16"/>
      <c r="AY38" s="68" t="e">
        <f t="shared" si="9"/>
        <v>#NUM!</v>
      </c>
      <c r="AZ38" s="68" t="e">
        <f t="shared" si="10"/>
        <v>#NUM!</v>
      </c>
      <c r="BA38" s="68">
        <f t="shared" si="11"/>
        <v>-119.66027397260274</v>
      </c>
      <c r="BB38" s="16"/>
      <c r="BC38" s="16"/>
      <c r="BD38" s="68" t="e">
        <f t="shared" si="12"/>
        <v>#NUM!</v>
      </c>
      <c r="BE38" s="68" t="e">
        <f t="shared" si="13"/>
        <v>#NUM!</v>
      </c>
      <c r="BF38" s="68">
        <f t="shared" si="14"/>
        <v>-119.66027397260274</v>
      </c>
      <c r="BG38" s="16"/>
      <c r="BH38" s="16"/>
    </row>
    <row r="39" spans="1:60" ht="16">
      <c r="A39" s="2" t="s">
        <v>192</v>
      </c>
      <c r="B39" s="2">
        <v>22103802</v>
      </c>
      <c r="C39" s="2" t="s">
        <v>193</v>
      </c>
      <c r="D39" s="23">
        <v>43945</v>
      </c>
      <c r="E39" s="23">
        <v>44058</v>
      </c>
      <c r="F39" s="23">
        <v>44058</v>
      </c>
      <c r="G39" s="2" t="s">
        <v>194</v>
      </c>
      <c r="H39" s="55">
        <v>44211</v>
      </c>
      <c r="I39" s="55">
        <v>44423</v>
      </c>
      <c r="J39" s="23">
        <v>44428</v>
      </c>
      <c r="K39" s="23">
        <v>44428</v>
      </c>
      <c r="L39" s="3" t="str">
        <f t="shared" si="0"/>
        <v>1Y3M27D</v>
      </c>
      <c r="M39" s="3" t="str">
        <f t="shared" si="1"/>
        <v>1Y0M5D</v>
      </c>
      <c r="N39" s="3">
        <f t="shared" si="2"/>
        <v>1.0136986301369864</v>
      </c>
      <c r="O39" s="2">
        <v>1</v>
      </c>
      <c r="P39" s="2">
        <v>2</v>
      </c>
      <c r="Q39" s="2" t="s">
        <v>1669</v>
      </c>
      <c r="R39" s="2">
        <v>1</v>
      </c>
      <c r="S39" s="2">
        <v>1</v>
      </c>
      <c r="T39" s="2"/>
      <c r="U39" s="2" t="s">
        <v>1688</v>
      </c>
      <c r="V39" s="2" t="s">
        <v>1664</v>
      </c>
      <c r="W39" s="2">
        <v>1</v>
      </c>
      <c r="X39" s="2">
        <v>1</v>
      </c>
      <c r="Y39" s="2">
        <v>1</v>
      </c>
      <c r="Z39" s="2">
        <v>1</v>
      </c>
      <c r="AA39" s="2">
        <v>1</v>
      </c>
      <c r="AB39" s="2">
        <v>1</v>
      </c>
      <c r="AC39" s="2"/>
      <c r="AD39" s="2">
        <v>1</v>
      </c>
      <c r="AE39" s="2">
        <v>1</v>
      </c>
      <c r="AF39" s="2">
        <v>1</v>
      </c>
      <c r="AG39" s="2">
        <v>1</v>
      </c>
      <c r="AH39" s="23">
        <v>44393</v>
      </c>
      <c r="AI39" s="3" t="str">
        <f t="shared" si="3"/>
        <v>1Y2M22D</v>
      </c>
      <c r="AJ39" s="3" t="str">
        <f t="shared" si="4"/>
        <v>0Y11M1D</v>
      </c>
      <c r="AK39" s="3">
        <f t="shared" si="5"/>
        <v>0.9178082191780822</v>
      </c>
      <c r="AL39" s="2">
        <v>1</v>
      </c>
      <c r="AM39" s="2">
        <v>1</v>
      </c>
      <c r="AN39" s="2">
        <v>1</v>
      </c>
      <c r="AO39" s="2">
        <v>1</v>
      </c>
      <c r="AP39" s="2">
        <v>1</v>
      </c>
      <c r="AQ39" s="2">
        <v>3</v>
      </c>
      <c r="AR39" s="2"/>
      <c r="AS39" s="23">
        <v>44392</v>
      </c>
      <c r="AT39" s="3" t="str">
        <f t="shared" si="6"/>
        <v>1Y2M21D</v>
      </c>
      <c r="AU39" s="3" t="str">
        <f t="shared" si="7"/>
        <v>0Y11M0D</v>
      </c>
      <c r="AV39" s="3">
        <f t="shared" si="8"/>
        <v>0.91506849315068495</v>
      </c>
      <c r="AW39" s="2">
        <v>2</v>
      </c>
      <c r="AX39" s="2"/>
      <c r="AY39" s="3" t="e">
        <f t="shared" si="9"/>
        <v>#NUM!</v>
      </c>
      <c r="AZ39" s="3" t="e">
        <f t="shared" si="10"/>
        <v>#NUM!</v>
      </c>
      <c r="BA39" s="3">
        <f t="shared" si="11"/>
        <v>-120.7068493150685</v>
      </c>
      <c r="BB39" s="2"/>
      <c r="BC39" s="23">
        <v>44428</v>
      </c>
      <c r="BD39" s="3" t="str">
        <f t="shared" si="12"/>
        <v>1Y3M27D</v>
      </c>
      <c r="BE39" s="3" t="str">
        <f t="shared" si="13"/>
        <v>1Y0M5D</v>
      </c>
      <c r="BF39" s="3">
        <f t="shared" si="14"/>
        <v>1.0136986301369864</v>
      </c>
      <c r="BG39" s="2">
        <v>1</v>
      </c>
      <c r="BH39" s="2">
        <v>1</v>
      </c>
    </row>
    <row r="40" spans="1:60" ht="16">
      <c r="A40" s="2" t="s">
        <v>196</v>
      </c>
      <c r="B40" s="2">
        <v>22106464</v>
      </c>
      <c r="C40" s="2" t="s">
        <v>197</v>
      </c>
      <c r="D40" s="23">
        <v>44205</v>
      </c>
      <c r="E40" s="23">
        <v>44265</v>
      </c>
      <c r="F40" s="23">
        <v>44265</v>
      </c>
      <c r="G40" s="2" t="s">
        <v>105</v>
      </c>
      <c r="H40" s="55">
        <v>44418</v>
      </c>
      <c r="I40" s="55">
        <v>44630</v>
      </c>
      <c r="J40" s="23">
        <v>44575</v>
      </c>
      <c r="K40" s="23">
        <v>44575</v>
      </c>
      <c r="L40" s="3" t="str">
        <f t="shared" si="0"/>
        <v>1Y0M5D</v>
      </c>
      <c r="M40" s="3" t="str">
        <f t="shared" si="1"/>
        <v>0Y10M4D</v>
      </c>
      <c r="N40" s="3">
        <f t="shared" si="2"/>
        <v>0.84931506849315064</v>
      </c>
      <c r="O40" s="2">
        <v>1</v>
      </c>
      <c r="P40" s="2">
        <v>3</v>
      </c>
      <c r="Q40" s="2"/>
      <c r="R40" s="2">
        <v>1</v>
      </c>
      <c r="S40" s="2">
        <v>1</v>
      </c>
      <c r="T40" s="2"/>
      <c r="U40" s="2" t="s">
        <v>1694</v>
      </c>
      <c r="V40" s="2" t="s">
        <v>1695</v>
      </c>
      <c r="W40" s="2">
        <v>1</v>
      </c>
      <c r="X40" s="2">
        <v>1</v>
      </c>
      <c r="Y40" s="2">
        <v>2</v>
      </c>
      <c r="Z40" s="2">
        <v>1</v>
      </c>
      <c r="AA40" s="2">
        <v>1</v>
      </c>
      <c r="AB40" s="2"/>
      <c r="AC40" s="2" t="s">
        <v>1673</v>
      </c>
      <c r="AD40" s="2">
        <v>1</v>
      </c>
      <c r="AE40" s="2">
        <v>1</v>
      </c>
      <c r="AF40" s="2">
        <v>1</v>
      </c>
      <c r="AG40" s="2">
        <v>1</v>
      </c>
      <c r="AH40" s="23">
        <v>44575</v>
      </c>
      <c r="AI40" s="3" t="str">
        <f t="shared" si="3"/>
        <v>1Y0M5D</v>
      </c>
      <c r="AJ40" s="3" t="str">
        <f t="shared" si="4"/>
        <v>0Y10M4D</v>
      </c>
      <c r="AK40" s="3">
        <f t="shared" si="5"/>
        <v>0.84931506849315064</v>
      </c>
      <c r="AL40" s="2">
        <v>1</v>
      </c>
      <c r="AM40" s="2">
        <v>1</v>
      </c>
      <c r="AN40" s="2">
        <v>1</v>
      </c>
      <c r="AO40" s="2">
        <v>1</v>
      </c>
      <c r="AP40" s="2">
        <v>1</v>
      </c>
      <c r="AQ40" s="2">
        <v>1</v>
      </c>
      <c r="AR40" s="2" t="s">
        <v>1696</v>
      </c>
      <c r="AS40" s="23">
        <v>44574</v>
      </c>
      <c r="AT40" s="3" t="str">
        <f t="shared" si="6"/>
        <v>1Y0M4D</v>
      </c>
      <c r="AU40" s="3" t="str">
        <f t="shared" si="7"/>
        <v>0Y10M3D</v>
      </c>
      <c r="AV40" s="3">
        <f t="shared" si="8"/>
        <v>0.84657534246575339</v>
      </c>
      <c r="AW40" s="2" t="s">
        <v>2205</v>
      </c>
      <c r="AX40" s="23">
        <v>44380</v>
      </c>
      <c r="AY40" s="3" t="str">
        <f t="shared" si="9"/>
        <v>0Y5M24D</v>
      </c>
      <c r="AZ40" s="3" t="str">
        <f t="shared" si="10"/>
        <v>0Y3M23D</v>
      </c>
      <c r="BA40" s="3">
        <f t="shared" si="11"/>
        <v>0.31506849315068491</v>
      </c>
      <c r="BB40" s="2">
        <v>2</v>
      </c>
      <c r="BC40" s="23">
        <v>44575</v>
      </c>
      <c r="BD40" s="3" t="str">
        <f t="shared" si="12"/>
        <v>1Y0M5D</v>
      </c>
      <c r="BE40" s="3" t="str">
        <f t="shared" si="13"/>
        <v>0Y10M4D</v>
      </c>
      <c r="BF40" s="3">
        <f t="shared" si="14"/>
        <v>0.84931506849315064</v>
      </c>
      <c r="BG40" s="2">
        <v>1</v>
      </c>
      <c r="BH40" s="2">
        <v>1</v>
      </c>
    </row>
    <row r="41" spans="1:60" s="114" customFormat="1" ht="16">
      <c r="A41" s="16" t="s">
        <v>200</v>
      </c>
      <c r="B41" s="16">
        <v>22102954</v>
      </c>
      <c r="C41" s="16" t="s">
        <v>201</v>
      </c>
      <c r="D41" s="77">
        <v>43860</v>
      </c>
      <c r="E41" s="77">
        <v>43952</v>
      </c>
      <c r="F41" s="77">
        <v>43952</v>
      </c>
      <c r="G41" s="16" t="s">
        <v>165</v>
      </c>
      <c r="H41" s="78">
        <v>44105</v>
      </c>
      <c r="I41" s="78">
        <v>44317</v>
      </c>
      <c r="J41" s="16"/>
      <c r="K41" s="16"/>
      <c r="L41" s="68" t="e">
        <f t="shared" si="0"/>
        <v>#NUM!</v>
      </c>
      <c r="M41" s="68" t="e">
        <f t="shared" si="1"/>
        <v>#NUM!</v>
      </c>
      <c r="N41" s="68">
        <f t="shared" si="2"/>
        <v>-120.41643835616438</v>
      </c>
      <c r="O41" s="16"/>
      <c r="P41" s="16"/>
      <c r="Q41" s="16"/>
      <c r="R41" s="16"/>
      <c r="S41" s="16"/>
      <c r="T41" s="16"/>
      <c r="U41" s="16"/>
      <c r="V41" s="16"/>
      <c r="W41" s="16"/>
      <c r="X41" s="16"/>
      <c r="Y41" s="16"/>
      <c r="Z41" s="16"/>
      <c r="AA41" s="16"/>
      <c r="AB41" s="16"/>
      <c r="AC41" s="16"/>
      <c r="AD41" s="16"/>
      <c r="AE41" s="16"/>
      <c r="AF41" s="16"/>
      <c r="AG41" s="16"/>
      <c r="AH41" s="16"/>
      <c r="AI41" s="68" t="e">
        <f t="shared" si="3"/>
        <v>#NUM!</v>
      </c>
      <c r="AJ41" s="68" t="e">
        <f t="shared" si="4"/>
        <v>#NUM!</v>
      </c>
      <c r="AK41" s="68">
        <f t="shared" si="5"/>
        <v>-120.41643835616438</v>
      </c>
      <c r="AL41" s="16"/>
      <c r="AM41" s="16"/>
      <c r="AN41" s="16"/>
      <c r="AO41" s="16"/>
      <c r="AP41" s="16"/>
      <c r="AQ41" s="16"/>
      <c r="AR41" s="16"/>
      <c r="AS41" s="16"/>
      <c r="AT41" s="68" t="e">
        <f t="shared" si="6"/>
        <v>#NUM!</v>
      </c>
      <c r="AU41" s="68" t="e">
        <f t="shared" si="7"/>
        <v>#NUM!</v>
      </c>
      <c r="AV41" s="68">
        <f t="shared" si="8"/>
        <v>-120.41643835616438</v>
      </c>
      <c r="AW41" s="16"/>
      <c r="AX41" s="16"/>
      <c r="AY41" s="68" t="e">
        <f t="shared" si="9"/>
        <v>#NUM!</v>
      </c>
      <c r="AZ41" s="68" t="e">
        <f t="shared" si="10"/>
        <v>#NUM!</v>
      </c>
      <c r="BA41" s="68">
        <f t="shared" si="11"/>
        <v>-120.41643835616438</v>
      </c>
      <c r="BB41" s="16"/>
      <c r="BC41" s="16"/>
      <c r="BD41" s="68" t="e">
        <f t="shared" si="12"/>
        <v>#NUM!</v>
      </c>
      <c r="BE41" s="68" t="e">
        <f t="shared" si="13"/>
        <v>#NUM!</v>
      </c>
      <c r="BF41" s="68">
        <f t="shared" si="14"/>
        <v>-120.41643835616438</v>
      </c>
      <c r="BG41" s="16"/>
      <c r="BH41" s="16"/>
    </row>
    <row r="42" spans="1:60" ht="16">
      <c r="A42" s="2" t="s">
        <v>204</v>
      </c>
      <c r="B42" s="2">
        <v>22104292</v>
      </c>
      <c r="C42" s="2" t="s">
        <v>205</v>
      </c>
      <c r="D42" s="23">
        <v>43998</v>
      </c>
      <c r="E42" s="23">
        <v>44106</v>
      </c>
      <c r="F42" s="23">
        <v>44106</v>
      </c>
      <c r="G42" s="2" t="s">
        <v>207</v>
      </c>
      <c r="H42" s="55">
        <v>44257</v>
      </c>
      <c r="I42" s="55">
        <v>44471</v>
      </c>
      <c r="J42" s="23">
        <v>44449</v>
      </c>
      <c r="K42" s="23">
        <v>44524</v>
      </c>
      <c r="L42" s="3" t="str">
        <f t="shared" si="0"/>
        <v>1Y5M8D</v>
      </c>
      <c r="M42" s="3" t="str">
        <f t="shared" si="1"/>
        <v>1Y1M22D</v>
      </c>
      <c r="N42" s="3">
        <f t="shared" si="2"/>
        <v>1.1452054794520548</v>
      </c>
      <c r="O42" s="2">
        <v>1</v>
      </c>
      <c r="P42" s="2">
        <v>2</v>
      </c>
      <c r="Q42" s="2" t="s">
        <v>1697</v>
      </c>
      <c r="R42" s="2">
        <v>1</v>
      </c>
      <c r="S42" s="2">
        <v>1</v>
      </c>
      <c r="T42" s="2">
        <v>1</v>
      </c>
      <c r="U42" s="2" t="s">
        <v>1698</v>
      </c>
      <c r="V42" s="2" t="s">
        <v>1664</v>
      </c>
      <c r="W42" s="2">
        <v>1</v>
      </c>
      <c r="X42" s="2">
        <v>1</v>
      </c>
      <c r="Y42" s="2">
        <v>1</v>
      </c>
      <c r="Z42" s="2">
        <v>1</v>
      </c>
      <c r="AA42" s="2">
        <v>1</v>
      </c>
      <c r="AB42" s="2"/>
      <c r="AC42" s="2" t="s">
        <v>1699</v>
      </c>
      <c r="AD42" s="2">
        <v>1</v>
      </c>
      <c r="AE42" s="2">
        <v>1</v>
      </c>
      <c r="AF42" s="2">
        <v>1</v>
      </c>
      <c r="AG42" s="2">
        <v>1</v>
      </c>
      <c r="AH42" s="23">
        <v>44356</v>
      </c>
      <c r="AI42" s="3" t="str">
        <f t="shared" si="3"/>
        <v>0Y11M24D</v>
      </c>
      <c r="AJ42" s="3" t="str">
        <f t="shared" si="4"/>
        <v>0Y8M7D</v>
      </c>
      <c r="AK42" s="3">
        <f t="shared" si="5"/>
        <v>0.68493150684931503</v>
      </c>
      <c r="AL42" s="2">
        <v>1</v>
      </c>
      <c r="AM42" s="2">
        <v>1</v>
      </c>
      <c r="AN42" s="2">
        <v>1</v>
      </c>
      <c r="AO42" s="2">
        <v>1</v>
      </c>
      <c r="AP42" s="2">
        <v>1</v>
      </c>
      <c r="AQ42" s="2">
        <v>1</v>
      </c>
      <c r="AR42" s="13" t="s">
        <v>1700</v>
      </c>
      <c r="AS42" s="23">
        <v>44354</v>
      </c>
      <c r="AT42" s="3" t="str">
        <f t="shared" si="6"/>
        <v>0Y11M22D</v>
      </c>
      <c r="AU42" s="3" t="str">
        <f t="shared" si="7"/>
        <v>0Y8M5D</v>
      </c>
      <c r="AV42" s="3">
        <f t="shared" si="8"/>
        <v>0.67945205479452053</v>
      </c>
      <c r="AW42" s="2">
        <v>2</v>
      </c>
      <c r="AX42" s="23">
        <v>44355</v>
      </c>
      <c r="AY42" s="3" t="str">
        <f t="shared" si="9"/>
        <v>0Y11M23D</v>
      </c>
      <c r="AZ42" s="3" t="str">
        <f t="shared" si="10"/>
        <v>0Y8M6D</v>
      </c>
      <c r="BA42" s="3">
        <f t="shared" si="11"/>
        <v>0.68219178082191778</v>
      </c>
      <c r="BB42" s="2">
        <v>2</v>
      </c>
      <c r="BC42" s="23">
        <v>44449</v>
      </c>
      <c r="BD42" s="3" t="str">
        <f t="shared" si="12"/>
        <v>1Y2M25D</v>
      </c>
      <c r="BE42" s="3" t="str">
        <f t="shared" si="13"/>
        <v>0Y11M8D</v>
      </c>
      <c r="BF42" s="3">
        <f t="shared" si="14"/>
        <v>0.9397260273972603</v>
      </c>
      <c r="BG42" s="2">
        <v>1</v>
      </c>
      <c r="BH42" s="2">
        <v>1</v>
      </c>
    </row>
    <row r="43" spans="1:60" ht="16">
      <c r="A43" s="2" t="s">
        <v>209</v>
      </c>
      <c r="B43" s="2">
        <v>22104265</v>
      </c>
      <c r="C43" s="2" t="s">
        <v>210</v>
      </c>
      <c r="D43" s="23">
        <v>43994</v>
      </c>
      <c r="E43" s="23">
        <v>44099</v>
      </c>
      <c r="F43" s="23">
        <v>44099</v>
      </c>
      <c r="G43" s="2">
        <v>25</v>
      </c>
      <c r="H43" s="55">
        <v>44252</v>
      </c>
      <c r="I43" s="55">
        <v>44464</v>
      </c>
      <c r="J43" s="23">
        <v>44412</v>
      </c>
      <c r="K43" s="23">
        <v>44327</v>
      </c>
      <c r="L43" s="3" t="str">
        <f t="shared" si="0"/>
        <v>0Y10M29D</v>
      </c>
      <c r="M43" s="3" t="str">
        <f t="shared" si="1"/>
        <v>0Y7M16D</v>
      </c>
      <c r="N43" s="3">
        <f t="shared" si="2"/>
        <v>0.62465753424657533</v>
      </c>
      <c r="O43" s="2">
        <v>1</v>
      </c>
      <c r="P43" s="2">
        <v>2</v>
      </c>
      <c r="Q43" s="2" t="s">
        <v>1684</v>
      </c>
      <c r="R43" s="2">
        <v>1</v>
      </c>
      <c r="S43" s="2">
        <v>1</v>
      </c>
      <c r="T43" s="2">
        <v>1</v>
      </c>
      <c r="U43" s="2" t="s">
        <v>1666</v>
      </c>
      <c r="V43" s="9" t="s">
        <v>1664</v>
      </c>
      <c r="W43" s="2">
        <v>1</v>
      </c>
      <c r="X43" s="2">
        <v>1</v>
      </c>
      <c r="Y43" s="2">
        <v>1</v>
      </c>
      <c r="Z43" s="2">
        <v>1</v>
      </c>
      <c r="AA43" s="2">
        <v>1</v>
      </c>
      <c r="AB43" s="2">
        <v>1</v>
      </c>
      <c r="AC43" s="2" t="s">
        <v>1666</v>
      </c>
      <c r="AD43" s="2">
        <v>1</v>
      </c>
      <c r="AE43" s="2">
        <v>1</v>
      </c>
      <c r="AF43" s="2">
        <v>1</v>
      </c>
      <c r="AG43" s="2">
        <v>1</v>
      </c>
      <c r="AH43" s="23">
        <v>44412</v>
      </c>
      <c r="AI43" s="3" t="str">
        <f t="shared" si="3"/>
        <v>1Y1M23D</v>
      </c>
      <c r="AJ43" s="3" t="str">
        <f t="shared" si="4"/>
        <v>0Y10M10D</v>
      </c>
      <c r="AK43" s="3">
        <f t="shared" si="5"/>
        <v>0.8575342465753425</v>
      </c>
      <c r="AL43" s="2">
        <v>1</v>
      </c>
      <c r="AM43" s="2">
        <v>1</v>
      </c>
      <c r="AN43" s="2">
        <v>1</v>
      </c>
      <c r="AO43" s="2">
        <v>1</v>
      </c>
      <c r="AP43" s="2">
        <v>1</v>
      </c>
      <c r="AQ43" s="2">
        <v>3</v>
      </c>
      <c r="AR43" s="2"/>
      <c r="AS43" s="23">
        <v>44410</v>
      </c>
      <c r="AT43" s="3" t="str">
        <f t="shared" si="6"/>
        <v>1Y1M21D</v>
      </c>
      <c r="AU43" s="3" t="str">
        <f t="shared" si="7"/>
        <v>0Y10M8D</v>
      </c>
      <c r="AV43" s="3">
        <f t="shared" si="8"/>
        <v>0.852054794520548</v>
      </c>
      <c r="AW43" s="2">
        <v>2</v>
      </c>
      <c r="AX43" s="23">
        <v>44411</v>
      </c>
      <c r="AY43" s="3" t="str">
        <f t="shared" si="9"/>
        <v>1Y1M22D</v>
      </c>
      <c r="AZ43" s="3" t="str">
        <f t="shared" si="10"/>
        <v>0Y10M9D</v>
      </c>
      <c r="BA43" s="3">
        <f t="shared" si="11"/>
        <v>0.85479452054794525</v>
      </c>
      <c r="BB43" s="2">
        <v>2</v>
      </c>
      <c r="BC43" s="23">
        <v>44328</v>
      </c>
      <c r="BD43" s="3" t="str">
        <f t="shared" si="12"/>
        <v>0Y11M0D</v>
      </c>
      <c r="BE43" s="3" t="str">
        <f t="shared" si="13"/>
        <v>0Y7M17D</v>
      </c>
      <c r="BF43" s="3">
        <f t="shared" si="14"/>
        <v>0.62739726027397258</v>
      </c>
      <c r="BG43" s="2">
        <v>1</v>
      </c>
      <c r="BH43" s="2">
        <v>1</v>
      </c>
    </row>
    <row r="44" spans="1:60" ht="16">
      <c r="A44" s="2" t="s">
        <v>212</v>
      </c>
      <c r="B44" s="2">
        <v>22103803</v>
      </c>
      <c r="C44" s="2" t="s">
        <v>213</v>
      </c>
      <c r="D44" s="23">
        <v>43945</v>
      </c>
      <c r="E44" s="23">
        <v>44058</v>
      </c>
      <c r="F44" s="23">
        <v>44058</v>
      </c>
      <c r="G44" s="2" t="s">
        <v>194</v>
      </c>
      <c r="H44" s="55">
        <v>44211</v>
      </c>
      <c r="I44" s="55">
        <v>44423</v>
      </c>
      <c r="J44" s="23">
        <v>44428</v>
      </c>
      <c r="K44" s="23">
        <v>44428</v>
      </c>
      <c r="L44" s="3" t="str">
        <f t="shared" si="0"/>
        <v>1Y3M27D</v>
      </c>
      <c r="M44" s="3" t="str">
        <f t="shared" si="1"/>
        <v>1Y0M5D</v>
      </c>
      <c r="N44" s="3">
        <f t="shared" si="2"/>
        <v>1.0136986301369864</v>
      </c>
      <c r="O44" s="2">
        <v>1</v>
      </c>
      <c r="P44" s="2"/>
      <c r="Q44" s="2" t="s">
        <v>1669</v>
      </c>
      <c r="R44" s="2">
        <v>1</v>
      </c>
      <c r="S44" s="2">
        <v>1</v>
      </c>
      <c r="T44" s="2"/>
      <c r="U44" s="2" t="s">
        <v>1688</v>
      </c>
      <c r="V44" s="2" t="s">
        <v>1664</v>
      </c>
      <c r="W44" s="2">
        <v>1</v>
      </c>
      <c r="X44" s="2">
        <v>1</v>
      </c>
      <c r="Y44" s="2">
        <v>1</v>
      </c>
      <c r="Z44" s="2">
        <v>1</v>
      </c>
      <c r="AA44" s="2">
        <v>1</v>
      </c>
      <c r="AB44" s="2">
        <v>1</v>
      </c>
      <c r="AC44" s="2"/>
      <c r="AD44" s="2">
        <v>1</v>
      </c>
      <c r="AE44" s="2">
        <v>1</v>
      </c>
      <c r="AF44" s="2">
        <v>1</v>
      </c>
      <c r="AG44" s="2">
        <v>1</v>
      </c>
      <c r="AH44" s="23">
        <v>44393</v>
      </c>
      <c r="AI44" s="3" t="str">
        <f t="shared" si="3"/>
        <v>1Y2M22D</v>
      </c>
      <c r="AJ44" s="3" t="str">
        <f t="shared" si="4"/>
        <v>0Y11M1D</v>
      </c>
      <c r="AK44" s="3">
        <f t="shared" si="5"/>
        <v>0.9178082191780822</v>
      </c>
      <c r="AL44" s="2">
        <v>1</v>
      </c>
      <c r="AM44" s="2">
        <v>1</v>
      </c>
      <c r="AN44" s="2">
        <v>1</v>
      </c>
      <c r="AO44" s="2">
        <v>1</v>
      </c>
      <c r="AP44" s="2">
        <v>1</v>
      </c>
      <c r="AQ44" s="2">
        <v>3</v>
      </c>
      <c r="AR44" s="2"/>
      <c r="AS44" s="23">
        <v>44392</v>
      </c>
      <c r="AT44" s="3" t="str">
        <f t="shared" si="6"/>
        <v>1Y2M21D</v>
      </c>
      <c r="AU44" s="3" t="str">
        <f t="shared" si="7"/>
        <v>0Y11M0D</v>
      </c>
      <c r="AV44" s="3">
        <f t="shared" si="8"/>
        <v>0.91506849315068495</v>
      </c>
      <c r="AW44" s="2">
        <v>2</v>
      </c>
      <c r="AX44" s="2"/>
      <c r="AY44" s="3" t="e">
        <f t="shared" si="9"/>
        <v>#NUM!</v>
      </c>
      <c r="AZ44" s="3" t="e">
        <f t="shared" si="10"/>
        <v>#NUM!</v>
      </c>
      <c r="BA44" s="3">
        <f t="shared" si="11"/>
        <v>-120.7068493150685</v>
      </c>
      <c r="BB44" s="2"/>
      <c r="BC44" s="23">
        <v>44428</v>
      </c>
      <c r="BD44" s="3" t="str">
        <f t="shared" si="12"/>
        <v>1Y3M27D</v>
      </c>
      <c r="BE44" s="3" t="str">
        <f t="shared" si="13"/>
        <v>1Y0M5D</v>
      </c>
      <c r="BF44" s="3">
        <f t="shared" si="14"/>
        <v>1.0136986301369864</v>
      </c>
      <c r="BG44" s="2">
        <v>1</v>
      </c>
      <c r="BH44" s="2">
        <v>1</v>
      </c>
    </row>
    <row r="45" spans="1:60" ht="16">
      <c r="A45" s="2" t="s">
        <v>214</v>
      </c>
      <c r="B45" s="2">
        <v>22105667</v>
      </c>
      <c r="C45" s="2" t="s">
        <v>215</v>
      </c>
      <c r="D45" s="23">
        <v>44130</v>
      </c>
      <c r="E45" s="23">
        <v>44231</v>
      </c>
      <c r="F45" s="23">
        <v>44231</v>
      </c>
      <c r="G45" s="2" t="s">
        <v>217</v>
      </c>
      <c r="H45" s="55">
        <v>44381</v>
      </c>
      <c r="I45" s="55">
        <v>44596</v>
      </c>
      <c r="J45" s="2"/>
      <c r="K45" s="23">
        <v>44502</v>
      </c>
      <c r="L45" s="3" t="str">
        <f t="shared" si="0"/>
        <v>1Y0M7D</v>
      </c>
      <c r="M45" s="3" t="str">
        <f t="shared" si="1"/>
        <v>0Y8M29D</v>
      </c>
      <c r="N45" s="3">
        <f t="shared" si="2"/>
        <v>0.74246575342465748</v>
      </c>
      <c r="O45" s="2">
        <v>1</v>
      </c>
      <c r="P45" s="2">
        <v>3</v>
      </c>
      <c r="Q45" s="2" t="s">
        <v>1698</v>
      </c>
      <c r="R45" s="2">
        <v>1</v>
      </c>
      <c r="S45" s="2">
        <v>1</v>
      </c>
      <c r="T45" s="2"/>
      <c r="U45" s="2" t="s">
        <v>1701</v>
      </c>
      <c r="V45" s="2" t="s">
        <v>1661</v>
      </c>
      <c r="W45" s="2">
        <v>1</v>
      </c>
      <c r="X45" s="2">
        <v>1</v>
      </c>
      <c r="Y45" s="2">
        <v>1</v>
      </c>
      <c r="Z45" s="2">
        <v>1</v>
      </c>
      <c r="AA45" s="2">
        <v>1</v>
      </c>
      <c r="AB45" s="2">
        <v>1</v>
      </c>
      <c r="AC45" s="2"/>
      <c r="AD45" s="2">
        <v>1</v>
      </c>
      <c r="AE45" s="2">
        <v>1</v>
      </c>
      <c r="AF45" s="2">
        <v>1</v>
      </c>
      <c r="AG45" s="2">
        <v>1</v>
      </c>
      <c r="AH45" s="23">
        <v>44435</v>
      </c>
      <c r="AI45" s="3" t="str">
        <f t="shared" si="3"/>
        <v>0Y10M1D</v>
      </c>
      <c r="AJ45" s="3" t="str">
        <f t="shared" si="4"/>
        <v>0Y6M23D</v>
      </c>
      <c r="AK45" s="3">
        <f t="shared" si="5"/>
        <v>0.55890410958904113</v>
      </c>
      <c r="AL45" s="2">
        <v>1</v>
      </c>
      <c r="AM45" s="2">
        <v>1</v>
      </c>
      <c r="AN45" s="2">
        <v>1</v>
      </c>
      <c r="AO45" s="2">
        <v>1</v>
      </c>
      <c r="AP45" s="2">
        <v>1</v>
      </c>
      <c r="AQ45" s="2"/>
      <c r="AR45" s="2" t="s">
        <v>1700</v>
      </c>
      <c r="AS45" s="23">
        <v>44434</v>
      </c>
      <c r="AT45" s="3" t="str">
        <f t="shared" si="6"/>
        <v>0Y10M0D</v>
      </c>
      <c r="AU45" s="3" t="str">
        <f t="shared" si="7"/>
        <v>0Y6M22D</v>
      </c>
      <c r="AV45" s="3">
        <f t="shared" si="8"/>
        <v>0.55616438356164388</v>
      </c>
      <c r="AW45" s="2">
        <v>2</v>
      </c>
      <c r="AX45" s="23">
        <v>44435</v>
      </c>
      <c r="AY45" s="3" t="str">
        <f t="shared" si="9"/>
        <v>0Y10M1D</v>
      </c>
      <c r="AZ45" s="3" t="str">
        <f t="shared" si="10"/>
        <v>0Y6M23D</v>
      </c>
      <c r="BA45" s="3">
        <f t="shared" si="11"/>
        <v>0.55890410958904113</v>
      </c>
      <c r="BB45" s="2">
        <v>2</v>
      </c>
      <c r="BC45" s="23">
        <v>44435</v>
      </c>
      <c r="BD45" s="3" t="str">
        <f t="shared" si="12"/>
        <v>0Y10M1D</v>
      </c>
      <c r="BE45" s="3" t="str">
        <f t="shared" si="13"/>
        <v>0Y6M23D</v>
      </c>
      <c r="BF45" s="3">
        <f t="shared" si="14"/>
        <v>0.55890410958904113</v>
      </c>
      <c r="BG45" s="2">
        <v>1</v>
      </c>
      <c r="BH45" s="2">
        <v>1</v>
      </c>
    </row>
    <row r="46" spans="1:60" ht="16">
      <c r="A46" s="2" t="s">
        <v>219</v>
      </c>
      <c r="B46" s="2">
        <v>22107706</v>
      </c>
      <c r="C46" s="2" t="s">
        <v>220</v>
      </c>
      <c r="D46" s="23">
        <v>44328</v>
      </c>
      <c r="E46" s="23">
        <v>44412</v>
      </c>
      <c r="F46" s="23">
        <v>44412</v>
      </c>
      <c r="G46" s="2">
        <v>28</v>
      </c>
      <c r="H46" s="55">
        <v>44565</v>
      </c>
      <c r="I46" s="55">
        <v>44777</v>
      </c>
      <c r="J46" s="23">
        <v>44411</v>
      </c>
      <c r="K46" s="23">
        <v>44607</v>
      </c>
      <c r="L46" s="3" t="str">
        <f t="shared" si="0"/>
        <v>0Y9M3D</v>
      </c>
      <c r="M46" s="3" t="str">
        <f t="shared" si="1"/>
        <v>0Y6M11D</v>
      </c>
      <c r="N46" s="3">
        <f t="shared" si="2"/>
        <v>0.53424657534246578</v>
      </c>
      <c r="O46" s="2">
        <v>1</v>
      </c>
      <c r="P46" s="2">
        <v>2</v>
      </c>
      <c r="Q46" s="2" t="s">
        <v>1703</v>
      </c>
      <c r="R46" s="2">
        <v>1</v>
      </c>
      <c r="S46" s="2">
        <v>1</v>
      </c>
      <c r="T46" s="2">
        <v>1</v>
      </c>
      <c r="U46" s="2" t="s">
        <v>1704</v>
      </c>
      <c r="V46" s="2" t="s">
        <v>1664</v>
      </c>
      <c r="W46" s="2">
        <v>1</v>
      </c>
      <c r="X46" s="2">
        <v>1</v>
      </c>
      <c r="Y46" s="2">
        <v>2</v>
      </c>
      <c r="Z46" s="2">
        <v>1</v>
      </c>
      <c r="AA46" s="2">
        <v>1</v>
      </c>
      <c r="AB46" s="2">
        <v>1</v>
      </c>
      <c r="AC46" s="2" t="s">
        <v>1674</v>
      </c>
      <c r="AD46" s="2">
        <v>1</v>
      </c>
      <c r="AE46" s="2">
        <v>1</v>
      </c>
      <c r="AF46" s="2">
        <v>1</v>
      </c>
      <c r="AG46" s="2">
        <v>1</v>
      </c>
      <c r="AH46" s="23">
        <v>44607</v>
      </c>
      <c r="AI46" s="3" t="str">
        <f t="shared" si="3"/>
        <v>0Y9M3D</v>
      </c>
      <c r="AJ46" s="3" t="str">
        <f t="shared" si="4"/>
        <v>0Y6M11D</v>
      </c>
      <c r="AK46" s="3">
        <f t="shared" si="5"/>
        <v>0.53424657534246578</v>
      </c>
      <c r="AL46" s="2">
        <v>1</v>
      </c>
      <c r="AM46" s="2">
        <v>1</v>
      </c>
      <c r="AN46" s="2">
        <v>1</v>
      </c>
      <c r="AO46" s="2">
        <v>1</v>
      </c>
      <c r="AP46" s="2">
        <v>1</v>
      </c>
      <c r="AQ46" s="2"/>
      <c r="AR46" s="2" t="s">
        <v>1705</v>
      </c>
      <c r="AS46" s="23">
        <v>44606</v>
      </c>
      <c r="AT46" s="3" t="str">
        <f t="shared" si="6"/>
        <v>0Y9M2D</v>
      </c>
      <c r="AU46" s="3" t="str">
        <f t="shared" si="7"/>
        <v>0Y6M10D</v>
      </c>
      <c r="AV46" s="3">
        <f t="shared" si="8"/>
        <v>0.53150684931506853</v>
      </c>
      <c r="AW46" s="2">
        <v>2</v>
      </c>
      <c r="AX46" s="2"/>
      <c r="AY46" s="3" t="e">
        <f t="shared" si="9"/>
        <v>#NUM!</v>
      </c>
      <c r="AZ46" s="3" t="e">
        <f t="shared" si="10"/>
        <v>#NUM!</v>
      </c>
      <c r="BA46" s="3">
        <f t="shared" si="11"/>
        <v>-121.67671232876712</v>
      </c>
      <c r="BB46" s="2"/>
      <c r="BC46" s="23">
        <v>44607</v>
      </c>
      <c r="BD46" s="3" t="str">
        <f t="shared" si="12"/>
        <v>0Y9M3D</v>
      </c>
      <c r="BE46" s="3" t="str">
        <f t="shared" si="13"/>
        <v>0Y6M11D</v>
      </c>
      <c r="BF46" s="3">
        <f t="shared" si="14"/>
        <v>0.53424657534246578</v>
      </c>
      <c r="BG46" s="2">
        <v>1</v>
      </c>
      <c r="BH46" s="2">
        <v>1</v>
      </c>
    </row>
    <row r="47" spans="1:60" ht="16">
      <c r="A47" s="2" t="s">
        <v>223</v>
      </c>
      <c r="B47" s="2">
        <v>22107436</v>
      </c>
      <c r="C47" s="2" t="s">
        <v>224</v>
      </c>
      <c r="D47" s="23">
        <v>44300</v>
      </c>
      <c r="E47" s="23">
        <v>44296</v>
      </c>
      <c r="F47" s="23">
        <v>44300</v>
      </c>
      <c r="G47" s="2" t="s">
        <v>226</v>
      </c>
      <c r="H47" s="55">
        <v>44449</v>
      </c>
      <c r="I47" s="55">
        <v>44661</v>
      </c>
      <c r="J47" s="23">
        <v>44496</v>
      </c>
      <c r="K47" s="23">
        <v>44496</v>
      </c>
      <c r="L47" s="3" t="str">
        <f t="shared" si="0"/>
        <v>0Y6M13D</v>
      </c>
      <c r="M47" s="3" t="str">
        <f t="shared" si="1"/>
        <v>0Y6M17D</v>
      </c>
      <c r="N47" s="3">
        <f t="shared" si="2"/>
        <v>0.53698630136986303</v>
      </c>
      <c r="O47" s="2">
        <v>2</v>
      </c>
      <c r="P47" s="2">
        <v>2</v>
      </c>
      <c r="Q47" s="2" t="s">
        <v>1684</v>
      </c>
      <c r="R47" s="2">
        <v>1</v>
      </c>
      <c r="S47" s="2">
        <v>1</v>
      </c>
      <c r="T47" s="2">
        <v>1</v>
      </c>
      <c r="U47" s="2" t="s">
        <v>1706</v>
      </c>
      <c r="V47" s="2" t="s">
        <v>1664</v>
      </c>
      <c r="W47" s="2">
        <v>1</v>
      </c>
      <c r="X47" s="2">
        <v>1</v>
      </c>
      <c r="Y47" s="2">
        <v>1</v>
      </c>
      <c r="Z47" s="2">
        <v>1</v>
      </c>
      <c r="AA47" s="2">
        <v>1</v>
      </c>
      <c r="AB47" s="2">
        <v>1</v>
      </c>
      <c r="AC47" s="2" t="s">
        <v>1707</v>
      </c>
      <c r="AD47" s="2">
        <v>1</v>
      </c>
      <c r="AE47" s="2">
        <v>1</v>
      </c>
      <c r="AF47" s="2">
        <v>1</v>
      </c>
      <c r="AG47" s="2">
        <v>1</v>
      </c>
      <c r="AH47" s="23">
        <v>44517</v>
      </c>
      <c r="AI47" s="3" t="str">
        <f t="shared" si="3"/>
        <v>0Y7M3D</v>
      </c>
      <c r="AJ47" s="3" t="str">
        <f t="shared" si="4"/>
        <v>0Y7M7D</v>
      </c>
      <c r="AK47" s="3">
        <f t="shared" si="5"/>
        <v>0.59452054794520548</v>
      </c>
      <c r="AL47" s="2">
        <v>1</v>
      </c>
      <c r="AM47" s="2">
        <v>1</v>
      </c>
      <c r="AN47" s="2">
        <v>1</v>
      </c>
      <c r="AO47" s="2">
        <v>2</v>
      </c>
      <c r="AP47" s="2">
        <v>1</v>
      </c>
      <c r="AQ47" s="2">
        <v>6</v>
      </c>
      <c r="AR47" s="2"/>
      <c r="AS47" s="23">
        <v>44495</v>
      </c>
      <c r="AT47" s="3" t="str">
        <f t="shared" si="6"/>
        <v>0Y6M12D</v>
      </c>
      <c r="AU47" s="3" t="str">
        <f t="shared" si="7"/>
        <v>0Y6M16D</v>
      </c>
      <c r="AV47" s="3">
        <f t="shared" si="8"/>
        <v>0.53424657534246578</v>
      </c>
      <c r="AW47" s="2">
        <v>2</v>
      </c>
      <c r="AX47" s="2"/>
      <c r="AY47" s="3" t="e">
        <f t="shared" si="9"/>
        <v>#NUM!</v>
      </c>
      <c r="AZ47" s="3" t="e">
        <f t="shared" si="10"/>
        <v>#NUM!</v>
      </c>
      <c r="BA47" s="3">
        <f t="shared" si="11"/>
        <v>-121.36986301369863</v>
      </c>
      <c r="BB47" s="2"/>
      <c r="BC47" s="23">
        <v>44496</v>
      </c>
      <c r="BD47" s="3" t="str">
        <f t="shared" si="12"/>
        <v>0Y6M13D</v>
      </c>
      <c r="BE47" s="3" t="str">
        <f t="shared" si="13"/>
        <v>0Y6M17D</v>
      </c>
      <c r="BF47" s="3">
        <f t="shared" si="14"/>
        <v>0.53698630136986303</v>
      </c>
      <c r="BG47" s="2">
        <v>1</v>
      </c>
      <c r="BH47" s="2">
        <v>0</v>
      </c>
    </row>
    <row r="48" spans="1:60" ht="16">
      <c r="A48" s="2" t="s">
        <v>228</v>
      </c>
      <c r="B48" s="2">
        <v>22107749</v>
      </c>
      <c r="C48" s="2" t="s">
        <v>229</v>
      </c>
      <c r="D48" s="23">
        <v>44333</v>
      </c>
      <c r="E48" s="23">
        <v>44402</v>
      </c>
      <c r="F48" s="23">
        <v>44402</v>
      </c>
      <c r="G48" s="2" t="s">
        <v>100</v>
      </c>
      <c r="H48" s="55">
        <v>44555</v>
      </c>
      <c r="I48" s="55">
        <v>44767</v>
      </c>
      <c r="J48" s="23">
        <v>44575</v>
      </c>
      <c r="K48" s="23">
        <v>44575</v>
      </c>
      <c r="L48" s="3" t="str">
        <f t="shared" si="0"/>
        <v>0Y7M28D</v>
      </c>
      <c r="M48" s="3" t="str">
        <f t="shared" si="1"/>
        <v>0Y5M20D</v>
      </c>
      <c r="N48" s="3">
        <f t="shared" si="2"/>
        <v>0.47397260273972602</v>
      </c>
      <c r="O48" s="2">
        <v>2</v>
      </c>
      <c r="P48" s="2">
        <v>2</v>
      </c>
      <c r="Q48" s="2" t="s">
        <v>1708</v>
      </c>
      <c r="R48" s="2">
        <v>1</v>
      </c>
      <c r="S48" s="2">
        <v>1</v>
      </c>
      <c r="T48" s="2">
        <v>1</v>
      </c>
      <c r="U48" s="2"/>
      <c r="V48" s="2" t="s">
        <v>1661</v>
      </c>
      <c r="W48" s="2">
        <v>1</v>
      </c>
      <c r="X48" s="2">
        <v>1</v>
      </c>
      <c r="Y48" s="2">
        <v>2</v>
      </c>
      <c r="Z48" s="2">
        <v>1</v>
      </c>
      <c r="AA48" s="2">
        <v>1</v>
      </c>
      <c r="AB48" s="2">
        <v>1</v>
      </c>
      <c r="AC48" s="2" t="s">
        <v>1709</v>
      </c>
      <c r="AD48" s="2">
        <v>1</v>
      </c>
      <c r="AE48" s="2">
        <v>1</v>
      </c>
      <c r="AF48" s="2">
        <v>1</v>
      </c>
      <c r="AG48" s="2">
        <v>1</v>
      </c>
      <c r="AH48" s="23">
        <v>44610</v>
      </c>
      <c r="AI48" s="3" t="str">
        <f t="shared" si="3"/>
        <v>0Y9M1D</v>
      </c>
      <c r="AJ48" s="3" t="str">
        <f t="shared" si="4"/>
        <v>0Y6M24D</v>
      </c>
      <c r="AK48" s="3">
        <f t="shared" si="5"/>
        <v>0.56986301369863013</v>
      </c>
      <c r="AL48" s="2">
        <v>1</v>
      </c>
      <c r="AM48" s="2">
        <v>1</v>
      </c>
      <c r="AN48" s="2">
        <v>1</v>
      </c>
      <c r="AO48" s="2">
        <v>1</v>
      </c>
      <c r="AP48" s="2">
        <v>1</v>
      </c>
      <c r="AQ48" s="2">
        <v>3</v>
      </c>
      <c r="AR48" s="2"/>
      <c r="AS48" s="23">
        <v>44610</v>
      </c>
      <c r="AT48" s="3" t="str">
        <f t="shared" si="6"/>
        <v>0Y9M1D</v>
      </c>
      <c r="AU48" s="3" t="str">
        <f t="shared" si="7"/>
        <v>0Y6M24D</v>
      </c>
      <c r="AV48" s="3">
        <f t="shared" si="8"/>
        <v>0.56986301369863013</v>
      </c>
      <c r="AW48" s="2">
        <v>2</v>
      </c>
      <c r="AX48" s="2"/>
      <c r="AY48" s="3" t="e">
        <f t="shared" si="9"/>
        <v>#NUM!</v>
      </c>
      <c r="AZ48" s="3" t="e">
        <f t="shared" si="10"/>
        <v>#NUM!</v>
      </c>
      <c r="BA48" s="3">
        <f t="shared" si="11"/>
        <v>-121.64931506849315</v>
      </c>
      <c r="BB48" s="2"/>
      <c r="BC48" s="23">
        <v>44575</v>
      </c>
      <c r="BD48" s="3" t="str">
        <f t="shared" si="12"/>
        <v>0Y7M28D</v>
      </c>
      <c r="BE48" s="3" t="str">
        <f t="shared" si="13"/>
        <v>0Y5M20D</v>
      </c>
      <c r="BF48" s="3">
        <f t="shared" si="14"/>
        <v>0.47397260273972602</v>
      </c>
      <c r="BG48" s="2">
        <v>1</v>
      </c>
      <c r="BH48" s="2">
        <v>1</v>
      </c>
    </row>
    <row r="49" spans="1:60" s="114" customFormat="1" ht="16">
      <c r="A49" s="16" t="s">
        <v>232</v>
      </c>
      <c r="B49" s="16">
        <v>21929694</v>
      </c>
      <c r="C49" s="16" t="s">
        <v>233</v>
      </c>
      <c r="D49" s="77">
        <v>43580</v>
      </c>
      <c r="E49" s="77">
        <v>43636</v>
      </c>
      <c r="F49" s="77">
        <v>43580</v>
      </c>
      <c r="G49" s="16">
        <v>32</v>
      </c>
      <c r="H49" s="78">
        <v>43789</v>
      </c>
      <c r="I49" s="78">
        <v>44002</v>
      </c>
      <c r="J49" s="16"/>
      <c r="K49" s="16"/>
      <c r="L49" s="68" t="e">
        <f t="shared" si="0"/>
        <v>#NUM!</v>
      </c>
      <c r="M49" s="68" t="e">
        <f t="shared" si="1"/>
        <v>#NUM!</v>
      </c>
      <c r="N49" s="68">
        <f t="shared" si="2"/>
        <v>-119.39726027397261</v>
      </c>
      <c r="O49" s="16"/>
      <c r="P49" s="16"/>
      <c r="Q49" s="16"/>
      <c r="R49" s="16"/>
      <c r="S49" s="16"/>
      <c r="T49" s="16"/>
      <c r="U49" s="16"/>
      <c r="V49" s="16"/>
      <c r="W49" s="16"/>
      <c r="X49" s="16"/>
      <c r="Y49" s="16"/>
      <c r="Z49" s="16"/>
      <c r="AA49" s="16"/>
      <c r="AB49" s="16"/>
      <c r="AC49" s="16"/>
      <c r="AD49" s="16"/>
      <c r="AE49" s="16"/>
      <c r="AF49" s="16"/>
      <c r="AG49" s="16"/>
      <c r="AH49" s="16"/>
      <c r="AI49" s="68" t="e">
        <f t="shared" si="3"/>
        <v>#NUM!</v>
      </c>
      <c r="AJ49" s="68" t="e">
        <f t="shared" si="4"/>
        <v>#NUM!</v>
      </c>
      <c r="AK49" s="68">
        <f t="shared" si="5"/>
        <v>-119.39726027397261</v>
      </c>
      <c r="AL49" s="16"/>
      <c r="AM49" s="16"/>
      <c r="AN49" s="16"/>
      <c r="AO49" s="16"/>
      <c r="AP49" s="16"/>
      <c r="AQ49" s="16"/>
      <c r="AR49" s="16"/>
      <c r="AS49" s="16"/>
      <c r="AT49" s="68" t="e">
        <f t="shared" si="6"/>
        <v>#NUM!</v>
      </c>
      <c r="AU49" s="68" t="e">
        <f t="shared" si="7"/>
        <v>#NUM!</v>
      </c>
      <c r="AV49" s="68">
        <f t="shared" si="8"/>
        <v>-119.39726027397261</v>
      </c>
      <c r="AW49" s="16"/>
      <c r="AX49" s="16"/>
      <c r="AY49" s="68" t="e">
        <f t="shared" si="9"/>
        <v>#NUM!</v>
      </c>
      <c r="AZ49" s="68" t="e">
        <f t="shared" si="10"/>
        <v>#NUM!</v>
      </c>
      <c r="BA49" s="68">
        <f t="shared" si="11"/>
        <v>-119.39726027397261</v>
      </c>
      <c r="BB49" s="16"/>
      <c r="BC49" s="16"/>
      <c r="BD49" s="68" t="e">
        <f t="shared" si="12"/>
        <v>#NUM!</v>
      </c>
      <c r="BE49" s="68" t="e">
        <f t="shared" si="13"/>
        <v>#NUM!</v>
      </c>
      <c r="BF49" s="68">
        <f t="shared" si="14"/>
        <v>-119.39726027397261</v>
      </c>
      <c r="BG49" s="16"/>
      <c r="BH49" s="16"/>
    </row>
    <row r="50" spans="1:60" s="114" customFormat="1" ht="16">
      <c r="A50" s="16" t="s">
        <v>236</v>
      </c>
      <c r="B50" s="16">
        <v>21929692</v>
      </c>
      <c r="C50" s="16" t="s">
        <v>237</v>
      </c>
      <c r="D50" s="77">
        <v>43580</v>
      </c>
      <c r="E50" s="77">
        <v>43636</v>
      </c>
      <c r="F50" s="77">
        <v>43580</v>
      </c>
      <c r="G50" s="16">
        <v>32</v>
      </c>
      <c r="H50" s="78">
        <v>43789</v>
      </c>
      <c r="I50" s="78">
        <v>44002</v>
      </c>
      <c r="J50" s="16"/>
      <c r="K50" s="16"/>
      <c r="L50" s="68" t="e">
        <f t="shared" si="0"/>
        <v>#NUM!</v>
      </c>
      <c r="M50" s="68" t="e">
        <f t="shared" si="1"/>
        <v>#NUM!</v>
      </c>
      <c r="N50" s="68">
        <f t="shared" si="2"/>
        <v>-119.39726027397261</v>
      </c>
      <c r="O50" s="16"/>
      <c r="P50" s="16"/>
      <c r="Q50" s="16"/>
      <c r="R50" s="16"/>
      <c r="S50" s="16"/>
      <c r="T50" s="16"/>
      <c r="U50" s="16"/>
      <c r="V50" s="16"/>
      <c r="W50" s="16"/>
      <c r="X50" s="16"/>
      <c r="Y50" s="16"/>
      <c r="Z50" s="16"/>
      <c r="AA50" s="16"/>
      <c r="AB50" s="16"/>
      <c r="AC50" s="16"/>
      <c r="AD50" s="16"/>
      <c r="AE50" s="16"/>
      <c r="AF50" s="16"/>
      <c r="AG50" s="16"/>
      <c r="AH50" s="16"/>
      <c r="AI50" s="68" t="e">
        <f t="shared" si="3"/>
        <v>#NUM!</v>
      </c>
      <c r="AJ50" s="68" t="e">
        <f t="shared" si="4"/>
        <v>#NUM!</v>
      </c>
      <c r="AK50" s="68">
        <f t="shared" si="5"/>
        <v>-119.39726027397261</v>
      </c>
      <c r="AL50" s="16"/>
      <c r="AM50" s="16"/>
      <c r="AN50" s="16"/>
      <c r="AO50" s="16"/>
      <c r="AP50" s="16"/>
      <c r="AQ50" s="16"/>
      <c r="AR50" s="16"/>
      <c r="AS50" s="16"/>
      <c r="AT50" s="68" t="e">
        <f t="shared" si="6"/>
        <v>#NUM!</v>
      </c>
      <c r="AU50" s="68" t="e">
        <f t="shared" si="7"/>
        <v>#NUM!</v>
      </c>
      <c r="AV50" s="68">
        <f t="shared" si="8"/>
        <v>-119.39726027397261</v>
      </c>
      <c r="AW50" s="16"/>
      <c r="AX50" s="16"/>
      <c r="AY50" s="68" t="e">
        <f t="shared" si="9"/>
        <v>#NUM!</v>
      </c>
      <c r="AZ50" s="68" t="e">
        <f t="shared" si="10"/>
        <v>#NUM!</v>
      </c>
      <c r="BA50" s="68">
        <f t="shared" si="11"/>
        <v>-119.39726027397261</v>
      </c>
      <c r="BB50" s="16"/>
      <c r="BC50" s="16"/>
      <c r="BD50" s="68" t="e">
        <f t="shared" si="12"/>
        <v>#NUM!</v>
      </c>
      <c r="BE50" s="68" t="e">
        <f t="shared" si="13"/>
        <v>#NUM!</v>
      </c>
      <c r="BF50" s="68">
        <f t="shared" si="14"/>
        <v>-119.39726027397261</v>
      </c>
      <c r="BG50" s="16"/>
      <c r="BH50" s="16"/>
    </row>
    <row r="51" spans="1:60" ht="16">
      <c r="A51" s="2" t="s">
        <v>239</v>
      </c>
      <c r="B51" s="2">
        <v>22107552</v>
      </c>
      <c r="C51" s="2" t="s">
        <v>240</v>
      </c>
      <c r="D51" s="23">
        <v>44310</v>
      </c>
      <c r="E51" s="23">
        <v>44374</v>
      </c>
      <c r="F51" s="23">
        <v>44374</v>
      </c>
      <c r="G51" s="2" t="s">
        <v>242</v>
      </c>
      <c r="H51" s="55">
        <v>44527</v>
      </c>
      <c r="I51" s="55">
        <v>44739</v>
      </c>
      <c r="J51" s="23">
        <v>44580</v>
      </c>
      <c r="K51" s="23">
        <v>44568</v>
      </c>
      <c r="L51" s="3" t="str">
        <f t="shared" si="0"/>
        <v>0Y8M14D</v>
      </c>
      <c r="M51" s="3" t="str">
        <f t="shared" si="1"/>
        <v>0Y6M11D</v>
      </c>
      <c r="N51" s="3">
        <f t="shared" si="2"/>
        <v>0.53150684931506853</v>
      </c>
      <c r="O51" s="2">
        <v>2</v>
      </c>
      <c r="P51" s="2">
        <v>3</v>
      </c>
      <c r="Q51" s="2"/>
      <c r="R51" s="2">
        <v>1</v>
      </c>
      <c r="S51" s="2">
        <v>1</v>
      </c>
      <c r="T51" s="2"/>
      <c r="U51" s="2" t="s">
        <v>1681</v>
      </c>
      <c r="V51" s="2" t="s">
        <v>1661</v>
      </c>
      <c r="W51" s="2">
        <v>1</v>
      </c>
      <c r="X51" s="2">
        <v>1</v>
      </c>
      <c r="Y51" s="2">
        <v>2</v>
      </c>
      <c r="Z51" s="2">
        <v>1</v>
      </c>
      <c r="AA51" s="2">
        <v>1</v>
      </c>
      <c r="AB51" s="2"/>
      <c r="AC51" s="2" t="s">
        <v>1710</v>
      </c>
      <c r="AD51" s="2">
        <v>1</v>
      </c>
      <c r="AE51" s="2">
        <v>1</v>
      </c>
      <c r="AF51" s="2">
        <v>1</v>
      </c>
      <c r="AG51" s="2">
        <v>1</v>
      </c>
      <c r="AH51" s="23">
        <v>44580</v>
      </c>
      <c r="AI51" s="3" t="str">
        <f t="shared" si="3"/>
        <v>0Y8M26D</v>
      </c>
      <c r="AJ51" s="3" t="str">
        <f t="shared" si="4"/>
        <v>0Y6M23D</v>
      </c>
      <c r="AK51" s="3">
        <f t="shared" si="5"/>
        <v>0.56438356164383563</v>
      </c>
      <c r="AL51" s="2">
        <v>1</v>
      </c>
      <c r="AM51" s="2">
        <v>1</v>
      </c>
      <c r="AN51" s="2">
        <v>1</v>
      </c>
      <c r="AO51" s="2">
        <v>1</v>
      </c>
      <c r="AP51" s="2">
        <v>1</v>
      </c>
      <c r="AQ51" s="2"/>
      <c r="AR51" s="2" t="s">
        <v>1669</v>
      </c>
      <c r="AS51" s="23">
        <v>44573</v>
      </c>
      <c r="AT51" s="3" t="str">
        <f t="shared" si="6"/>
        <v>0Y8M19D</v>
      </c>
      <c r="AU51" s="3" t="str">
        <f t="shared" si="7"/>
        <v>0Y6M16D</v>
      </c>
      <c r="AV51" s="3">
        <f t="shared" si="8"/>
        <v>0.54520547945205478</v>
      </c>
      <c r="AW51" s="2">
        <v>2</v>
      </c>
      <c r="AX51" s="23">
        <v>44573</v>
      </c>
      <c r="AY51" s="3" t="str">
        <f t="shared" si="9"/>
        <v>0Y8M19D</v>
      </c>
      <c r="AZ51" s="3" t="str">
        <f t="shared" si="10"/>
        <v>0Y6M16D</v>
      </c>
      <c r="BA51" s="3">
        <f t="shared" si="11"/>
        <v>0.54520547945205478</v>
      </c>
      <c r="BB51" s="2">
        <v>2</v>
      </c>
      <c r="BC51" s="23">
        <v>44568</v>
      </c>
      <c r="BD51" s="3" t="str">
        <f t="shared" si="12"/>
        <v>0Y8M14D</v>
      </c>
      <c r="BE51" s="3" t="str">
        <f t="shared" si="13"/>
        <v>0Y6M11D</v>
      </c>
      <c r="BF51" s="3">
        <f t="shared" si="14"/>
        <v>0.53150684931506853</v>
      </c>
      <c r="BG51" s="2">
        <v>1</v>
      </c>
      <c r="BH51" s="2">
        <v>1</v>
      </c>
    </row>
    <row r="52" spans="1:60" ht="16">
      <c r="A52" s="2" t="s">
        <v>244</v>
      </c>
      <c r="B52" s="2">
        <v>22105413</v>
      </c>
      <c r="C52" s="2" t="s">
        <v>245</v>
      </c>
      <c r="D52" s="23">
        <v>44106</v>
      </c>
      <c r="E52" s="23">
        <v>44208</v>
      </c>
      <c r="F52" s="23">
        <v>44208</v>
      </c>
      <c r="G52" s="2" t="s">
        <v>247</v>
      </c>
      <c r="H52" s="55">
        <v>44359</v>
      </c>
      <c r="I52" s="55">
        <v>44573</v>
      </c>
      <c r="J52" s="23">
        <v>44455</v>
      </c>
      <c r="K52" s="23">
        <v>44419</v>
      </c>
      <c r="L52" s="3" t="str">
        <f t="shared" si="0"/>
        <v>0Y10M9D</v>
      </c>
      <c r="M52" s="3" t="str">
        <f t="shared" si="1"/>
        <v>0Y6M30D</v>
      </c>
      <c r="N52" s="3">
        <f t="shared" si="2"/>
        <v>0.57808219178082187</v>
      </c>
      <c r="O52" s="2">
        <v>2</v>
      </c>
      <c r="P52" s="2">
        <v>1</v>
      </c>
      <c r="Q52" s="2" t="s">
        <v>1665</v>
      </c>
      <c r="R52" s="2">
        <v>1</v>
      </c>
      <c r="S52" s="2">
        <v>1</v>
      </c>
      <c r="T52" s="2"/>
      <c r="U52" s="2" t="s">
        <v>1681</v>
      </c>
      <c r="V52" s="2" t="s">
        <v>1664</v>
      </c>
      <c r="W52" s="2">
        <v>1</v>
      </c>
      <c r="X52" s="2">
        <v>1</v>
      </c>
      <c r="Y52" s="2">
        <v>1</v>
      </c>
      <c r="Z52" s="2">
        <v>1</v>
      </c>
      <c r="AA52" s="2">
        <v>1</v>
      </c>
      <c r="AB52" s="2"/>
      <c r="AC52" s="2" t="s">
        <v>1689</v>
      </c>
      <c r="AD52" s="2">
        <v>1</v>
      </c>
      <c r="AE52" s="2">
        <v>1</v>
      </c>
      <c r="AF52" s="2">
        <v>1</v>
      </c>
      <c r="AG52" s="2">
        <v>1</v>
      </c>
      <c r="AH52" s="23">
        <v>44419</v>
      </c>
      <c r="AI52" s="3" t="str">
        <f t="shared" si="3"/>
        <v>0Y10M9D</v>
      </c>
      <c r="AJ52" s="3" t="str">
        <f t="shared" si="4"/>
        <v>0Y6M30D</v>
      </c>
      <c r="AK52" s="3">
        <f t="shared" si="5"/>
        <v>0.57808219178082187</v>
      </c>
      <c r="AL52" s="2">
        <v>1</v>
      </c>
      <c r="AM52" s="2">
        <v>1</v>
      </c>
      <c r="AN52" s="2">
        <v>1</v>
      </c>
      <c r="AO52" s="2">
        <v>1</v>
      </c>
      <c r="AP52" s="2">
        <v>1</v>
      </c>
      <c r="AQ52" s="2">
        <v>2</v>
      </c>
      <c r="AR52" s="2" t="s">
        <v>1691</v>
      </c>
      <c r="AS52" s="23">
        <v>44418</v>
      </c>
      <c r="AT52" s="3" t="str">
        <f t="shared" si="6"/>
        <v>0Y10M8D</v>
      </c>
      <c r="AU52" s="3" t="str">
        <f t="shared" si="7"/>
        <v>0Y6M29D</v>
      </c>
      <c r="AV52" s="3">
        <f t="shared" si="8"/>
        <v>0.57534246575342463</v>
      </c>
      <c r="AW52" s="2">
        <v>2</v>
      </c>
      <c r="AX52" s="2"/>
      <c r="AY52" s="3" t="e">
        <f t="shared" si="9"/>
        <v>#NUM!</v>
      </c>
      <c r="AZ52" s="3" t="e">
        <f t="shared" si="10"/>
        <v>#NUM!</v>
      </c>
      <c r="BA52" s="3">
        <f t="shared" si="11"/>
        <v>-121.11780821917809</v>
      </c>
      <c r="BB52" s="2"/>
      <c r="BC52" s="23">
        <v>44419</v>
      </c>
      <c r="BD52" s="3" t="str">
        <f t="shared" si="12"/>
        <v>0Y10M9D</v>
      </c>
      <c r="BE52" s="3" t="str">
        <f t="shared" si="13"/>
        <v>0Y6M30D</v>
      </c>
      <c r="BF52" s="3">
        <f t="shared" si="14"/>
        <v>0.57808219178082187</v>
      </c>
      <c r="BG52" s="2">
        <v>1</v>
      </c>
      <c r="BH52" s="2">
        <v>1</v>
      </c>
    </row>
    <row r="53" spans="1:60" s="110" customFormat="1" ht="16">
      <c r="A53" s="17" t="s">
        <v>249</v>
      </c>
      <c r="B53" s="17">
        <v>22105943</v>
      </c>
      <c r="C53" s="17" t="s">
        <v>250</v>
      </c>
      <c r="D53" s="40">
        <v>44156</v>
      </c>
      <c r="E53" s="40">
        <v>44214</v>
      </c>
      <c r="F53" s="40">
        <v>44214</v>
      </c>
      <c r="G53" s="17" t="s">
        <v>119</v>
      </c>
      <c r="H53" s="75">
        <v>44365</v>
      </c>
      <c r="I53" s="75">
        <v>44579</v>
      </c>
      <c r="J53" s="17"/>
      <c r="K53" s="17" t="s">
        <v>18</v>
      </c>
      <c r="L53" s="21" t="e">
        <f t="shared" si="0"/>
        <v>#VALUE!</v>
      </c>
      <c r="M53" s="21" t="e">
        <f t="shared" si="1"/>
        <v>#VALUE!</v>
      </c>
      <c r="N53" s="21" t="e">
        <f t="shared" si="2"/>
        <v>#VALUE!</v>
      </c>
      <c r="O53" s="17"/>
      <c r="P53" s="17"/>
      <c r="Q53" s="17"/>
      <c r="R53" s="17"/>
      <c r="S53" s="17"/>
      <c r="T53" s="17"/>
      <c r="U53" s="17"/>
      <c r="V53" s="17"/>
      <c r="W53" s="17"/>
      <c r="X53" s="17"/>
      <c r="Y53" s="17"/>
      <c r="Z53" s="17"/>
      <c r="AA53" s="17"/>
      <c r="AB53" s="17"/>
      <c r="AC53" s="17"/>
      <c r="AD53" s="17"/>
      <c r="AE53" s="17"/>
      <c r="AF53" s="17"/>
      <c r="AG53" s="17"/>
      <c r="AH53" s="40">
        <v>44447</v>
      </c>
      <c r="AI53" s="21" t="str">
        <f t="shared" si="3"/>
        <v>0Y9M18D</v>
      </c>
      <c r="AJ53" s="21" t="str">
        <f t="shared" si="4"/>
        <v>0Y7M21D</v>
      </c>
      <c r="AK53" s="21">
        <f t="shared" si="5"/>
        <v>0.63835616438356169</v>
      </c>
      <c r="AL53" s="17">
        <v>1</v>
      </c>
      <c r="AM53" s="17">
        <v>1</v>
      </c>
      <c r="AN53" s="17">
        <v>1</v>
      </c>
      <c r="AO53" s="17">
        <v>1</v>
      </c>
      <c r="AP53" s="17">
        <v>1</v>
      </c>
      <c r="AQ53" s="17">
        <v>3</v>
      </c>
      <c r="AR53" s="17"/>
      <c r="AS53" s="40">
        <v>44448</v>
      </c>
      <c r="AT53" s="21" t="str">
        <f t="shared" si="6"/>
        <v>0Y9M19D</v>
      </c>
      <c r="AU53" s="21" t="str">
        <f t="shared" si="7"/>
        <v>0Y7M22D</v>
      </c>
      <c r="AV53" s="21">
        <f t="shared" si="8"/>
        <v>0.64109589041095894</v>
      </c>
      <c r="AW53" s="17">
        <v>2</v>
      </c>
      <c r="AX53" s="17"/>
      <c r="AY53" s="21" t="e">
        <f t="shared" si="9"/>
        <v>#NUM!</v>
      </c>
      <c r="AZ53" s="21" t="e">
        <f t="shared" si="10"/>
        <v>#NUM!</v>
      </c>
      <c r="BA53" s="21">
        <f t="shared" si="11"/>
        <v>-121.13424657534246</v>
      </c>
      <c r="BB53" s="17"/>
      <c r="BC53" s="40">
        <v>44447</v>
      </c>
      <c r="BD53" s="21" t="str">
        <f t="shared" si="12"/>
        <v>0Y9M18D</v>
      </c>
      <c r="BE53" s="21" t="str">
        <f t="shared" si="13"/>
        <v>0Y7M21D</v>
      </c>
      <c r="BF53" s="21">
        <f t="shared" si="14"/>
        <v>0.63835616438356169</v>
      </c>
      <c r="BG53" s="17">
        <v>1</v>
      </c>
      <c r="BH53" s="17">
        <v>1</v>
      </c>
    </row>
    <row r="54" spans="1:60" ht="16">
      <c r="A54" s="2" t="s">
        <v>253</v>
      </c>
      <c r="B54" s="2">
        <v>22104786</v>
      </c>
      <c r="C54" s="2" t="s">
        <v>254</v>
      </c>
      <c r="D54" s="23">
        <v>44045</v>
      </c>
      <c r="E54" s="23">
        <v>44112</v>
      </c>
      <c r="F54" s="23">
        <v>44112</v>
      </c>
      <c r="G54" s="2" t="s">
        <v>139</v>
      </c>
      <c r="H54" s="55">
        <v>44263</v>
      </c>
      <c r="I54" s="55">
        <v>44477</v>
      </c>
      <c r="J54" s="23">
        <v>44482</v>
      </c>
      <c r="K54" s="23">
        <v>44482</v>
      </c>
      <c r="L54" s="3" t="str">
        <f t="shared" si="0"/>
        <v>1Y2M11D</v>
      </c>
      <c r="M54" s="3" t="str">
        <f t="shared" si="1"/>
        <v>1Y0M5D</v>
      </c>
      <c r="N54" s="3">
        <f t="shared" si="2"/>
        <v>1.0136986301369864</v>
      </c>
      <c r="O54" s="2">
        <v>2</v>
      </c>
      <c r="P54" s="2">
        <v>4</v>
      </c>
      <c r="Q54" s="2" t="s">
        <v>1665</v>
      </c>
      <c r="R54" s="2">
        <v>1</v>
      </c>
      <c r="S54" s="2">
        <v>1</v>
      </c>
      <c r="T54" s="2">
        <v>1</v>
      </c>
      <c r="U54" s="2" t="s">
        <v>1711</v>
      </c>
      <c r="V54" s="2" t="s">
        <v>1664</v>
      </c>
      <c r="W54" s="2">
        <v>1</v>
      </c>
      <c r="X54" s="2">
        <v>1</v>
      </c>
      <c r="Y54" s="2">
        <v>1</v>
      </c>
      <c r="Z54" s="2">
        <v>1</v>
      </c>
      <c r="AA54" s="2">
        <v>1</v>
      </c>
      <c r="AB54" s="2">
        <v>1</v>
      </c>
      <c r="AC54" s="2"/>
      <c r="AD54" s="2">
        <v>1</v>
      </c>
      <c r="AE54" s="2">
        <v>1</v>
      </c>
      <c r="AF54" s="2">
        <v>1</v>
      </c>
      <c r="AG54" s="2">
        <v>1</v>
      </c>
      <c r="AH54" s="23">
        <v>44482</v>
      </c>
      <c r="AI54" s="3" t="str">
        <f t="shared" si="3"/>
        <v>1Y2M11D</v>
      </c>
      <c r="AJ54" s="3" t="str">
        <f t="shared" si="4"/>
        <v>1Y0M5D</v>
      </c>
      <c r="AK54" s="3">
        <f t="shared" si="5"/>
        <v>1.0136986301369864</v>
      </c>
      <c r="AL54" s="2">
        <v>1</v>
      </c>
      <c r="AM54" s="2">
        <v>1</v>
      </c>
      <c r="AN54" s="2">
        <v>1</v>
      </c>
      <c r="AO54" s="2">
        <v>1</v>
      </c>
      <c r="AP54" s="2">
        <v>1</v>
      </c>
      <c r="AQ54" s="2">
        <v>1</v>
      </c>
      <c r="AR54" s="2"/>
      <c r="AS54" s="23">
        <v>44480</v>
      </c>
      <c r="AT54" s="3" t="str">
        <f t="shared" si="6"/>
        <v>1Y2M9D</v>
      </c>
      <c r="AU54" s="3" t="str">
        <f t="shared" si="7"/>
        <v>1Y0M3D</v>
      </c>
      <c r="AV54" s="3">
        <f t="shared" si="8"/>
        <v>1.0082191780821919</v>
      </c>
      <c r="AW54" s="2">
        <v>2</v>
      </c>
      <c r="AX54" s="23">
        <v>44481</v>
      </c>
      <c r="AY54" s="3" t="str">
        <f t="shared" si="9"/>
        <v>1Y2M10D</v>
      </c>
      <c r="AZ54" s="3" t="str">
        <f t="shared" si="10"/>
        <v>1Y0M4D</v>
      </c>
      <c r="BA54" s="3">
        <f t="shared" si="11"/>
        <v>1.010958904109589</v>
      </c>
      <c r="BB54" s="2">
        <v>2</v>
      </c>
      <c r="BC54" s="23">
        <v>44482</v>
      </c>
      <c r="BD54" s="3" t="str">
        <f t="shared" si="12"/>
        <v>1Y2M11D</v>
      </c>
      <c r="BE54" s="3" t="str">
        <f t="shared" si="13"/>
        <v>1Y0M5D</v>
      </c>
      <c r="BF54" s="3">
        <f t="shared" si="14"/>
        <v>1.0136986301369864</v>
      </c>
      <c r="BG54" s="2">
        <v>1</v>
      </c>
      <c r="BH54" s="2">
        <v>1</v>
      </c>
    </row>
    <row r="55" spans="1:60" ht="16">
      <c r="A55" s="2" t="s">
        <v>257</v>
      </c>
      <c r="B55" s="2">
        <v>22106937</v>
      </c>
      <c r="C55" s="2" t="s">
        <v>258</v>
      </c>
      <c r="D55" s="23">
        <v>44250</v>
      </c>
      <c r="E55" s="23">
        <v>44326</v>
      </c>
      <c r="F55" s="23">
        <v>44326</v>
      </c>
      <c r="G55" s="2" t="s">
        <v>260</v>
      </c>
      <c r="H55" s="55">
        <v>44479</v>
      </c>
      <c r="I55" s="55">
        <v>44691</v>
      </c>
      <c r="J55" s="23">
        <v>44498</v>
      </c>
      <c r="K55" s="23">
        <v>44498</v>
      </c>
      <c r="L55" s="3" t="str">
        <f t="shared" si="0"/>
        <v>0Y8M6D</v>
      </c>
      <c r="M55" s="3" t="str">
        <f t="shared" si="1"/>
        <v>0Y5M19D</v>
      </c>
      <c r="N55" s="3">
        <f t="shared" si="2"/>
        <v>0.47123287671232877</v>
      </c>
      <c r="O55" s="2">
        <v>2</v>
      </c>
      <c r="P55" s="2">
        <v>1</v>
      </c>
      <c r="Q55" s="2" t="s">
        <v>1684</v>
      </c>
      <c r="R55" s="2">
        <v>1</v>
      </c>
      <c r="S55" s="2">
        <v>1</v>
      </c>
      <c r="T55" s="2"/>
      <c r="U55" s="2" t="s">
        <v>1674</v>
      </c>
      <c r="V55" s="2" t="s">
        <v>1695</v>
      </c>
      <c r="W55" s="2">
        <v>1</v>
      </c>
      <c r="X55" s="2">
        <v>1</v>
      </c>
      <c r="Y55" s="2">
        <v>1</v>
      </c>
      <c r="Z55" s="2">
        <v>1</v>
      </c>
      <c r="AA55" s="2">
        <v>1</v>
      </c>
      <c r="AB55" s="2"/>
      <c r="AC55" s="2" t="s">
        <v>1689</v>
      </c>
      <c r="AD55" s="2">
        <v>1</v>
      </c>
      <c r="AE55" s="2">
        <v>1</v>
      </c>
      <c r="AF55" s="2">
        <v>1</v>
      </c>
      <c r="AG55" s="2">
        <v>1</v>
      </c>
      <c r="AH55" s="23">
        <v>44498</v>
      </c>
      <c r="AI55" s="3" t="str">
        <f t="shared" si="3"/>
        <v>0Y8M6D</v>
      </c>
      <c r="AJ55" s="3" t="str">
        <f t="shared" si="4"/>
        <v>0Y5M19D</v>
      </c>
      <c r="AK55" s="3">
        <f t="shared" si="5"/>
        <v>0.47123287671232877</v>
      </c>
      <c r="AL55" s="2">
        <v>1</v>
      </c>
      <c r="AM55" s="2">
        <v>1</v>
      </c>
      <c r="AN55" s="2">
        <v>1</v>
      </c>
      <c r="AO55" s="2">
        <v>1</v>
      </c>
      <c r="AP55" s="2">
        <v>1</v>
      </c>
      <c r="AQ55" s="2">
        <v>3</v>
      </c>
      <c r="AR55" s="2"/>
      <c r="AS55" s="23">
        <v>44493</v>
      </c>
      <c r="AT55" s="3" t="str">
        <f t="shared" si="6"/>
        <v>0Y8M1D</v>
      </c>
      <c r="AU55" s="3" t="str">
        <f t="shared" si="7"/>
        <v>0Y5M14D</v>
      </c>
      <c r="AV55" s="3">
        <f t="shared" si="8"/>
        <v>0.45753424657534247</v>
      </c>
      <c r="AW55" s="2">
        <v>2</v>
      </c>
      <c r="AX55" s="2"/>
      <c r="AY55" s="3" t="e">
        <f t="shared" si="9"/>
        <v>#NUM!</v>
      </c>
      <c r="AZ55" s="3" t="e">
        <f t="shared" si="10"/>
        <v>#NUM!</v>
      </c>
      <c r="BA55" s="3">
        <f t="shared" si="11"/>
        <v>-121.44109589041096</v>
      </c>
      <c r="BB55" s="2"/>
      <c r="BC55" s="23">
        <v>44498</v>
      </c>
      <c r="BD55" s="3" t="str">
        <f t="shared" si="12"/>
        <v>0Y8M6D</v>
      </c>
      <c r="BE55" s="3" t="str">
        <f t="shared" si="13"/>
        <v>0Y5M19D</v>
      </c>
      <c r="BF55" s="3">
        <f t="shared" si="14"/>
        <v>0.47123287671232877</v>
      </c>
      <c r="BG55" s="2">
        <v>1</v>
      </c>
      <c r="BH55" s="2">
        <v>1</v>
      </c>
    </row>
    <row r="56" spans="1:60" s="127" customFormat="1" ht="16">
      <c r="A56" s="20" t="s">
        <v>262</v>
      </c>
      <c r="B56" s="20">
        <v>22102827</v>
      </c>
      <c r="C56" s="20" t="s">
        <v>263</v>
      </c>
      <c r="D56" s="45">
        <v>43847</v>
      </c>
      <c r="E56" s="45">
        <v>43912</v>
      </c>
      <c r="F56" s="45">
        <v>43912</v>
      </c>
      <c r="G56" s="20" t="s">
        <v>134</v>
      </c>
      <c r="H56" s="85">
        <v>44065</v>
      </c>
      <c r="I56" s="85">
        <v>44277</v>
      </c>
      <c r="J56" s="20"/>
      <c r="K56" s="20" t="s">
        <v>18</v>
      </c>
      <c r="L56" s="71" t="e">
        <f t="shared" si="0"/>
        <v>#VALUE!</v>
      </c>
      <c r="M56" s="71" t="e">
        <f t="shared" si="1"/>
        <v>#VALUE!</v>
      </c>
      <c r="N56" s="71" t="e">
        <f t="shared" si="2"/>
        <v>#VALUE!</v>
      </c>
      <c r="O56" s="20"/>
      <c r="P56" s="20"/>
      <c r="Q56" s="20"/>
      <c r="R56" s="20"/>
      <c r="S56" s="20"/>
      <c r="T56" s="20"/>
      <c r="U56" s="20"/>
      <c r="V56" s="20"/>
      <c r="W56" s="20"/>
      <c r="X56" s="20"/>
      <c r="Y56" s="20"/>
      <c r="Z56" s="20"/>
      <c r="AA56" s="20"/>
      <c r="AB56" s="20"/>
      <c r="AC56" s="20"/>
      <c r="AD56" s="20"/>
      <c r="AE56" s="20"/>
      <c r="AF56" s="20"/>
      <c r="AG56" s="20"/>
      <c r="AH56" s="20"/>
      <c r="AI56" s="71" t="e">
        <f t="shared" si="3"/>
        <v>#NUM!</v>
      </c>
      <c r="AJ56" s="71" t="e">
        <f t="shared" si="4"/>
        <v>#NUM!</v>
      </c>
      <c r="AK56" s="71">
        <f t="shared" si="5"/>
        <v>-120.30684931506849</v>
      </c>
      <c r="AL56" s="20"/>
      <c r="AM56" s="20"/>
      <c r="AN56" s="20"/>
      <c r="AO56" s="20"/>
      <c r="AP56" s="20"/>
      <c r="AQ56" s="20"/>
      <c r="AR56" s="20"/>
      <c r="AS56" s="20"/>
      <c r="AT56" s="71" t="e">
        <f t="shared" si="6"/>
        <v>#NUM!</v>
      </c>
      <c r="AU56" s="71" t="e">
        <f t="shared" si="7"/>
        <v>#NUM!</v>
      </c>
      <c r="AV56" s="71">
        <f t="shared" si="8"/>
        <v>-120.30684931506849</v>
      </c>
      <c r="AW56" s="20"/>
      <c r="AX56" s="20"/>
      <c r="AY56" s="71" t="e">
        <f t="shared" si="9"/>
        <v>#NUM!</v>
      </c>
      <c r="AZ56" s="71" t="e">
        <f t="shared" si="10"/>
        <v>#NUM!</v>
      </c>
      <c r="BA56" s="71">
        <f t="shared" si="11"/>
        <v>-120.30684931506849</v>
      </c>
      <c r="BB56" s="20"/>
      <c r="BC56" s="20"/>
      <c r="BD56" s="71" t="e">
        <f t="shared" si="12"/>
        <v>#NUM!</v>
      </c>
      <c r="BE56" s="71" t="e">
        <f t="shared" si="13"/>
        <v>#NUM!</v>
      </c>
      <c r="BF56" s="71">
        <f t="shared" si="14"/>
        <v>-120.30684931506849</v>
      </c>
      <c r="BG56" s="20"/>
      <c r="BH56" s="20">
        <v>1</v>
      </c>
    </row>
    <row r="57" spans="1:60" s="114" customFormat="1" ht="16">
      <c r="A57" s="16" t="s">
        <v>266</v>
      </c>
      <c r="B57" s="16">
        <v>22192272</v>
      </c>
      <c r="C57" s="16" t="s">
        <v>267</v>
      </c>
      <c r="D57" s="77">
        <v>43869</v>
      </c>
      <c r="E57" s="77">
        <v>43956</v>
      </c>
      <c r="F57" s="77">
        <v>43956</v>
      </c>
      <c r="G57" s="16" t="s">
        <v>144</v>
      </c>
      <c r="H57" s="78">
        <v>44109</v>
      </c>
      <c r="I57" s="78">
        <v>44321</v>
      </c>
      <c r="J57" s="16"/>
      <c r="K57" s="16"/>
      <c r="L57" s="68" t="e">
        <f t="shared" si="0"/>
        <v>#NUM!</v>
      </c>
      <c r="M57" s="68" t="e">
        <f t="shared" si="1"/>
        <v>#NUM!</v>
      </c>
      <c r="N57" s="68">
        <f t="shared" si="2"/>
        <v>-120.42739726027398</v>
      </c>
      <c r="O57" s="16"/>
      <c r="P57" s="16"/>
      <c r="Q57" s="16"/>
      <c r="R57" s="16"/>
      <c r="S57" s="16"/>
      <c r="T57" s="16"/>
      <c r="U57" s="16"/>
      <c r="V57" s="16"/>
      <c r="W57" s="16"/>
      <c r="X57" s="16"/>
      <c r="Y57" s="16"/>
      <c r="Z57" s="16"/>
      <c r="AA57" s="16"/>
      <c r="AB57" s="16"/>
      <c r="AC57" s="16"/>
      <c r="AD57" s="16"/>
      <c r="AE57" s="16"/>
      <c r="AF57" s="16"/>
      <c r="AG57" s="16"/>
      <c r="AH57" s="16"/>
      <c r="AI57" s="68" t="e">
        <f t="shared" si="3"/>
        <v>#NUM!</v>
      </c>
      <c r="AJ57" s="68" t="e">
        <f t="shared" si="4"/>
        <v>#NUM!</v>
      </c>
      <c r="AK57" s="68">
        <f t="shared" si="5"/>
        <v>-120.42739726027398</v>
      </c>
      <c r="AL57" s="16"/>
      <c r="AM57" s="16"/>
      <c r="AN57" s="16"/>
      <c r="AO57" s="16"/>
      <c r="AP57" s="16"/>
      <c r="AQ57" s="16"/>
      <c r="AR57" s="16"/>
      <c r="AS57" s="16"/>
      <c r="AT57" s="68" t="e">
        <f t="shared" si="6"/>
        <v>#NUM!</v>
      </c>
      <c r="AU57" s="68" t="e">
        <f t="shared" si="7"/>
        <v>#NUM!</v>
      </c>
      <c r="AV57" s="68">
        <f t="shared" si="8"/>
        <v>-120.42739726027398</v>
      </c>
      <c r="AW57" s="16"/>
      <c r="AX57" s="16"/>
      <c r="AY57" s="68" t="e">
        <f t="shared" si="9"/>
        <v>#NUM!</v>
      </c>
      <c r="AZ57" s="68" t="e">
        <f t="shared" si="10"/>
        <v>#NUM!</v>
      </c>
      <c r="BA57" s="68">
        <f t="shared" si="11"/>
        <v>-120.42739726027398</v>
      </c>
      <c r="BB57" s="16"/>
      <c r="BC57" s="16"/>
      <c r="BD57" s="68" t="e">
        <f t="shared" si="12"/>
        <v>#NUM!</v>
      </c>
      <c r="BE57" s="68" t="e">
        <f t="shared" si="13"/>
        <v>#NUM!</v>
      </c>
      <c r="BF57" s="68">
        <f t="shared" si="14"/>
        <v>-120.42739726027398</v>
      </c>
      <c r="BG57" s="16"/>
      <c r="BH57" s="16"/>
    </row>
    <row r="58" spans="1:60" ht="16">
      <c r="A58" s="2" t="s">
        <v>270</v>
      </c>
      <c r="B58" s="2">
        <v>22105580</v>
      </c>
      <c r="C58" s="2" t="s">
        <v>271</v>
      </c>
      <c r="D58" s="23">
        <v>44123</v>
      </c>
      <c r="E58" s="23">
        <v>44179</v>
      </c>
      <c r="F58" s="23">
        <v>44123</v>
      </c>
      <c r="G58" s="2">
        <v>32</v>
      </c>
      <c r="H58" s="55">
        <v>44330</v>
      </c>
      <c r="I58" s="55">
        <v>44544</v>
      </c>
      <c r="J58" s="23">
        <v>44425</v>
      </c>
      <c r="K58" s="23">
        <v>44425</v>
      </c>
      <c r="L58" s="3" t="str">
        <f t="shared" si="0"/>
        <v>0Y9M29D</v>
      </c>
      <c r="M58" s="3" t="str">
        <f t="shared" si="1"/>
        <v>0Y8M3D</v>
      </c>
      <c r="N58" s="3">
        <f t="shared" si="2"/>
        <v>0.82739726027397265</v>
      </c>
      <c r="O58" s="2">
        <v>2</v>
      </c>
      <c r="P58" s="2">
        <v>3</v>
      </c>
      <c r="Q58" s="2" t="s">
        <v>1684</v>
      </c>
      <c r="R58" s="2">
        <v>1</v>
      </c>
      <c r="S58" s="2">
        <v>1</v>
      </c>
      <c r="T58" s="2"/>
      <c r="U58" s="2" t="s">
        <v>1673</v>
      </c>
      <c r="V58" s="2" t="s">
        <v>1661</v>
      </c>
      <c r="W58" s="2">
        <v>1</v>
      </c>
      <c r="X58" s="2">
        <v>1</v>
      </c>
      <c r="Y58" s="2">
        <v>1</v>
      </c>
      <c r="Z58" s="2">
        <v>1</v>
      </c>
      <c r="AA58" s="2">
        <v>1</v>
      </c>
      <c r="AB58" s="2"/>
      <c r="AC58" s="2" t="s">
        <v>1677</v>
      </c>
      <c r="AD58" s="2">
        <v>1</v>
      </c>
      <c r="AE58" s="2">
        <v>1</v>
      </c>
      <c r="AF58" s="2">
        <v>1</v>
      </c>
      <c r="AG58" s="2">
        <v>1</v>
      </c>
      <c r="AH58" s="23">
        <v>44432</v>
      </c>
      <c r="AI58" s="3" t="str">
        <f t="shared" si="3"/>
        <v>0Y10M5D</v>
      </c>
      <c r="AJ58" s="3" t="str">
        <f t="shared" si="4"/>
        <v>0Y8M10D</v>
      </c>
      <c r="AK58" s="3">
        <f t="shared" si="5"/>
        <v>0.84657534246575339</v>
      </c>
      <c r="AL58" s="2">
        <v>1</v>
      </c>
      <c r="AM58" s="2">
        <v>1</v>
      </c>
      <c r="AN58" s="2">
        <v>1</v>
      </c>
      <c r="AO58" s="2">
        <v>1</v>
      </c>
      <c r="AP58" s="2">
        <v>1</v>
      </c>
      <c r="AQ58" s="2">
        <v>3</v>
      </c>
      <c r="AR58" s="2"/>
      <c r="AS58" s="23">
        <v>44431</v>
      </c>
      <c r="AT58" s="3" t="str">
        <f t="shared" si="6"/>
        <v>0Y10M4D</v>
      </c>
      <c r="AU58" s="3" t="str">
        <f t="shared" si="7"/>
        <v>0Y8M9D</v>
      </c>
      <c r="AV58" s="3">
        <f t="shared" si="8"/>
        <v>0.84383561643835614</v>
      </c>
      <c r="AW58" s="2">
        <v>2</v>
      </c>
      <c r="AX58" s="2"/>
      <c r="AY58" s="3" t="e">
        <f t="shared" si="9"/>
        <v>#NUM!</v>
      </c>
      <c r="AZ58" s="3" t="e">
        <f t="shared" si="10"/>
        <v>#NUM!</v>
      </c>
      <c r="BA58" s="3">
        <f t="shared" si="11"/>
        <v>-120.88493150684931</v>
      </c>
      <c r="BB58" s="2"/>
      <c r="BC58" s="23">
        <v>44425</v>
      </c>
      <c r="BD58" s="3" t="str">
        <f t="shared" si="12"/>
        <v>0Y9M29D</v>
      </c>
      <c r="BE58" s="3" t="str">
        <f t="shared" si="13"/>
        <v>0Y8M3D</v>
      </c>
      <c r="BF58" s="3">
        <f t="shared" si="14"/>
        <v>0.82739726027397265</v>
      </c>
      <c r="BG58" s="2">
        <v>1</v>
      </c>
      <c r="BH58" s="2">
        <v>1</v>
      </c>
    </row>
    <row r="59" spans="1:60" ht="16">
      <c r="A59" s="2" t="s">
        <v>273</v>
      </c>
      <c r="B59" s="2">
        <v>22105942</v>
      </c>
      <c r="C59" s="2" t="s">
        <v>274</v>
      </c>
      <c r="D59" s="23">
        <v>44156</v>
      </c>
      <c r="E59" s="23">
        <v>44251</v>
      </c>
      <c r="F59" s="23">
        <v>44251</v>
      </c>
      <c r="G59" s="2" t="s">
        <v>276</v>
      </c>
      <c r="H59" s="55">
        <v>44401</v>
      </c>
      <c r="I59" s="55">
        <v>44616</v>
      </c>
      <c r="J59" s="23">
        <v>44491</v>
      </c>
      <c r="K59" s="23">
        <v>44491</v>
      </c>
      <c r="L59" s="3" t="str">
        <f t="shared" si="0"/>
        <v>0Y11M1D</v>
      </c>
      <c r="M59" s="3" t="str">
        <f t="shared" si="1"/>
        <v>0Y7M28D</v>
      </c>
      <c r="N59" s="3">
        <f t="shared" si="2"/>
        <v>0.65753424657534243</v>
      </c>
      <c r="O59" s="2">
        <v>2</v>
      </c>
      <c r="P59" s="2">
        <v>3</v>
      </c>
      <c r="Q59" s="2"/>
      <c r="R59" s="2">
        <v>1</v>
      </c>
      <c r="S59" s="2">
        <v>1</v>
      </c>
      <c r="T59" s="2">
        <v>1</v>
      </c>
      <c r="U59" s="2" t="s">
        <v>1674</v>
      </c>
      <c r="V59" s="2" t="s">
        <v>1661</v>
      </c>
      <c r="W59" s="2">
        <v>1</v>
      </c>
      <c r="X59" s="2">
        <v>1</v>
      </c>
      <c r="Y59" s="2">
        <v>1</v>
      </c>
      <c r="Z59" s="2">
        <v>1</v>
      </c>
      <c r="AA59" s="2">
        <v>1</v>
      </c>
      <c r="AB59" s="2">
        <v>1</v>
      </c>
      <c r="AC59" s="2" t="s">
        <v>1712</v>
      </c>
      <c r="AD59" s="2">
        <v>1</v>
      </c>
      <c r="AE59" s="2">
        <v>1</v>
      </c>
      <c r="AF59" s="2">
        <v>1</v>
      </c>
      <c r="AG59" s="2">
        <v>1</v>
      </c>
      <c r="AH59" s="23">
        <v>44491</v>
      </c>
      <c r="AI59" s="3" t="str">
        <f t="shared" si="3"/>
        <v>0Y11M1D</v>
      </c>
      <c r="AJ59" s="3" t="str">
        <f t="shared" si="4"/>
        <v>0Y7M28D</v>
      </c>
      <c r="AK59" s="3">
        <f t="shared" si="5"/>
        <v>0.65753424657534243</v>
      </c>
      <c r="AL59" s="2">
        <v>1</v>
      </c>
      <c r="AM59" s="2">
        <v>1</v>
      </c>
      <c r="AN59" s="2">
        <v>1</v>
      </c>
      <c r="AO59" s="2">
        <v>1</v>
      </c>
      <c r="AP59" s="2">
        <v>1</v>
      </c>
      <c r="AQ59" s="2">
        <v>3</v>
      </c>
      <c r="AR59" s="2"/>
      <c r="AS59" s="23">
        <v>44428</v>
      </c>
      <c r="AT59" s="3" t="str">
        <f t="shared" si="6"/>
        <v>0Y8M30D</v>
      </c>
      <c r="AU59" s="3" t="str">
        <f t="shared" si="7"/>
        <v>0Y5M27D</v>
      </c>
      <c r="AV59" s="3">
        <f t="shared" si="8"/>
        <v>0.48493150684931507</v>
      </c>
      <c r="AW59" s="2">
        <v>2</v>
      </c>
      <c r="AX59" s="23">
        <v>44428</v>
      </c>
      <c r="AY59" s="3" t="str">
        <f t="shared" si="9"/>
        <v>0Y8M30D</v>
      </c>
      <c r="AZ59" s="3" t="str">
        <f t="shared" si="10"/>
        <v>0Y5M27D</v>
      </c>
      <c r="BA59" s="3">
        <f t="shared" si="11"/>
        <v>0.48493150684931507</v>
      </c>
      <c r="BB59" s="2">
        <v>2</v>
      </c>
      <c r="BC59" s="23">
        <v>44428</v>
      </c>
      <c r="BD59" s="3" t="str">
        <f t="shared" si="12"/>
        <v>0Y8M30D</v>
      </c>
      <c r="BE59" s="3" t="str">
        <f t="shared" si="13"/>
        <v>0Y5M27D</v>
      </c>
      <c r="BF59" s="3">
        <f t="shared" si="14"/>
        <v>0.48493150684931507</v>
      </c>
      <c r="BG59" s="2">
        <v>1</v>
      </c>
      <c r="BH59" s="2">
        <v>1</v>
      </c>
    </row>
    <row r="60" spans="1:60" ht="16">
      <c r="A60" s="2" t="s">
        <v>278</v>
      </c>
      <c r="B60" s="2">
        <v>22106996</v>
      </c>
      <c r="C60" s="2" t="s">
        <v>279</v>
      </c>
      <c r="D60" s="23">
        <v>44254</v>
      </c>
      <c r="E60" s="23">
        <v>44329</v>
      </c>
      <c r="F60" s="23">
        <v>44329</v>
      </c>
      <c r="G60" s="2" t="s">
        <v>281</v>
      </c>
      <c r="H60" s="55">
        <v>44482</v>
      </c>
      <c r="I60" s="55">
        <v>44694</v>
      </c>
      <c r="J60" s="23">
        <v>44509</v>
      </c>
      <c r="K60" s="23">
        <v>44509</v>
      </c>
      <c r="L60" s="3" t="str">
        <f t="shared" si="0"/>
        <v>0Y8M13D</v>
      </c>
      <c r="M60" s="3" t="str">
        <f t="shared" si="1"/>
        <v>0Y5M27D</v>
      </c>
      <c r="N60" s="3">
        <f t="shared" si="2"/>
        <v>0.49315068493150682</v>
      </c>
      <c r="O60" s="2">
        <v>2</v>
      </c>
      <c r="P60" s="2">
        <v>2</v>
      </c>
      <c r="Q60" s="2" t="s">
        <v>1698</v>
      </c>
      <c r="R60" s="2">
        <v>2</v>
      </c>
      <c r="S60" s="2">
        <v>1</v>
      </c>
      <c r="T60" s="2"/>
      <c r="U60" s="2" t="s">
        <v>1711</v>
      </c>
      <c r="V60" s="2" t="s">
        <v>1661</v>
      </c>
      <c r="W60" s="2">
        <v>1</v>
      </c>
      <c r="X60" s="2">
        <v>1</v>
      </c>
      <c r="Y60" s="2">
        <v>1</v>
      </c>
      <c r="Z60" s="2">
        <v>1</v>
      </c>
      <c r="AA60" s="2">
        <v>1</v>
      </c>
      <c r="AB60" s="2"/>
      <c r="AC60" s="2" t="s">
        <v>1663</v>
      </c>
      <c r="AD60" s="2">
        <v>1</v>
      </c>
      <c r="AE60" s="2">
        <v>1</v>
      </c>
      <c r="AF60" s="2">
        <v>1</v>
      </c>
      <c r="AG60" s="2">
        <v>1</v>
      </c>
      <c r="AH60" s="23">
        <v>44509</v>
      </c>
      <c r="AI60" s="3" t="str">
        <f t="shared" si="3"/>
        <v>0Y8M13D</v>
      </c>
      <c r="AJ60" s="3" t="str">
        <f t="shared" si="4"/>
        <v>0Y5M27D</v>
      </c>
      <c r="AK60" s="3">
        <f t="shared" si="5"/>
        <v>0.49315068493150682</v>
      </c>
      <c r="AL60" s="2">
        <v>1</v>
      </c>
      <c r="AM60" s="2">
        <v>1</v>
      </c>
      <c r="AN60" s="2">
        <v>1</v>
      </c>
      <c r="AO60" s="2">
        <v>1</v>
      </c>
      <c r="AP60" s="2">
        <v>1</v>
      </c>
      <c r="AQ60" s="2">
        <v>3</v>
      </c>
      <c r="AR60" s="2"/>
      <c r="AS60" s="23">
        <v>44506</v>
      </c>
      <c r="AT60" s="3" t="str">
        <f t="shared" si="6"/>
        <v>0Y8M10D</v>
      </c>
      <c r="AU60" s="3" t="str">
        <f t="shared" si="7"/>
        <v>0Y5M24D</v>
      </c>
      <c r="AV60" s="3">
        <f t="shared" si="8"/>
        <v>0.48493150684931507</v>
      </c>
      <c r="AW60" s="2">
        <v>3</v>
      </c>
      <c r="AX60" s="23">
        <v>44508</v>
      </c>
      <c r="AY60" s="3" t="str">
        <f t="shared" si="9"/>
        <v>0Y8M12D</v>
      </c>
      <c r="AZ60" s="3" t="str">
        <f t="shared" si="10"/>
        <v>0Y5M26D</v>
      </c>
      <c r="BA60" s="3">
        <f t="shared" si="11"/>
        <v>0.49041095890410957</v>
      </c>
      <c r="BB60" s="2">
        <v>3</v>
      </c>
      <c r="BC60" s="23">
        <v>44509</v>
      </c>
      <c r="BD60" s="3" t="str">
        <f t="shared" si="12"/>
        <v>0Y8M13D</v>
      </c>
      <c r="BE60" s="3" t="str">
        <f t="shared" si="13"/>
        <v>0Y5M27D</v>
      </c>
      <c r="BF60" s="3">
        <f t="shared" si="14"/>
        <v>0.49315068493150682</v>
      </c>
      <c r="BG60" s="2">
        <v>1</v>
      </c>
      <c r="BH60" s="2">
        <v>1</v>
      </c>
    </row>
    <row r="61" spans="1:60" ht="16">
      <c r="A61" s="2" t="s">
        <v>283</v>
      </c>
      <c r="B61" s="2">
        <v>22106997</v>
      </c>
      <c r="C61" s="2" t="s">
        <v>284</v>
      </c>
      <c r="D61" s="23">
        <v>44254</v>
      </c>
      <c r="E61" s="23">
        <v>44329</v>
      </c>
      <c r="F61" s="23">
        <v>44329</v>
      </c>
      <c r="G61" s="2" t="s">
        <v>281</v>
      </c>
      <c r="H61" s="55">
        <v>44482</v>
      </c>
      <c r="I61" s="55">
        <v>44694</v>
      </c>
      <c r="J61" s="23">
        <v>44509</v>
      </c>
      <c r="K61" s="23">
        <v>44509</v>
      </c>
      <c r="L61" s="3" t="str">
        <f t="shared" si="0"/>
        <v>0Y8M13D</v>
      </c>
      <c r="M61" s="3" t="str">
        <f t="shared" si="1"/>
        <v>0Y5M27D</v>
      </c>
      <c r="N61" s="3">
        <f t="shared" si="2"/>
        <v>0.49315068493150682</v>
      </c>
      <c r="O61" s="2">
        <v>2</v>
      </c>
      <c r="P61" s="2">
        <v>2</v>
      </c>
      <c r="Q61" s="2" t="s">
        <v>1713</v>
      </c>
      <c r="R61" s="2">
        <v>2</v>
      </c>
      <c r="S61" s="2">
        <v>1</v>
      </c>
      <c r="T61" s="2"/>
      <c r="U61" s="2" t="s">
        <v>1684</v>
      </c>
      <c r="V61" s="2" t="s">
        <v>1685</v>
      </c>
      <c r="W61" s="2">
        <v>1</v>
      </c>
      <c r="X61" s="2">
        <v>1</v>
      </c>
      <c r="Y61" s="2">
        <v>1</v>
      </c>
      <c r="Z61" s="2">
        <v>1</v>
      </c>
      <c r="AA61" s="2">
        <v>1</v>
      </c>
      <c r="AB61" s="2"/>
      <c r="AC61" s="2" t="s">
        <v>1698</v>
      </c>
      <c r="AD61" s="2">
        <v>1</v>
      </c>
      <c r="AE61" s="2">
        <v>1</v>
      </c>
      <c r="AF61" s="2">
        <v>1</v>
      </c>
      <c r="AG61" s="2">
        <v>1</v>
      </c>
      <c r="AH61" s="23">
        <v>44509</v>
      </c>
      <c r="AI61" s="3" t="str">
        <f t="shared" si="3"/>
        <v>0Y8M13D</v>
      </c>
      <c r="AJ61" s="3" t="str">
        <f t="shared" si="4"/>
        <v>0Y5M27D</v>
      </c>
      <c r="AK61" s="3">
        <f t="shared" si="5"/>
        <v>0.49315068493150682</v>
      </c>
      <c r="AL61" s="2">
        <v>1</v>
      </c>
      <c r="AM61" s="2">
        <v>1</v>
      </c>
      <c r="AN61" s="2">
        <v>1</v>
      </c>
      <c r="AO61" s="2">
        <v>1</v>
      </c>
      <c r="AP61" s="2">
        <v>1</v>
      </c>
      <c r="AQ61" s="2"/>
      <c r="AR61" s="2" t="s">
        <v>1691</v>
      </c>
      <c r="AS61" s="23">
        <v>44508</v>
      </c>
      <c r="AT61" s="3" t="str">
        <f t="shared" si="6"/>
        <v>0Y8M12D</v>
      </c>
      <c r="AU61" s="3" t="str">
        <f t="shared" si="7"/>
        <v>0Y5M26D</v>
      </c>
      <c r="AV61" s="3">
        <f t="shared" si="8"/>
        <v>0.49041095890410957</v>
      </c>
      <c r="AW61" s="2">
        <v>3</v>
      </c>
      <c r="AX61" s="23">
        <v>44508</v>
      </c>
      <c r="AY61" s="3" t="str">
        <f t="shared" si="9"/>
        <v>0Y8M12D</v>
      </c>
      <c r="AZ61" s="3" t="str">
        <f t="shared" si="10"/>
        <v>0Y5M26D</v>
      </c>
      <c r="BA61" s="3">
        <f t="shared" si="11"/>
        <v>0.49041095890410957</v>
      </c>
      <c r="BB61" s="2">
        <v>3</v>
      </c>
      <c r="BC61" s="23">
        <v>44509</v>
      </c>
      <c r="BD61" s="3" t="str">
        <f t="shared" si="12"/>
        <v>0Y8M13D</v>
      </c>
      <c r="BE61" s="3" t="str">
        <f t="shared" si="13"/>
        <v>0Y5M27D</v>
      </c>
      <c r="BF61" s="3">
        <f t="shared" si="14"/>
        <v>0.49315068493150682</v>
      </c>
      <c r="BG61" s="2">
        <v>1</v>
      </c>
      <c r="BH61" s="2">
        <v>1</v>
      </c>
    </row>
    <row r="62" spans="1:60" s="110" customFormat="1" ht="16">
      <c r="A62" s="17" t="s">
        <v>286</v>
      </c>
      <c r="B62" s="17">
        <v>22108155</v>
      </c>
      <c r="C62" s="17" t="s">
        <v>287</v>
      </c>
      <c r="D62" s="40">
        <v>44375</v>
      </c>
      <c r="E62" s="40">
        <v>44446</v>
      </c>
      <c r="F62" s="40">
        <v>44446</v>
      </c>
      <c r="G62" s="17" t="s">
        <v>289</v>
      </c>
      <c r="H62" s="75">
        <v>44599</v>
      </c>
      <c r="I62" s="75">
        <v>44811</v>
      </c>
      <c r="J62" s="17"/>
      <c r="K62" s="40"/>
      <c r="L62" s="21" t="e">
        <f t="shared" si="0"/>
        <v>#NUM!</v>
      </c>
      <c r="M62" s="21" t="e">
        <f t="shared" si="1"/>
        <v>#NUM!</v>
      </c>
      <c r="N62" s="21">
        <f t="shared" si="2"/>
        <v>-121.76986301369863</v>
      </c>
      <c r="O62" s="17"/>
      <c r="P62" s="17"/>
      <c r="Q62" s="17"/>
      <c r="R62" s="17"/>
      <c r="S62" s="17"/>
      <c r="T62" s="17"/>
      <c r="U62" s="17"/>
      <c r="V62" s="17"/>
      <c r="W62" s="17"/>
      <c r="X62" s="17"/>
      <c r="Y62" s="17"/>
      <c r="Z62" s="17"/>
      <c r="AA62" s="17"/>
      <c r="AB62" s="17"/>
      <c r="AC62" s="17"/>
      <c r="AD62" s="17"/>
      <c r="AE62" s="17"/>
      <c r="AF62" s="17"/>
      <c r="AG62" s="17"/>
      <c r="AH62" s="40">
        <v>44643</v>
      </c>
      <c r="AI62" s="21" t="str">
        <f t="shared" si="3"/>
        <v>0Y8M23D</v>
      </c>
      <c r="AJ62" s="21" t="str">
        <f t="shared" si="4"/>
        <v>0Y6M16D</v>
      </c>
      <c r="AK62" s="21">
        <f t="shared" si="5"/>
        <v>0.53972602739726028</v>
      </c>
      <c r="AL62" s="17">
        <v>1</v>
      </c>
      <c r="AM62" s="17">
        <v>1</v>
      </c>
      <c r="AN62" s="17">
        <v>1</v>
      </c>
      <c r="AO62" s="17">
        <v>2</v>
      </c>
      <c r="AP62" s="17">
        <v>1</v>
      </c>
      <c r="AQ62" s="17">
        <v>1</v>
      </c>
      <c r="AR62" s="17" t="s">
        <v>1672</v>
      </c>
      <c r="AS62" s="40">
        <v>44643</v>
      </c>
      <c r="AT62" s="21" t="str">
        <f t="shared" si="6"/>
        <v>0Y8M23D</v>
      </c>
      <c r="AU62" s="21" t="str">
        <f t="shared" si="7"/>
        <v>0Y6M16D</v>
      </c>
      <c r="AV62" s="21">
        <f t="shared" si="8"/>
        <v>0.53972602739726028</v>
      </c>
      <c r="AW62" s="17">
        <v>3</v>
      </c>
      <c r="AX62" s="17"/>
      <c r="AY62" s="21" t="e">
        <f t="shared" si="9"/>
        <v>#NUM!</v>
      </c>
      <c r="AZ62" s="21" t="e">
        <f t="shared" si="10"/>
        <v>#NUM!</v>
      </c>
      <c r="BA62" s="21">
        <f t="shared" si="11"/>
        <v>-121.76986301369863</v>
      </c>
      <c r="BB62" s="17"/>
      <c r="BC62" s="40">
        <v>44643</v>
      </c>
      <c r="BD62" s="21" t="str">
        <f t="shared" si="12"/>
        <v>0Y8M23D</v>
      </c>
      <c r="BE62" s="21" t="str">
        <f t="shared" si="13"/>
        <v>0Y6M16D</v>
      </c>
      <c r="BF62" s="21">
        <f t="shared" si="14"/>
        <v>0.53972602739726028</v>
      </c>
      <c r="BG62" s="17">
        <v>1</v>
      </c>
      <c r="BH62" s="17">
        <v>1</v>
      </c>
    </row>
    <row r="63" spans="1:60" ht="16">
      <c r="A63" s="2" t="s">
        <v>291</v>
      </c>
      <c r="B63" s="2">
        <v>22106340</v>
      </c>
      <c r="C63" s="2" t="s">
        <v>292</v>
      </c>
      <c r="D63" s="23">
        <v>44194</v>
      </c>
      <c r="E63" s="23">
        <v>44190</v>
      </c>
      <c r="F63" s="23">
        <v>44194</v>
      </c>
      <c r="G63" s="2" t="s">
        <v>294</v>
      </c>
      <c r="H63" s="55">
        <v>44341</v>
      </c>
      <c r="I63" s="55">
        <v>44555</v>
      </c>
      <c r="J63" s="23">
        <v>44434</v>
      </c>
      <c r="K63" s="23">
        <v>44438</v>
      </c>
      <c r="L63" s="3" t="str">
        <f t="shared" si="0"/>
        <v>0Y8M1D</v>
      </c>
      <c r="M63" s="3" t="str">
        <f t="shared" si="1"/>
        <v>0Y8M5D</v>
      </c>
      <c r="N63" s="3">
        <f t="shared" si="2"/>
        <v>0.66849315068493154</v>
      </c>
      <c r="O63" s="2">
        <v>2</v>
      </c>
      <c r="P63" s="2">
        <v>4</v>
      </c>
      <c r="Q63" s="2"/>
      <c r="R63" s="2">
        <v>2</v>
      </c>
      <c r="S63" s="2">
        <v>1</v>
      </c>
      <c r="T63" s="2">
        <v>1</v>
      </c>
      <c r="U63" s="2" t="s">
        <v>1669</v>
      </c>
      <c r="V63" s="2" t="s">
        <v>1664</v>
      </c>
      <c r="W63" s="2">
        <v>1</v>
      </c>
      <c r="X63" s="2">
        <v>1</v>
      </c>
      <c r="Y63" s="2">
        <v>1</v>
      </c>
      <c r="Z63" s="2">
        <v>1</v>
      </c>
      <c r="AA63" s="2">
        <v>1</v>
      </c>
      <c r="AB63" s="2">
        <v>1</v>
      </c>
      <c r="AC63" s="2" t="s">
        <v>1669</v>
      </c>
      <c r="AD63" s="2">
        <v>1</v>
      </c>
      <c r="AE63" s="2">
        <v>1</v>
      </c>
      <c r="AF63" s="2">
        <v>1</v>
      </c>
      <c r="AG63" s="2">
        <v>1</v>
      </c>
      <c r="AH63" s="23">
        <v>44438</v>
      </c>
      <c r="AI63" s="3" t="str">
        <f t="shared" si="3"/>
        <v>0Y8M1D</v>
      </c>
      <c r="AJ63" s="3" t="str">
        <f t="shared" si="4"/>
        <v>0Y8M5D</v>
      </c>
      <c r="AK63" s="3">
        <f t="shared" si="5"/>
        <v>0.66849315068493154</v>
      </c>
      <c r="AL63" s="2">
        <v>1</v>
      </c>
      <c r="AM63" s="2">
        <v>1</v>
      </c>
      <c r="AN63" s="2">
        <v>1</v>
      </c>
      <c r="AO63" s="2">
        <v>1</v>
      </c>
      <c r="AP63" s="2">
        <v>1</v>
      </c>
      <c r="AQ63" s="2">
        <v>3</v>
      </c>
      <c r="AR63" s="2"/>
      <c r="AS63" s="23">
        <v>44435</v>
      </c>
      <c r="AT63" s="3" t="str">
        <f t="shared" si="6"/>
        <v>0Y7M29D</v>
      </c>
      <c r="AU63" s="3" t="str">
        <f t="shared" si="7"/>
        <v>0Y8M2D</v>
      </c>
      <c r="AV63" s="3">
        <f t="shared" si="8"/>
        <v>0.66027397260273968</v>
      </c>
      <c r="AW63" s="2">
        <v>3</v>
      </c>
      <c r="AX63" s="23">
        <v>44436</v>
      </c>
      <c r="AY63" s="3" t="str">
        <f t="shared" si="9"/>
        <v>0Y7M30D</v>
      </c>
      <c r="AZ63" s="3" t="str">
        <f t="shared" si="10"/>
        <v>0Y8M3D</v>
      </c>
      <c r="BA63" s="3">
        <f t="shared" si="11"/>
        <v>0.66301369863013704</v>
      </c>
      <c r="BB63" s="2">
        <v>3</v>
      </c>
      <c r="BC63" s="23">
        <v>44438</v>
      </c>
      <c r="BD63" s="3" t="str">
        <f t="shared" si="12"/>
        <v>0Y8M1D</v>
      </c>
      <c r="BE63" s="3" t="str">
        <f t="shared" si="13"/>
        <v>0Y8M5D</v>
      </c>
      <c r="BF63" s="3">
        <f t="shared" si="14"/>
        <v>0.66849315068493154</v>
      </c>
      <c r="BG63" s="2">
        <v>1</v>
      </c>
      <c r="BH63" s="2">
        <v>0</v>
      </c>
    </row>
    <row r="64" spans="1:60" s="114" customFormat="1" ht="16">
      <c r="A64" s="16" t="s">
        <v>296</v>
      </c>
      <c r="B64" s="16">
        <v>22103195</v>
      </c>
      <c r="C64" s="16" t="s">
        <v>297</v>
      </c>
      <c r="D64" s="77">
        <v>43881</v>
      </c>
      <c r="E64" s="77">
        <v>43949</v>
      </c>
      <c r="F64" s="77">
        <v>43949</v>
      </c>
      <c r="G64" s="16" t="s">
        <v>299</v>
      </c>
      <c r="H64" s="78">
        <v>44102</v>
      </c>
      <c r="I64" s="78">
        <v>44314</v>
      </c>
      <c r="J64" s="16"/>
      <c r="K64" s="16"/>
      <c r="L64" s="68" t="e">
        <f t="shared" si="0"/>
        <v>#NUM!</v>
      </c>
      <c r="M64" s="68" t="e">
        <f t="shared" si="1"/>
        <v>#NUM!</v>
      </c>
      <c r="N64" s="68">
        <f t="shared" si="2"/>
        <v>-120.40821917808219</v>
      </c>
      <c r="O64" s="16"/>
      <c r="P64" s="16"/>
      <c r="Q64" s="16"/>
      <c r="R64" s="16"/>
      <c r="S64" s="16"/>
      <c r="T64" s="16"/>
      <c r="U64" s="16"/>
      <c r="V64" s="16"/>
      <c r="W64" s="16"/>
      <c r="X64" s="16"/>
      <c r="Y64" s="16"/>
      <c r="Z64" s="16"/>
      <c r="AA64" s="16"/>
      <c r="AB64" s="16"/>
      <c r="AC64" s="16"/>
      <c r="AD64" s="16"/>
      <c r="AE64" s="16"/>
      <c r="AF64" s="16"/>
      <c r="AG64" s="16"/>
      <c r="AH64" s="16"/>
      <c r="AI64" s="68" t="e">
        <f t="shared" si="3"/>
        <v>#NUM!</v>
      </c>
      <c r="AJ64" s="68" t="e">
        <f t="shared" si="4"/>
        <v>#NUM!</v>
      </c>
      <c r="AK64" s="68">
        <f t="shared" si="5"/>
        <v>-120.40821917808219</v>
      </c>
      <c r="AL64" s="16"/>
      <c r="AM64" s="16"/>
      <c r="AN64" s="16"/>
      <c r="AO64" s="16"/>
      <c r="AP64" s="16"/>
      <c r="AQ64" s="16"/>
      <c r="AR64" s="16"/>
      <c r="AS64" s="16"/>
      <c r="AT64" s="68" t="e">
        <f t="shared" si="6"/>
        <v>#NUM!</v>
      </c>
      <c r="AU64" s="68" t="e">
        <f t="shared" si="7"/>
        <v>#NUM!</v>
      </c>
      <c r="AV64" s="68">
        <f t="shared" si="8"/>
        <v>-120.40821917808219</v>
      </c>
      <c r="AW64" s="16"/>
      <c r="AX64" s="16"/>
      <c r="AY64" s="68" t="e">
        <f t="shared" si="9"/>
        <v>#NUM!</v>
      </c>
      <c r="AZ64" s="68" t="e">
        <f t="shared" si="10"/>
        <v>#NUM!</v>
      </c>
      <c r="BA64" s="68">
        <f t="shared" si="11"/>
        <v>-120.40821917808219</v>
      </c>
      <c r="BB64" s="16"/>
      <c r="BC64" s="16"/>
      <c r="BD64" s="68" t="e">
        <f t="shared" si="12"/>
        <v>#NUM!</v>
      </c>
      <c r="BE64" s="68" t="e">
        <f t="shared" si="13"/>
        <v>#NUM!</v>
      </c>
      <c r="BF64" s="68">
        <f t="shared" si="14"/>
        <v>-120.40821917808219</v>
      </c>
      <c r="BG64" s="16"/>
      <c r="BH64" s="16"/>
    </row>
    <row r="65" spans="1:60" s="110" customFormat="1" ht="16">
      <c r="A65" s="17" t="s">
        <v>301</v>
      </c>
      <c r="B65" s="17">
        <v>22107168</v>
      </c>
      <c r="C65" s="17" t="s">
        <v>302</v>
      </c>
      <c r="D65" s="40">
        <v>44272</v>
      </c>
      <c r="E65" s="40">
        <v>44338</v>
      </c>
      <c r="F65" s="40">
        <v>44338</v>
      </c>
      <c r="G65" s="17" t="s">
        <v>304</v>
      </c>
      <c r="H65" s="75">
        <v>44491</v>
      </c>
      <c r="I65" s="75">
        <v>44703</v>
      </c>
      <c r="J65" s="40">
        <v>44511</v>
      </c>
      <c r="K65" s="40">
        <v>44511</v>
      </c>
      <c r="L65" s="21" t="str">
        <f t="shared" si="0"/>
        <v>0Y7M25D</v>
      </c>
      <c r="M65" s="21" t="str">
        <f t="shared" si="1"/>
        <v>0Y5M20D</v>
      </c>
      <c r="N65" s="21">
        <f t="shared" si="2"/>
        <v>0.47397260273972602</v>
      </c>
      <c r="O65" s="17">
        <v>2</v>
      </c>
      <c r="P65" s="17">
        <v>3</v>
      </c>
      <c r="Q65" s="17" t="s">
        <v>1703</v>
      </c>
      <c r="R65" s="17">
        <v>2</v>
      </c>
      <c r="S65" s="17">
        <v>1</v>
      </c>
      <c r="T65" s="17">
        <v>1</v>
      </c>
      <c r="U65" s="17" t="s">
        <v>1698</v>
      </c>
      <c r="V65" s="17"/>
      <c r="W65" s="17">
        <v>1</v>
      </c>
      <c r="X65" s="17">
        <v>1</v>
      </c>
      <c r="Y65" s="17">
        <v>1</v>
      </c>
      <c r="Z65" s="17">
        <v>1</v>
      </c>
      <c r="AA65" s="17">
        <v>1</v>
      </c>
      <c r="AB65" s="17">
        <v>1</v>
      </c>
      <c r="AC65" s="17" t="s">
        <v>1703</v>
      </c>
      <c r="AD65" s="17">
        <v>1</v>
      </c>
      <c r="AE65" s="17">
        <v>1</v>
      </c>
      <c r="AF65" s="17">
        <v>1</v>
      </c>
      <c r="AG65" s="17">
        <v>1</v>
      </c>
      <c r="AH65" s="40">
        <v>44511</v>
      </c>
      <c r="AI65" s="21" t="str">
        <f t="shared" si="3"/>
        <v>0Y7M25D</v>
      </c>
      <c r="AJ65" s="21" t="str">
        <f t="shared" si="4"/>
        <v>0Y5M20D</v>
      </c>
      <c r="AK65" s="21">
        <f t="shared" si="5"/>
        <v>0.47397260273972602</v>
      </c>
      <c r="AL65" s="17">
        <v>1</v>
      </c>
      <c r="AM65" s="17">
        <v>1</v>
      </c>
      <c r="AN65" s="17">
        <v>1</v>
      </c>
      <c r="AO65" s="17">
        <v>1</v>
      </c>
      <c r="AP65" s="17">
        <v>1</v>
      </c>
      <c r="AQ65" s="17">
        <v>2</v>
      </c>
      <c r="AR65" s="17" t="s">
        <v>1688</v>
      </c>
      <c r="AS65" s="40">
        <v>44513</v>
      </c>
      <c r="AT65" s="21" t="str">
        <f t="shared" si="6"/>
        <v>0Y7M27D</v>
      </c>
      <c r="AU65" s="21" t="str">
        <f t="shared" si="7"/>
        <v>0Y5M22D</v>
      </c>
      <c r="AV65" s="21">
        <f t="shared" si="8"/>
        <v>0.47945205479452052</v>
      </c>
      <c r="AW65" s="17" t="s">
        <v>2206</v>
      </c>
      <c r="AX65" s="40">
        <v>44515</v>
      </c>
      <c r="AY65" s="21" t="str">
        <f t="shared" si="9"/>
        <v>0Y7M29D</v>
      </c>
      <c r="AZ65" s="21" t="str">
        <f t="shared" si="10"/>
        <v>0Y5M24D</v>
      </c>
      <c r="BA65" s="21">
        <f t="shared" si="11"/>
        <v>0.48493150684931507</v>
      </c>
      <c r="BB65" s="17" t="s">
        <v>2206</v>
      </c>
      <c r="BC65" s="17" t="s">
        <v>1714</v>
      </c>
      <c r="BD65" s="21" t="e">
        <f t="shared" si="12"/>
        <v>#VALUE!</v>
      </c>
      <c r="BE65" s="21" t="e">
        <f t="shared" si="13"/>
        <v>#VALUE!</v>
      </c>
      <c r="BF65" s="21" t="e">
        <f t="shared" si="14"/>
        <v>#VALUE!</v>
      </c>
      <c r="BG65" s="17"/>
      <c r="BH65" s="17">
        <v>1</v>
      </c>
    </row>
    <row r="66" spans="1:60" s="127" customFormat="1" ht="16">
      <c r="A66" s="131" t="s">
        <v>306</v>
      </c>
      <c r="B66" s="131">
        <v>22107334</v>
      </c>
      <c r="C66" s="131" t="s">
        <v>307</v>
      </c>
      <c r="D66" s="132">
        <v>44287</v>
      </c>
      <c r="E66" s="132">
        <v>44357</v>
      </c>
      <c r="F66" s="132">
        <v>44357</v>
      </c>
      <c r="G66" s="131">
        <v>30</v>
      </c>
      <c r="H66" s="85">
        <v>44510</v>
      </c>
      <c r="I66" s="85">
        <v>44722</v>
      </c>
      <c r="J66" s="131"/>
      <c r="K66" s="131" t="s">
        <v>18</v>
      </c>
      <c r="L66" s="133" t="e">
        <f t="shared" ref="L66:L129" si="15">DATEDIF(D66,K66,"y")&amp;"Y"&amp;DATEDIF(D66,K66,"ym")&amp;"M"&amp;DATEDIF(D66,K66,"md")&amp;"D"</f>
        <v>#VALUE!</v>
      </c>
      <c r="M66" s="133" t="e">
        <f t="shared" ref="M66:M129" si="16">DATEDIF(E66,K66,"y")&amp;"Y"&amp;DATEDIF(E66,K66,"ym")&amp;"M"&amp;DATEDIF(E66,K66,"md")&amp;"D"</f>
        <v>#VALUE!</v>
      </c>
      <c r="N66" s="133" t="e">
        <f t="shared" ref="N66:N129" si="17">(K66-F66)/365</f>
        <v>#VALUE!</v>
      </c>
      <c r="O66" s="131"/>
      <c r="P66" s="131"/>
      <c r="Q66" s="131"/>
      <c r="R66" s="131"/>
      <c r="S66" s="131"/>
      <c r="T66" s="131"/>
      <c r="U66" s="131"/>
      <c r="V66" s="131"/>
      <c r="W66" s="131"/>
      <c r="X66" s="131"/>
      <c r="Y66" s="131"/>
      <c r="Z66" s="131"/>
      <c r="AA66" s="131"/>
      <c r="AB66" s="131"/>
      <c r="AC66" s="131"/>
      <c r="AD66" s="131"/>
      <c r="AE66" s="131"/>
      <c r="AF66" s="131"/>
      <c r="AG66" s="131"/>
      <c r="AH66" s="131"/>
      <c r="AI66" s="133" t="e">
        <f t="shared" ref="AI66:AI129" si="18">DATEDIF(D66,AH66,"y")&amp;"Y"&amp;DATEDIF(D66,AH66,"ym")&amp;"M"&amp;DATEDIF(D66,AH66,"md")&amp;"D"</f>
        <v>#NUM!</v>
      </c>
      <c r="AJ66" s="133" t="e">
        <f t="shared" ref="AJ66:AJ129" si="19">DATEDIF(E66,AH66,"y")&amp;"Y"&amp;DATEDIF(E66,AH66,"ym")&amp;"M"&amp;DATEDIF(E66,AH66,"md")&amp;"D"</f>
        <v>#NUM!</v>
      </c>
      <c r="AK66" s="133">
        <f t="shared" ref="AK66:AK129" si="20">(AH66-F66)/365</f>
        <v>-121.52602739726028</v>
      </c>
      <c r="AL66" s="131"/>
      <c r="AM66" s="131"/>
      <c r="AN66" s="131"/>
      <c r="AO66" s="131"/>
      <c r="AP66" s="131"/>
      <c r="AQ66" s="131"/>
      <c r="AR66" s="131"/>
      <c r="AS66" s="131"/>
      <c r="AT66" s="133" t="e">
        <f t="shared" ref="AT66:AT129" si="21">DATEDIF(D66,AS66,"y")&amp;"Y"&amp;DATEDIF(D66,AS66,"ym")&amp;"M"&amp;DATEDIF(D66,AS66,"md")&amp;"D"</f>
        <v>#NUM!</v>
      </c>
      <c r="AU66" s="133" t="e">
        <f t="shared" ref="AU66:AU129" si="22">DATEDIF(E66,AS66,"y")&amp;"Y"&amp;DATEDIF(E66,AS66,"ym")&amp;"M"&amp;DATEDIF(E66,AS66,"md")&amp;"D"</f>
        <v>#NUM!</v>
      </c>
      <c r="AV66" s="133">
        <f t="shared" ref="AV66:AV129" si="23">(AS66-F66)/365</f>
        <v>-121.52602739726028</v>
      </c>
      <c r="AW66" s="131"/>
      <c r="AX66" s="131"/>
      <c r="AY66" s="133" t="e">
        <f t="shared" ref="AY66:AY129" si="24">DATEDIF(D66,AX66,"y")&amp;"Y"&amp;DATEDIF(D66,AX66,"ym")&amp;"M"&amp;DATEDIF(D66,AX66,"md")&amp;"D"</f>
        <v>#NUM!</v>
      </c>
      <c r="AZ66" s="133" t="e">
        <f t="shared" ref="AZ66:AZ129" si="25">DATEDIF(E66,AX66,"y")&amp;"Y"&amp;DATEDIF(E66,AX66,"ym")&amp;"M"&amp;DATEDIF(E66,AX66,"md")&amp;"D"</f>
        <v>#NUM!</v>
      </c>
      <c r="BA66" s="133">
        <f t="shared" ref="BA66:BA129" si="26">(AX66-F66)/365</f>
        <v>-121.52602739726028</v>
      </c>
      <c r="BB66" s="131"/>
      <c r="BC66" s="131"/>
      <c r="BD66" s="133" t="e">
        <f t="shared" ref="BD66:BD129" si="27">DATEDIF(D66,BC66,"y")&amp;"Y"&amp;DATEDIF(D66,BC66,"ym")&amp;"M"&amp;DATEDIF(D66,BC66,"md")&amp;"D"</f>
        <v>#NUM!</v>
      </c>
      <c r="BE66" s="133" t="e">
        <f t="shared" ref="BE66:BE129" si="28">DATEDIF(E66,BC66,"y")&amp;"Y"&amp;DATEDIF(E66,BC66,"ym")&amp;"M"&amp;DATEDIF(E66,BC66,"md")&amp;"D"</f>
        <v>#NUM!</v>
      </c>
      <c r="BF66" s="133">
        <f t="shared" ref="BF66:BF129" si="29">(BC66-F66)/365</f>
        <v>-121.52602739726028</v>
      </c>
      <c r="BG66" s="131"/>
      <c r="BH66" s="131">
        <v>1</v>
      </c>
    </row>
    <row r="67" spans="1:60" s="127" customFormat="1" ht="16">
      <c r="A67" s="131" t="s">
        <v>309</v>
      </c>
      <c r="B67" s="131">
        <v>22107336</v>
      </c>
      <c r="C67" s="131" t="s">
        <v>310</v>
      </c>
      <c r="D67" s="132">
        <v>44287</v>
      </c>
      <c r="E67" s="132">
        <v>44357</v>
      </c>
      <c r="F67" s="132">
        <v>44357</v>
      </c>
      <c r="G67" s="131">
        <v>30</v>
      </c>
      <c r="H67" s="85">
        <v>44510</v>
      </c>
      <c r="I67" s="85">
        <v>44722</v>
      </c>
      <c r="J67" s="131"/>
      <c r="K67" s="131" t="s">
        <v>18</v>
      </c>
      <c r="L67" s="133" t="e">
        <f t="shared" si="15"/>
        <v>#VALUE!</v>
      </c>
      <c r="M67" s="133" t="e">
        <f t="shared" si="16"/>
        <v>#VALUE!</v>
      </c>
      <c r="N67" s="133" t="e">
        <f t="shared" si="17"/>
        <v>#VALUE!</v>
      </c>
      <c r="O67" s="131"/>
      <c r="P67" s="131"/>
      <c r="Q67" s="131"/>
      <c r="R67" s="131"/>
      <c r="S67" s="131"/>
      <c r="T67" s="131"/>
      <c r="U67" s="131"/>
      <c r="V67" s="131"/>
      <c r="W67" s="131"/>
      <c r="X67" s="131"/>
      <c r="Y67" s="131"/>
      <c r="Z67" s="131"/>
      <c r="AA67" s="131"/>
      <c r="AB67" s="131"/>
      <c r="AC67" s="131"/>
      <c r="AD67" s="131"/>
      <c r="AE67" s="131"/>
      <c r="AF67" s="131"/>
      <c r="AG67" s="131"/>
      <c r="AH67" s="131"/>
      <c r="AI67" s="133" t="e">
        <f t="shared" si="18"/>
        <v>#NUM!</v>
      </c>
      <c r="AJ67" s="133" t="e">
        <f t="shared" si="19"/>
        <v>#NUM!</v>
      </c>
      <c r="AK67" s="133">
        <f t="shared" si="20"/>
        <v>-121.52602739726028</v>
      </c>
      <c r="AL67" s="131"/>
      <c r="AM67" s="131"/>
      <c r="AN67" s="131"/>
      <c r="AO67" s="131"/>
      <c r="AP67" s="131"/>
      <c r="AQ67" s="131"/>
      <c r="AR67" s="131"/>
      <c r="AS67" s="131"/>
      <c r="AT67" s="133" t="e">
        <f t="shared" si="21"/>
        <v>#NUM!</v>
      </c>
      <c r="AU67" s="133" t="e">
        <f t="shared" si="22"/>
        <v>#NUM!</v>
      </c>
      <c r="AV67" s="133">
        <f t="shared" si="23"/>
        <v>-121.52602739726028</v>
      </c>
      <c r="AW67" s="131"/>
      <c r="AX67" s="131"/>
      <c r="AY67" s="133" t="e">
        <f t="shared" si="24"/>
        <v>#NUM!</v>
      </c>
      <c r="AZ67" s="133" t="e">
        <f t="shared" si="25"/>
        <v>#NUM!</v>
      </c>
      <c r="BA67" s="133">
        <f t="shared" si="26"/>
        <v>-121.52602739726028</v>
      </c>
      <c r="BB67" s="131"/>
      <c r="BC67" s="131"/>
      <c r="BD67" s="133" t="e">
        <f t="shared" si="27"/>
        <v>#NUM!</v>
      </c>
      <c r="BE67" s="133" t="e">
        <f t="shared" si="28"/>
        <v>#NUM!</v>
      </c>
      <c r="BF67" s="133">
        <f t="shared" si="29"/>
        <v>-121.52602739726028</v>
      </c>
      <c r="BG67" s="131"/>
      <c r="BH67" s="131">
        <v>1</v>
      </c>
    </row>
    <row r="68" spans="1:60" ht="16">
      <c r="A68" s="2" t="s">
        <v>312</v>
      </c>
      <c r="B68" s="2">
        <v>22106885</v>
      </c>
      <c r="C68" s="2" t="s">
        <v>313</v>
      </c>
      <c r="D68" s="23">
        <v>44246</v>
      </c>
      <c r="E68" s="23">
        <v>44356</v>
      </c>
      <c r="F68" s="23">
        <v>44356</v>
      </c>
      <c r="G68" s="2" t="s">
        <v>314</v>
      </c>
      <c r="H68" s="55">
        <v>44509</v>
      </c>
      <c r="I68" s="55">
        <v>44721</v>
      </c>
      <c r="J68" s="23">
        <v>44624</v>
      </c>
      <c r="K68" s="23">
        <v>44568</v>
      </c>
      <c r="L68" s="3" t="str">
        <f t="shared" si="15"/>
        <v>0Y10M19D</v>
      </c>
      <c r="M68" s="3" t="str">
        <f t="shared" si="16"/>
        <v>0Y6M29D</v>
      </c>
      <c r="N68" s="3">
        <f t="shared" si="17"/>
        <v>0.58082191780821912</v>
      </c>
      <c r="O68" s="2">
        <v>2</v>
      </c>
      <c r="P68" s="2">
        <v>4</v>
      </c>
      <c r="Q68" s="2" t="s">
        <v>1698</v>
      </c>
      <c r="R68" s="2">
        <v>2</v>
      </c>
      <c r="S68" s="2">
        <v>1</v>
      </c>
      <c r="T68" s="2">
        <v>1</v>
      </c>
      <c r="U68" s="2" t="s">
        <v>1669</v>
      </c>
      <c r="V68" s="2" t="s">
        <v>1664</v>
      </c>
      <c r="W68" s="2">
        <v>1</v>
      </c>
      <c r="X68" s="2">
        <v>1</v>
      </c>
      <c r="Y68" s="2">
        <v>2</v>
      </c>
      <c r="Z68" s="2">
        <v>1</v>
      </c>
      <c r="AA68" s="2">
        <v>1</v>
      </c>
      <c r="AB68" s="2">
        <v>1</v>
      </c>
      <c r="AC68" s="2" t="s">
        <v>1715</v>
      </c>
      <c r="AD68" s="2">
        <v>1</v>
      </c>
      <c r="AE68" s="2">
        <v>1</v>
      </c>
      <c r="AF68" s="2">
        <v>1</v>
      </c>
      <c r="AG68" s="2">
        <v>1</v>
      </c>
      <c r="AH68" s="23">
        <v>44568</v>
      </c>
      <c r="AI68" s="3" t="str">
        <f t="shared" si="18"/>
        <v>0Y10M19D</v>
      </c>
      <c r="AJ68" s="3" t="str">
        <f t="shared" si="19"/>
        <v>0Y6M29D</v>
      </c>
      <c r="AK68" s="3">
        <f t="shared" si="20"/>
        <v>0.58082191780821912</v>
      </c>
      <c r="AL68" s="2">
        <v>1</v>
      </c>
      <c r="AM68" s="2">
        <v>1</v>
      </c>
      <c r="AN68" s="2">
        <v>1</v>
      </c>
      <c r="AO68" s="2">
        <v>1</v>
      </c>
      <c r="AP68" s="2">
        <v>1</v>
      </c>
      <c r="AQ68" s="2"/>
      <c r="AR68" s="2" t="s">
        <v>1716</v>
      </c>
      <c r="AS68" s="23">
        <v>44566</v>
      </c>
      <c r="AT68" s="3" t="str">
        <f t="shared" si="21"/>
        <v>0Y10M17D</v>
      </c>
      <c r="AU68" s="3" t="str">
        <f t="shared" si="22"/>
        <v>0Y6M27D</v>
      </c>
      <c r="AV68" s="3">
        <f t="shared" si="23"/>
        <v>0.57534246575342463</v>
      </c>
      <c r="AW68" s="2">
        <v>3</v>
      </c>
      <c r="AX68" s="23">
        <v>44567</v>
      </c>
      <c r="AY68" s="3" t="str">
        <f t="shared" si="24"/>
        <v>0Y10M18D</v>
      </c>
      <c r="AZ68" s="3" t="str">
        <f t="shared" si="25"/>
        <v>0Y6M28D</v>
      </c>
      <c r="BA68" s="3">
        <f t="shared" si="26"/>
        <v>0.57808219178082187</v>
      </c>
      <c r="BB68" s="2">
        <v>3</v>
      </c>
      <c r="BC68" s="23">
        <v>44568</v>
      </c>
      <c r="BD68" s="3" t="str">
        <f t="shared" si="27"/>
        <v>0Y10M19D</v>
      </c>
      <c r="BE68" s="3" t="str">
        <f t="shared" si="28"/>
        <v>0Y6M29D</v>
      </c>
      <c r="BF68" s="3">
        <f t="shared" si="29"/>
        <v>0.58082191780821912</v>
      </c>
      <c r="BG68" s="2">
        <v>1</v>
      </c>
      <c r="BH68" s="2">
        <v>1</v>
      </c>
    </row>
    <row r="69" spans="1:60" ht="16">
      <c r="A69" s="2" t="s">
        <v>316</v>
      </c>
      <c r="B69" s="2">
        <v>22106005</v>
      </c>
      <c r="C69" s="2" t="s">
        <v>317</v>
      </c>
      <c r="D69" s="23">
        <v>44164</v>
      </c>
      <c r="E69" s="23">
        <v>44259</v>
      </c>
      <c r="F69" s="23">
        <v>44259</v>
      </c>
      <c r="G69" s="2" t="s">
        <v>276</v>
      </c>
      <c r="H69" s="55">
        <v>44412</v>
      </c>
      <c r="I69" s="55">
        <v>44624</v>
      </c>
      <c r="J69" s="23">
        <v>44463</v>
      </c>
      <c r="K69" s="23">
        <v>44463</v>
      </c>
      <c r="L69" s="3" t="str">
        <f t="shared" si="15"/>
        <v>0Y9M26D</v>
      </c>
      <c r="M69" s="3" t="str">
        <f t="shared" si="16"/>
        <v>0Y6M20D</v>
      </c>
      <c r="N69" s="3">
        <f t="shared" si="17"/>
        <v>0.55890410958904113</v>
      </c>
      <c r="O69" s="2">
        <v>2</v>
      </c>
      <c r="P69" s="2">
        <v>2</v>
      </c>
      <c r="Q69" s="2" t="s">
        <v>1669</v>
      </c>
      <c r="R69" s="2">
        <v>2</v>
      </c>
      <c r="S69" s="2">
        <v>1</v>
      </c>
      <c r="T69" s="2">
        <v>1</v>
      </c>
      <c r="U69" s="2"/>
      <c r="V69" s="2" t="s">
        <v>1664</v>
      </c>
      <c r="W69" s="2">
        <v>1</v>
      </c>
      <c r="X69" s="2">
        <v>1</v>
      </c>
      <c r="Y69" s="2">
        <v>1</v>
      </c>
      <c r="Z69" s="2">
        <v>1</v>
      </c>
      <c r="AA69" s="2">
        <v>1</v>
      </c>
      <c r="AB69" s="2">
        <v>1</v>
      </c>
      <c r="AC69" s="2" t="s">
        <v>1663</v>
      </c>
      <c r="AD69" s="2">
        <v>1</v>
      </c>
      <c r="AE69" s="2">
        <v>1</v>
      </c>
      <c r="AF69" s="2">
        <v>1</v>
      </c>
      <c r="AG69" s="2">
        <v>1</v>
      </c>
      <c r="AH69" s="23">
        <v>44463</v>
      </c>
      <c r="AI69" s="3" t="str">
        <f t="shared" si="18"/>
        <v>0Y9M26D</v>
      </c>
      <c r="AJ69" s="3" t="str">
        <f t="shared" si="19"/>
        <v>0Y6M20D</v>
      </c>
      <c r="AK69" s="3">
        <f t="shared" si="20"/>
        <v>0.55890410958904113</v>
      </c>
      <c r="AL69" s="2">
        <v>1</v>
      </c>
      <c r="AM69" s="2">
        <v>1</v>
      </c>
      <c r="AN69" s="2">
        <v>1</v>
      </c>
      <c r="AO69" s="2">
        <v>1</v>
      </c>
      <c r="AP69" s="2">
        <v>1</v>
      </c>
      <c r="AQ69" s="2">
        <v>3</v>
      </c>
      <c r="AR69" s="2"/>
      <c r="AS69" s="23">
        <v>44455</v>
      </c>
      <c r="AT69" s="3" t="str">
        <f t="shared" si="21"/>
        <v>0Y9M18D</v>
      </c>
      <c r="AU69" s="3" t="str">
        <f t="shared" si="22"/>
        <v>0Y6M12D</v>
      </c>
      <c r="AV69" s="3">
        <f t="shared" si="23"/>
        <v>0.53698630136986303</v>
      </c>
      <c r="AW69" s="2">
        <v>3</v>
      </c>
      <c r="AX69" s="23">
        <v>44458</v>
      </c>
      <c r="AY69" s="3" t="str">
        <f t="shared" si="24"/>
        <v>0Y9M21D</v>
      </c>
      <c r="AZ69" s="3" t="str">
        <f t="shared" si="25"/>
        <v>0Y6M15D</v>
      </c>
      <c r="BA69" s="3">
        <f t="shared" si="26"/>
        <v>0.54520547945205478</v>
      </c>
      <c r="BB69" s="2">
        <v>3</v>
      </c>
      <c r="BC69" s="23">
        <v>44463</v>
      </c>
      <c r="BD69" s="3" t="str">
        <f t="shared" si="27"/>
        <v>0Y9M26D</v>
      </c>
      <c r="BE69" s="3" t="str">
        <f t="shared" si="28"/>
        <v>0Y6M20D</v>
      </c>
      <c r="BF69" s="3">
        <f t="shared" si="29"/>
        <v>0.55890410958904113</v>
      </c>
      <c r="BG69" s="2">
        <v>1</v>
      </c>
      <c r="BH69" s="2">
        <v>1</v>
      </c>
    </row>
    <row r="70" spans="1:60" ht="16">
      <c r="A70" s="2" t="s">
        <v>320</v>
      </c>
      <c r="B70" s="2">
        <v>22108151</v>
      </c>
      <c r="C70" s="2" t="s">
        <v>321</v>
      </c>
      <c r="D70" s="23">
        <v>44374</v>
      </c>
      <c r="E70" s="23">
        <v>44436</v>
      </c>
      <c r="F70" s="23">
        <v>44436</v>
      </c>
      <c r="G70" s="2" t="s">
        <v>323</v>
      </c>
      <c r="H70" s="55">
        <v>44589</v>
      </c>
      <c r="I70" s="55">
        <v>44801</v>
      </c>
      <c r="J70" s="23">
        <v>44750</v>
      </c>
      <c r="K70" s="23">
        <v>44750</v>
      </c>
      <c r="L70" s="3" t="str">
        <f t="shared" si="15"/>
        <v>1Y0M11D</v>
      </c>
      <c r="M70" s="3" t="str">
        <f t="shared" si="16"/>
        <v>0Y10M10D</v>
      </c>
      <c r="N70" s="3">
        <f t="shared" si="17"/>
        <v>0.86027397260273974</v>
      </c>
      <c r="O70" s="2">
        <v>2</v>
      </c>
      <c r="P70" s="2">
        <v>2</v>
      </c>
      <c r="Q70" s="2" t="s">
        <v>1703</v>
      </c>
      <c r="R70" s="2">
        <v>2</v>
      </c>
      <c r="S70" s="2">
        <v>1</v>
      </c>
      <c r="T70" s="2">
        <v>1</v>
      </c>
      <c r="U70" s="2" t="s">
        <v>1660</v>
      </c>
      <c r="V70" s="2" t="s">
        <v>1661</v>
      </c>
      <c r="W70" s="2">
        <v>1</v>
      </c>
      <c r="X70" s="2">
        <v>1</v>
      </c>
      <c r="Y70" s="2">
        <v>2</v>
      </c>
      <c r="Z70" s="2">
        <v>1</v>
      </c>
      <c r="AA70" s="2">
        <v>1</v>
      </c>
      <c r="AB70" s="2">
        <v>1</v>
      </c>
      <c r="AC70" s="2" t="s">
        <v>1717</v>
      </c>
      <c r="AD70" s="2">
        <v>1</v>
      </c>
      <c r="AE70" s="2">
        <v>1</v>
      </c>
      <c r="AF70" s="2">
        <v>1</v>
      </c>
      <c r="AG70" s="2">
        <v>1</v>
      </c>
      <c r="AH70" s="23">
        <v>44631</v>
      </c>
      <c r="AI70" s="3" t="str">
        <f t="shared" si="18"/>
        <v>0Y8M12D</v>
      </c>
      <c r="AJ70" s="3" t="str">
        <f t="shared" si="19"/>
        <v>0Y6M11D</v>
      </c>
      <c r="AK70" s="3">
        <f t="shared" si="20"/>
        <v>0.53424657534246578</v>
      </c>
      <c r="AL70" s="2">
        <v>1</v>
      </c>
      <c r="AM70" s="2">
        <v>1</v>
      </c>
      <c r="AN70" s="2">
        <v>1</v>
      </c>
      <c r="AO70" s="2">
        <v>1</v>
      </c>
      <c r="AP70" s="2">
        <v>1</v>
      </c>
      <c r="AQ70" s="2">
        <v>3</v>
      </c>
      <c r="AR70" s="2"/>
      <c r="AS70" s="23">
        <v>44629</v>
      </c>
      <c r="AT70" s="3" t="str">
        <f t="shared" si="21"/>
        <v>0Y8M10D</v>
      </c>
      <c r="AU70" s="3" t="str">
        <f t="shared" si="22"/>
        <v>0Y6M9D</v>
      </c>
      <c r="AV70" s="3">
        <f t="shared" si="23"/>
        <v>0.52876712328767128</v>
      </c>
      <c r="AW70" s="2">
        <v>3</v>
      </c>
      <c r="AX70" s="23">
        <v>44630</v>
      </c>
      <c r="AY70" s="3" t="str">
        <f t="shared" si="24"/>
        <v>0Y8M11D</v>
      </c>
      <c r="AZ70" s="3" t="str">
        <f t="shared" si="25"/>
        <v>0Y6M10D</v>
      </c>
      <c r="BA70" s="3">
        <f t="shared" si="26"/>
        <v>0.53150684931506853</v>
      </c>
      <c r="BB70" s="2">
        <v>3</v>
      </c>
      <c r="BC70" s="23">
        <v>44631</v>
      </c>
      <c r="BD70" s="3" t="str">
        <f t="shared" si="27"/>
        <v>0Y8M12D</v>
      </c>
      <c r="BE70" s="3" t="str">
        <f t="shared" si="28"/>
        <v>0Y6M11D</v>
      </c>
      <c r="BF70" s="3">
        <f t="shared" si="29"/>
        <v>0.53424657534246578</v>
      </c>
      <c r="BG70" s="2">
        <v>1</v>
      </c>
      <c r="BH70" s="2">
        <v>1</v>
      </c>
    </row>
    <row r="71" spans="1:60" s="110" customFormat="1" ht="16">
      <c r="A71" s="17" t="s">
        <v>325</v>
      </c>
      <c r="B71" s="17">
        <v>22108143</v>
      </c>
      <c r="C71" s="17" t="s">
        <v>326</v>
      </c>
      <c r="D71" s="40">
        <v>44373</v>
      </c>
      <c r="E71" s="40">
        <v>44433</v>
      </c>
      <c r="F71" s="40">
        <v>44433</v>
      </c>
      <c r="G71" s="17" t="s">
        <v>105</v>
      </c>
      <c r="H71" s="75">
        <v>44586</v>
      </c>
      <c r="I71" s="75">
        <v>44798</v>
      </c>
      <c r="J71" s="17"/>
      <c r="K71" s="22" t="s">
        <v>1718</v>
      </c>
      <c r="L71" s="70" t="e">
        <f t="shared" si="15"/>
        <v>#VALUE!</v>
      </c>
      <c r="M71" s="21" t="e">
        <f t="shared" si="16"/>
        <v>#VALUE!</v>
      </c>
      <c r="N71" s="21" t="e">
        <f t="shared" si="17"/>
        <v>#VALUE!</v>
      </c>
      <c r="O71" s="17"/>
      <c r="P71" s="17"/>
      <c r="Q71" s="17"/>
      <c r="R71" s="17"/>
      <c r="S71" s="17"/>
      <c r="T71" s="17"/>
      <c r="U71" s="17"/>
      <c r="V71" s="17"/>
      <c r="W71" s="17"/>
      <c r="X71" s="17"/>
      <c r="Y71" s="17"/>
      <c r="Z71" s="17"/>
      <c r="AA71" s="17"/>
      <c r="AB71" s="17"/>
      <c r="AC71" s="17"/>
      <c r="AD71" s="17"/>
      <c r="AE71" s="17"/>
      <c r="AF71" s="17"/>
      <c r="AG71" s="17"/>
      <c r="AH71" s="40">
        <v>44637</v>
      </c>
      <c r="AI71" s="21" t="str">
        <f t="shared" si="18"/>
        <v>0Y8M19D</v>
      </c>
      <c r="AJ71" s="21" t="str">
        <f t="shared" si="19"/>
        <v>0Y6M20D</v>
      </c>
      <c r="AK71" s="21">
        <f t="shared" si="20"/>
        <v>0.55890410958904113</v>
      </c>
      <c r="AL71" s="17">
        <v>1</v>
      </c>
      <c r="AM71" s="17">
        <v>1</v>
      </c>
      <c r="AN71" s="17">
        <v>1</v>
      </c>
      <c r="AO71" s="17">
        <v>1</v>
      </c>
      <c r="AP71" s="17">
        <v>1</v>
      </c>
      <c r="AQ71" s="17"/>
      <c r="AR71" s="17" t="s">
        <v>1719</v>
      </c>
      <c r="AS71" s="40">
        <v>44637</v>
      </c>
      <c r="AT71" s="21" t="str">
        <f t="shared" si="21"/>
        <v>0Y8M19D</v>
      </c>
      <c r="AU71" s="21" t="str">
        <f t="shared" si="22"/>
        <v>0Y6M20D</v>
      </c>
      <c r="AV71" s="21">
        <f t="shared" si="23"/>
        <v>0.55890410958904113</v>
      </c>
      <c r="AW71" s="17">
        <v>3</v>
      </c>
      <c r="AX71" s="17"/>
      <c r="AY71" s="21" t="e">
        <f t="shared" si="24"/>
        <v>#NUM!</v>
      </c>
      <c r="AZ71" s="70" t="e">
        <f t="shared" si="25"/>
        <v>#NUM!</v>
      </c>
      <c r="BA71" s="70">
        <f t="shared" si="26"/>
        <v>-121.73424657534247</v>
      </c>
      <c r="BB71" s="17"/>
      <c r="BC71" s="17"/>
      <c r="BD71" s="21" t="e">
        <f t="shared" si="27"/>
        <v>#NUM!</v>
      </c>
      <c r="BE71" s="21" t="e">
        <f t="shared" si="28"/>
        <v>#NUM!</v>
      </c>
      <c r="BF71" s="21">
        <f t="shared" si="29"/>
        <v>-121.73424657534247</v>
      </c>
      <c r="BG71" s="17"/>
      <c r="BH71" s="17">
        <v>1</v>
      </c>
    </row>
    <row r="72" spans="1:60" ht="16">
      <c r="A72" s="2" t="s">
        <v>329</v>
      </c>
      <c r="B72" s="2">
        <v>22107452</v>
      </c>
      <c r="C72" s="2" t="s">
        <v>330</v>
      </c>
      <c r="D72" s="23">
        <v>44301</v>
      </c>
      <c r="E72" s="23">
        <v>44393</v>
      </c>
      <c r="F72" s="23">
        <v>44393</v>
      </c>
      <c r="G72" s="2" t="s">
        <v>165</v>
      </c>
      <c r="H72" s="55">
        <v>44546</v>
      </c>
      <c r="I72" s="55">
        <v>44758</v>
      </c>
      <c r="J72" s="23">
        <v>44631</v>
      </c>
      <c r="K72" s="23">
        <v>44631</v>
      </c>
      <c r="L72" s="3" t="str">
        <f t="shared" si="15"/>
        <v>0Y10M24D</v>
      </c>
      <c r="M72" s="3" t="str">
        <f t="shared" si="16"/>
        <v>0Y7M23D</v>
      </c>
      <c r="N72" s="3">
        <f t="shared" si="17"/>
        <v>0.65205479452054793</v>
      </c>
      <c r="O72" s="2">
        <v>2</v>
      </c>
      <c r="P72" s="2">
        <v>3</v>
      </c>
      <c r="Q72" s="2" t="s">
        <v>1697</v>
      </c>
      <c r="R72" s="2">
        <v>2</v>
      </c>
      <c r="S72" s="2">
        <v>1</v>
      </c>
      <c r="T72" s="2">
        <v>1</v>
      </c>
      <c r="U72" s="2" t="s">
        <v>1721</v>
      </c>
      <c r="V72" s="2" t="s">
        <v>1664</v>
      </c>
      <c r="W72" s="2">
        <v>1</v>
      </c>
      <c r="X72" s="2">
        <v>1</v>
      </c>
      <c r="Y72" s="2">
        <v>2</v>
      </c>
      <c r="Z72" s="2">
        <v>1</v>
      </c>
      <c r="AA72" s="2">
        <v>1</v>
      </c>
      <c r="AB72" s="2">
        <v>1</v>
      </c>
      <c r="AC72" s="2" t="s">
        <v>1711</v>
      </c>
      <c r="AD72" s="2">
        <v>1</v>
      </c>
      <c r="AE72" s="2">
        <v>1</v>
      </c>
      <c r="AF72" s="2">
        <v>1</v>
      </c>
      <c r="AG72" s="2">
        <v>1</v>
      </c>
      <c r="AH72" s="23">
        <v>44627</v>
      </c>
      <c r="AI72" s="3" t="str">
        <f t="shared" si="18"/>
        <v>0Y10M20D</v>
      </c>
      <c r="AJ72" s="3" t="str">
        <f t="shared" si="19"/>
        <v>0Y7M19D</v>
      </c>
      <c r="AK72" s="3">
        <f t="shared" si="20"/>
        <v>0.64109589041095894</v>
      </c>
      <c r="AL72" s="2">
        <v>1</v>
      </c>
      <c r="AM72" s="2">
        <v>1</v>
      </c>
      <c r="AN72" s="2">
        <v>1</v>
      </c>
      <c r="AO72" s="2">
        <v>1</v>
      </c>
      <c r="AP72" s="2">
        <v>2</v>
      </c>
      <c r="AQ72" s="2">
        <v>3</v>
      </c>
      <c r="AR72" s="2"/>
      <c r="AS72" s="23">
        <v>44626</v>
      </c>
      <c r="AT72" s="3" t="str">
        <f t="shared" si="21"/>
        <v>0Y10M19D</v>
      </c>
      <c r="AU72" s="3" t="str">
        <f t="shared" si="22"/>
        <v>0Y7M18D</v>
      </c>
      <c r="AV72" s="3">
        <f t="shared" si="23"/>
        <v>0.63835616438356169</v>
      </c>
      <c r="AW72" s="2">
        <v>3</v>
      </c>
      <c r="AX72" s="23">
        <v>44627</v>
      </c>
      <c r="AY72" s="3" t="str">
        <f t="shared" si="24"/>
        <v>0Y10M20D</v>
      </c>
      <c r="AZ72" s="3" t="str">
        <f t="shared" si="25"/>
        <v>0Y7M19D</v>
      </c>
      <c r="BA72" s="3">
        <f t="shared" si="26"/>
        <v>0.64109589041095894</v>
      </c>
      <c r="BB72" s="2">
        <v>3</v>
      </c>
      <c r="BC72" s="23">
        <v>44627</v>
      </c>
      <c r="BD72" s="3" t="str">
        <f t="shared" si="27"/>
        <v>0Y10M20D</v>
      </c>
      <c r="BE72" s="3" t="str">
        <f t="shared" si="28"/>
        <v>0Y7M19D</v>
      </c>
      <c r="BF72" s="3">
        <f t="shared" si="29"/>
        <v>0.64109589041095894</v>
      </c>
      <c r="BG72" s="2">
        <v>1</v>
      </c>
      <c r="BH72" s="2">
        <v>1</v>
      </c>
    </row>
    <row r="73" spans="1:60" ht="16">
      <c r="A73" s="2" t="s">
        <v>333</v>
      </c>
      <c r="B73" s="2">
        <v>22105672</v>
      </c>
      <c r="C73" s="2" t="s">
        <v>334</v>
      </c>
      <c r="D73" s="23">
        <v>44131</v>
      </c>
      <c r="E73" s="23">
        <v>44215</v>
      </c>
      <c r="F73" s="23">
        <v>44215</v>
      </c>
      <c r="G73" s="2">
        <v>28</v>
      </c>
      <c r="H73" s="55">
        <v>44366</v>
      </c>
      <c r="I73" s="55">
        <v>44580</v>
      </c>
      <c r="J73" s="23">
        <v>44498</v>
      </c>
      <c r="K73" s="23">
        <v>44498</v>
      </c>
      <c r="L73" s="3" t="str">
        <f t="shared" si="15"/>
        <v>1Y0M2D</v>
      </c>
      <c r="M73" s="3" t="str">
        <f t="shared" si="16"/>
        <v>0Y9M10D</v>
      </c>
      <c r="N73" s="3">
        <f t="shared" si="17"/>
        <v>0.77534246575342469</v>
      </c>
      <c r="O73" s="2">
        <v>2</v>
      </c>
      <c r="P73" s="2">
        <v>4</v>
      </c>
      <c r="Q73" s="2"/>
      <c r="R73" s="2">
        <v>2</v>
      </c>
      <c r="S73" s="2">
        <v>1</v>
      </c>
      <c r="T73" s="2">
        <v>1</v>
      </c>
      <c r="U73" s="2" t="s">
        <v>1684</v>
      </c>
      <c r="V73" s="2" t="s">
        <v>1664</v>
      </c>
      <c r="W73" s="2">
        <v>1</v>
      </c>
      <c r="X73" s="2">
        <v>1</v>
      </c>
      <c r="Y73" s="2">
        <v>1</v>
      </c>
      <c r="Z73" s="2">
        <v>1</v>
      </c>
      <c r="AA73" s="2">
        <v>1</v>
      </c>
      <c r="AB73" s="2">
        <v>1</v>
      </c>
      <c r="AC73" s="2" t="s">
        <v>1709</v>
      </c>
      <c r="AD73" s="2">
        <v>1</v>
      </c>
      <c r="AE73" s="2">
        <v>1</v>
      </c>
      <c r="AF73" s="2">
        <v>1</v>
      </c>
      <c r="AG73" s="2">
        <v>1</v>
      </c>
      <c r="AH73" s="23">
        <v>44498</v>
      </c>
      <c r="AI73" s="3" t="str">
        <f t="shared" si="18"/>
        <v>1Y0M2D</v>
      </c>
      <c r="AJ73" s="3" t="str">
        <f t="shared" si="19"/>
        <v>0Y9M10D</v>
      </c>
      <c r="AK73" s="3">
        <f t="shared" si="20"/>
        <v>0.77534246575342469</v>
      </c>
      <c r="AL73" s="2">
        <v>1</v>
      </c>
      <c r="AM73" s="2">
        <v>1</v>
      </c>
      <c r="AN73" s="2">
        <v>1</v>
      </c>
      <c r="AO73" s="2">
        <v>1</v>
      </c>
      <c r="AP73" s="2">
        <v>2</v>
      </c>
      <c r="AQ73" s="2">
        <v>2</v>
      </c>
      <c r="AR73" s="2" t="s">
        <v>1666</v>
      </c>
      <c r="AS73" s="23">
        <v>44496</v>
      </c>
      <c r="AT73" s="3" t="str">
        <f t="shared" si="21"/>
        <v>1Y0M0D</v>
      </c>
      <c r="AU73" s="3" t="str">
        <f t="shared" si="22"/>
        <v>0Y9M8D</v>
      </c>
      <c r="AV73" s="3">
        <f t="shared" si="23"/>
        <v>0.76986301369863008</v>
      </c>
      <c r="AW73" s="2">
        <v>3</v>
      </c>
      <c r="AX73" s="23">
        <v>44497</v>
      </c>
      <c r="AY73" s="3" t="str">
        <f t="shared" si="24"/>
        <v>1Y0M1D</v>
      </c>
      <c r="AZ73" s="3" t="str">
        <f t="shared" si="25"/>
        <v>0Y9M9D</v>
      </c>
      <c r="BA73" s="3">
        <f t="shared" si="26"/>
        <v>0.77260273972602744</v>
      </c>
      <c r="BB73" s="2"/>
      <c r="BC73" s="23">
        <v>44441</v>
      </c>
      <c r="BD73" s="3" t="str">
        <f t="shared" si="27"/>
        <v>0Y10M6D</v>
      </c>
      <c r="BE73" s="3" t="str">
        <f t="shared" si="28"/>
        <v>0Y7M14D</v>
      </c>
      <c r="BF73" s="3">
        <f t="shared" si="29"/>
        <v>0.61917808219178083</v>
      </c>
      <c r="BG73" s="2">
        <v>1</v>
      </c>
      <c r="BH73" s="2">
        <v>1</v>
      </c>
    </row>
    <row r="74" spans="1:60" s="127" customFormat="1" ht="16">
      <c r="A74" s="131" t="s">
        <v>337</v>
      </c>
      <c r="B74" s="131">
        <v>22108394</v>
      </c>
      <c r="C74" s="131" t="s">
        <v>338</v>
      </c>
      <c r="D74" s="132">
        <v>44398</v>
      </c>
      <c r="E74" s="132">
        <v>44461</v>
      </c>
      <c r="F74" s="132">
        <v>44461</v>
      </c>
      <c r="G74" s="131">
        <v>31</v>
      </c>
      <c r="H74" s="85">
        <v>44614</v>
      </c>
      <c r="I74" s="85">
        <v>44826</v>
      </c>
      <c r="J74" s="131"/>
      <c r="K74" s="131"/>
      <c r="L74" s="133" t="e">
        <f t="shared" si="15"/>
        <v>#NUM!</v>
      </c>
      <c r="M74" s="133" t="e">
        <f t="shared" si="16"/>
        <v>#NUM!</v>
      </c>
      <c r="N74" s="133">
        <f t="shared" si="17"/>
        <v>-121.81095890410958</v>
      </c>
      <c r="O74" s="20"/>
      <c r="P74" s="20"/>
      <c r="Q74" s="20"/>
      <c r="R74" s="20"/>
      <c r="S74" s="20"/>
      <c r="T74" s="20"/>
      <c r="U74" s="20"/>
      <c r="V74" s="20"/>
      <c r="W74" s="20"/>
      <c r="X74" s="20"/>
      <c r="Y74" s="20"/>
      <c r="Z74" s="20"/>
      <c r="AA74" s="20"/>
      <c r="AB74" s="20"/>
      <c r="AC74" s="20"/>
      <c r="AD74" s="20"/>
      <c r="AE74" s="20"/>
      <c r="AF74" s="20"/>
      <c r="AG74" s="20"/>
      <c r="AH74" s="131"/>
      <c r="AI74" s="133" t="e">
        <f t="shared" si="18"/>
        <v>#NUM!</v>
      </c>
      <c r="AJ74" s="133" t="e">
        <f t="shared" si="19"/>
        <v>#NUM!</v>
      </c>
      <c r="AK74" s="133">
        <f t="shared" si="20"/>
        <v>-121.81095890410958</v>
      </c>
      <c r="AL74" s="20"/>
      <c r="AM74" s="20"/>
      <c r="AN74" s="20"/>
      <c r="AO74" s="20"/>
      <c r="AP74" s="20"/>
      <c r="AQ74" s="20"/>
      <c r="AR74" s="20"/>
      <c r="AS74" s="131"/>
      <c r="AT74" s="133" t="e">
        <f t="shared" si="21"/>
        <v>#NUM!</v>
      </c>
      <c r="AU74" s="133" t="e">
        <f t="shared" si="22"/>
        <v>#NUM!</v>
      </c>
      <c r="AV74" s="133">
        <f t="shared" si="23"/>
        <v>-121.81095890410958</v>
      </c>
      <c r="AW74" s="20"/>
      <c r="AX74" s="131"/>
      <c r="AY74" s="133" t="e">
        <f t="shared" si="24"/>
        <v>#NUM!</v>
      </c>
      <c r="AZ74" s="133" t="e">
        <f t="shared" si="25"/>
        <v>#NUM!</v>
      </c>
      <c r="BA74" s="133">
        <f t="shared" si="26"/>
        <v>-121.81095890410958</v>
      </c>
      <c r="BB74" s="20"/>
      <c r="BC74" s="131"/>
      <c r="BD74" s="133" t="e">
        <f t="shared" si="27"/>
        <v>#NUM!</v>
      </c>
      <c r="BE74" s="133" t="e">
        <f t="shared" si="28"/>
        <v>#NUM!</v>
      </c>
      <c r="BF74" s="133">
        <f t="shared" si="29"/>
        <v>-121.81095890410958</v>
      </c>
      <c r="BG74" s="131"/>
      <c r="BH74" s="131">
        <v>1</v>
      </c>
    </row>
    <row r="75" spans="1:60" s="127" customFormat="1" ht="16">
      <c r="A75" s="131" t="s">
        <v>341</v>
      </c>
      <c r="B75" s="131">
        <v>22108395</v>
      </c>
      <c r="C75" s="131" t="s">
        <v>342</v>
      </c>
      <c r="D75" s="132">
        <v>44398</v>
      </c>
      <c r="E75" s="132">
        <v>44461</v>
      </c>
      <c r="F75" s="132">
        <v>44461</v>
      </c>
      <c r="G75" s="131">
        <v>31</v>
      </c>
      <c r="H75" s="85">
        <v>44614</v>
      </c>
      <c r="I75" s="85">
        <v>44826</v>
      </c>
      <c r="J75" s="131"/>
      <c r="K75" s="131"/>
      <c r="L75" s="133" t="e">
        <f t="shared" si="15"/>
        <v>#NUM!</v>
      </c>
      <c r="M75" s="133" t="e">
        <f t="shared" si="16"/>
        <v>#NUM!</v>
      </c>
      <c r="N75" s="133">
        <f t="shared" si="17"/>
        <v>-121.81095890410958</v>
      </c>
      <c r="O75" s="20"/>
      <c r="P75" s="20"/>
      <c r="Q75" s="20"/>
      <c r="R75" s="20"/>
      <c r="S75" s="20"/>
      <c r="T75" s="20"/>
      <c r="U75" s="20"/>
      <c r="V75" s="20"/>
      <c r="W75" s="20"/>
      <c r="X75" s="20"/>
      <c r="Y75" s="20"/>
      <c r="Z75" s="20"/>
      <c r="AA75" s="20"/>
      <c r="AB75" s="20"/>
      <c r="AC75" s="20"/>
      <c r="AD75" s="20"/>
      <c r="AE75" s="20"/>
      <c r="AF75" s="20"/>
      <c r="AG75" s="20"/>
      <c r="AH75" s="131"/>
      <c r="AI75" s="133" t="e">
        <f t="shared" si="18"/>
        <v>#NUM!</v>
      </c>
      <c r="AJ75" s="133" t="e">
        <f t="shared" si="19"/>
        <v>#NUM!</v>
      </c>
      <c r="AK75" s="133">
        <f t="shared" si="20"/>
        <v>-121.81095890410958</v>
      </c>
      <c r="AL75" s="20"/>
      <c r="AM75" s="20"/>
      <c r="AN75" s="20"/>
      <c r="AO75" s="20"/>
      <c r="AP75" s="20"/>
      <c r="AQ75" s="20"/>
      <c r="AR75" s="20"/>
      <c r="AS75" s="131"/>
      <c r="AT75" s="133" t="e">
        <f t="shared" si="21"/>
        <v>#NUM!</v>
      </c>
      <c r="AU75" s="133" t="e">
        <f t="shared" si="22"/>
        <v>#NUM!</v>
      </c>
      <c r="AV75" s="133">
        <f t="shared" si="23"/>
        <v>-121.81095890410958</v>
      </c>
      <c r="AW75" s="20"/>
      <c r="AX75" s="131"/>
      <c r="AY75" s="133" t="e">
        <f t="shared" si="24"/>
        <v>#NUM!</v>
      </c>
      <c r="AZ75" s="133" t="e">
        <f t="shared" si="25"/>
        <v>#NUM!</v>
      </c>
      <c r="BA75" s="133">
        <f t="shared" si="26"/>
        <v>-121.81095890410958</v>
      </c>
      <c r="BB75" s="20"/>
      <c r="BC75" s="131"/>
      <c r="BD75" s="133" t="e">
        <f t="shared" si="27"/>
        <v>#NUM!</v>
      </c>
      <c r="BE75" s="133" t="e">
        <f t="shared" si="28"/>
        <v>#NUM!</v>
      </c>
      <c r="BF75" s="133">
        <f t="shared" si="29"/>
        <v>-121.81095890410958</v>
      </c>
      <c r="BG75" s="131"/>
      <c r="BH75" s="131">
        <v>1</v>
      </c>
    </row>
    <row r="76" spans="1:60" s="114" customFormat="1" ht="16">
      <c r="A76" s="16" t="s">
        <v>344</v>
      </c>
      <c r="B76" s="16">
        <v>21929897</v>
      </c>
      <c r="C76" s="16" t="s">
        <v>345</v>
      </c>
      <c r="D76" s="77">
        <v>43598</v>
      </c>
      <c r="E76" s="77">
        <v>43687</v>
      </c>
      <c r="F76" s="77">
        <v>43687</v>
      </c>
      <c r="G76" s="16" t="s">
        <v>347</v>
      </c>
      <c r="H76" s="78">
        <v>43840</v>
      </c>
      <c r="I76" s="78">
        <v>44053</v>
      </c>
      <c r="J76" s="16"/>
      <c r="K76" s="16"/>
      <c r="L76" s="68" t="e">
        <f t="shared" si="15"/>
        <v>#NUM!</v>
      </c>
      <c r="M76" s="68" t="e">
        <f t="shared" si="16"/>
        <v>#NUM!</v>
      </c>
      <c r="N76" s="68">
        <f t="shared" si="17"/>
        <v>-119.69041095890411</v>
      </c>
      <c r="O76" s="16"/>
      <c r="P76" s="16"/>
      <c r="Q76" s="16"/>
      <c r="R76" s="16"/>
      <c r="S76" s="16"/>
      <c r="T76" s="16"/>
      <c r="U76" s="16"/>
      <c r="V76" s="16"/>
      <c r="W76" s="16"/>
      <c r="X76" s="16"/>
      <c r="Y76" s="16"/>
      <c r="Z76" s="16"/>
      <c r="AA76" s="16"/>
      <c r="AB76" s="16"/>
      <c r="AC76" s="16"/>
      <c r="AD76" s="16"/>
      <c r="AE76" s="16"/>
      <c r="AF76" s="16"/>
      <c r="AG76" s="16"/>
      <c r="AH76" s="16"/>
      <c r="AI76" s="68" t="e">
        <f t="shared" si="18"/>
        <v>#NUM!</v>
      </c>
      <c r="AJ76" s="68" t="e">
        <f t="shared" si="19"/>
        <v>#NUM!</v>
      </c>
      <c r="AK76" s="68">
        <f t="shared" si="20"/>
        <v>-119.69041095890411</v>
      </c>
      <c r="AL76" s="16"/>
      <c r="AM76" s="16"/>
      <c r="AN76" s="16"/>
      <c r="AO76" s="16"/>
      <c r="AP76" s="16"/>
      <c r="AQ76" s="16"/>
      <c r="AR76" s="16"/>
      <c r="AS76" s="16"/>
      <c r="AT76" s="68" t="e">
        <f t="shared" si="21"/>
        <v>#NUM!</v>
      </c>
      <c r="AU76" s="68" t="e">
        <f t="shared" si="22"/>
        <v>#NUM!</v>
      </c>
      <c r="AV76" s="68">
        <f t="shared" si="23"/>
        <v>-119.69041095890411</v>
      </c>
      <c r="AW76" s="16"/>
      <c r="AX76" s="16"/>
      <c r="AY76" s="68" t="e">
        <f t="shared" si="24"/>
        <v>#NUM!</v>
      </c>
      <c r="AZ76" s="68" t="e">
        <f t="shared" si="25"/>
        <v>#NUM!</v>
      </c>
      <c r="BA76" s="68">
        <f t="shared" si="26"/>
        <v>-119.69041095890411</v>
      </c>
      <c r="BB76" s="16"/>
      <c r="BC76" s="16"/>
      <c r="BD76" s="68" t="e">
        <f t="shared" si="27"/>
        <v>#NUM!</v>
      </c>
      <c r="BE76" s="68" t="e">
        <f t="shared" si="28"/>
        <v>#NUM!</v>
      </c>
      <c r="BF76" s="68">
        <f t="shared" si="29"/>
        <v>-119.69041095890411</v>
      </c>
      <c r="BG76" s="16"/>
      <c r="BH76" s="16"/>
    </row>
    <row r="77" spans="1:60" s="114" customFormat="1" ht="16">
      <c r="A77" s="16" t="s">
        <v>349</v>
      </c>
      <c r="B77" s="16">
        <v>22102403</v>
      </c>
      <c r="C77" s="16" t="s">
        <v>350</v>
      </c>
      <c r="D77" s="77">
        <v>43811</v>
      </c>
      <c r="E77" s="77">
        <v>43880</v>
      </c>
      <c r="F77" s="77">
        <v>43880</v>
      </c>
      <c r="G77" s="16" t="s">
        <v>100</v>
      </c>
      <c r="H77" s="78">
        <v>44031</v>
      </c>
      <c r="I77" s="78">
        <v>44246</v>
      </c>
      <c r="J77" s="16"/>
      <c r="K77" s="16"/>
      <c r="L77" s="68" t="e">
        <f t="shared" si="15"/>
        <v>#NUM!</v>
      </c>
      <c r="M77" s="68" t="e">
        <f t="shared" si="16"/>
        <v>#NUM!</v>
      </c>
      <c r="N77" s="68">
        <f t="shared" si="17"/>
        <v>-120.21917808219177</v>
      </c>
      <c r="O77" s="16"/>
      <c r="P77" s="16"/>
      <c r="Q77" s="16"/>
      <c r="R77" s="16"/>
      <c r="S77" s="16"/>
      <c r="T77" s="16"/>
      <c r="U77" s="16"/>
      <c r="V77" s="16"/>
      <c r="W77" s="16"/>
      <c r="X77" s="16"/>
      <c r="Y77" s="16"/>
      <c r="Z77" s="16"/>
      <c r="AA77" s="16"/>
      <c r="AB77" s="16"/>
      <c r="AC77" s="16"/>
      <c r="AD77" s="16"/>
      <c r="AE77" s="16"/>
      <c r="AF77" s="16"/>
      <c r="AG77" s="16"/>
      <c r="AH77" s="16"/>
      <c r="AI77" s="68" t="e">
        <f t="shared" si="18"/>
        <v>#NUM!</v>
      </c>
      <c r="AJ77" s="68" t="e">
        <f t="shared" si="19"/>
        <v>#NUM!</v>
      </c>
      <c r="AK77" s="68">
        <f t="shared" si="20"/>
        <v>-120.21917808219177</v>
      </c>
      <c r="AL77" s="16"/>
      <c r="AM77" s="16"/>
      <c r="AN77" s="16"/>
      <c r="AO77" s="16"/>
      <c r="AP77" s="16"/>
      <c r="AQ77" s="16"/>
      <c r="AR77" s="16"/>
      <c r="AS77" s="16"/>
      <c r="AT77" s="68" t="e">
        <f t="shared" si="21"/>
        <v>#NUM!</v>
      </c>
      <c r="AU77" s="68" t="e">
        <f t="shared" si="22"/>
        <v>#NUM!</v>
      </c>
      <c r="AV77" s="68">
        <f t="shared" si="23"/>
        <v>-120.21917808219177</v>
      </c>
      <c r="AW77" s="16"/>
      <c r="AX77" s="16"/>
      <c r="AY77" s="68" t="e">
        <f t="shared" si="24"/>
        <v>#NUM!</v>
      </c>
      <c r="AZ77" s="68" t="e">
        <f t="shared" si="25"/>
        <v>#NUM!</v>
      </c>
      <c r="BA77" s="68">
        <f t="shared" si="26"/>
        <v>-120.21917808219177</v>
      </c>
      <c r="BB77" s="16"/>
      <c r="BC77" s="16"/>
      <c r="BD77" s="68" t="e">
        <f t="shared" si="27"/>
        <v>#NUM!</v>
      </c>
      <c r="BE77" s="68" t="e">
        <f t="shared" si="28"/>
        <v>#NUM!</v>
      </c>
      <c r="BF77" s="68">
        <f t="shared" si="29"/>
        <v>-120.21917808219177</v>
      </c>
      <c r="BG77" s="16"/>
      <c r="BH77" s="16"/>
    </row>
    <row r="78" spans="1:60" ht="16">
      <c r="A78" s="2" t="s">
        <v>353</v>
      </c>
      <c r="B78" s="2">
        <v>22107823</v>
      </c>
      <c r="C78" s="2" t="s">
        <v>354</v>
      </c>
      <c r="D78" s="23">
        <v>44339</v>
      </c>
      <c r="E78" s="23">
        <v>44404</v>
      </c>
      <c r="F78" s="23">
        <v>44404</v>
      </c>
      <c r="G78" s="2" t="s">
        <v>134</v>
      </c>
      <c r="H78" s="55">
        <v>44557</v>
      </c>
      <c r="I78" s="55">
        <v>44769</v>
      </c>
      <c r="J78" s="23">
        <v>44628</v>
      </c>
      <c r="K78" s="23">
        <v>44628</v>
      </c>
      <c r="L78" s="3" t="str">
        <f t="shared" si="15"/>
        <v>0Y9M13D</v>
      </c>
      <c r="M78" s="3" t="str">
        <f t="shared" si="16"/>
        <v>0Y7M9D</v>
      </c>
      <c r="N78" s="3">
        <f t="shared" si="17"/>
        <v>0.61369863013698633</v>
      </c>
      <c r="O78" s="2">
        <v>2</v>
      </c>
      <c r="P78" s="2">
        <v>2</v>
      </c>
      <c r="Q78" s="2" t="s">
        <v>1684</v>
      </c>
      <c r="R78" s="2">
        <v>2</v>
      </c>
      <c r="S78" s="2">
        <v>1</v>
      </c>
      <c r="T78" s="2">
        <v>1</v>
      </c>
      <c r="U78" s="2" t="s">
        <v>1665</v>
      </c>
      <c r="V78" s="2" t="s">
        <v>1661</v>
      </c>
      <c r="W78" s="2">
        <v>1</v>
      </c>
      <c r="X78" s="2">
        <v>1</v>
      </c>
      <c r="Y78" s="2">
        <v>2</v>
      </c>
      <c r="Z78" s="2">
        <v>1</v>
      </c>
      <c r="AA78" s="2">
        <v>1</v>
      </c>
      <c r="AB78" s="2"/>
      <c r="AC78" s="2" t="s">
        <v>1723</v>
      </c>
      <c r="AD78" s="2">
        <v>1</v>
      </c>
      <c r="AE78" s="2">
        <v>1</v>
      </c>
      <c r="AF78" s="2">
        <v>1</v>
      </c>
      <c r="AG78" s="2">
        <v>1</v>
      </c>
      <c r="AH78" s="23">
        <v>44628</v>
      </c>
      <c r="AI78" s="3" t="str">
        <f t="shared" si="18"/>
        <v>0Y9M13D</v>
      </c>
      <c r="AJ78" s="3" t="str">
        <f t="shared" si="19"/>
        <v>0Y7M9D</v>
      </c>
      <c r="AK78" s="3">
        <f t="shared" si="20"/>
        <v>0.61369863013698633</v>
      </c>
      <c r="AL78" s="2">
        <v>1</v>
      </c>
      <c r="AM78" s="2">
        <v>1</v>
      </c>
      <c r="AN78" s="2">
        <v>1</v>
      </c>
      <c r="AO78" s="2">
        <v>1</v>
      </c>
      <c r="AP78" s="2">
        <v>2</v>
      </c>
      <c r="AQ78" s="2">
        <v>3</v>
      </c>
      <c r="AR78" s="2"/>
      <c r="AS78" s="23">
        <v>44627</v>
      </c>
      <c r="AT78" s="3" t="str">
        <f t="shared" si="21"/>
        <v>0Y9M12D</v>
      </c>
      <c r="AU78" s="3" t="str">
        <f t="shared" si="22"/>
        <v>0Y7M8D</v>
      </c>
      <c r="AV78" s="3">
        <f t="shared" si="23"/>
        <v>0.61095890410958908</v>
      </c>
      <c r="AW78" s="2">
        <v>3</v>
      </c>
      <c r="AX78" s="2"/>
      <c r="AY78" s="3" t="e">
        <f t="shared" si="24"/>
        <v>#NUM!</v>
      </c>
      <c r="AZ78" s="3" t="e">
        <f t="shared" si="25"/>
        <v>#NUM!</v>
      </c>
      <c r="BA78" s="3">
        <f t="shared" si="26"/>
        <v>-121.65479452054795</v>
      </c>
      <c r="BB78" s="2"/>
      <c r="BC78" s="23">
        <v>44628</v>
      </c>
      <c r="BD78" s="3" t="str">
        <f t="shared" si="27"/>
        <v>0Y9M13D</v>
      </c>
      <c r="BE78" s="3" t="str">
        <f t="shared" si="28"/>
        <v>0Y7M9D</v>
      </c>
      <c r="BF78" s="3">
        <f t="shared" si="29"/>
        <v>0.61369863013698633</v>
      </c>
      <c r="BG78" s="2">
        <v>1</v>
      </c>
      <c r="BH78" s="2">
        <v>1</v>
      </c>
    </row>
    <row r="79" spans="1:60" ht="16">
      <c r="A79" s="2" t="s">
        <v>357</v>
      </c>
      <c r="B79" s="2">
        <v>4998396</v>
      </c>
      <c r="C79" s="2" t="s">
        <v>358</v>
      </c>
      <c r="D79" s="23">
        <v>44263</v>
      </c>
      <c r="E79" s="23">
        <v>44271</v>
      </c>
      <c r="F79" s="23">
        <v>44263</v>
      </c>
      <c r="G79" s="2" t="s">
        <v>90</v>
      </c>
      <c r="H79" s="55">
        <v>44424</v>
      </c>
      <c r="I79" s="55">
        <v>44636</v>
      </c>
      <c r="J79" s="23">
        <v>44462</v>
      </c>
      <c r="K79" s="23">
        <v>44462</v>
      </c>
      <c r="L79" s="3" t="str">
        <f t="shared" si="15"/>
        <v>0Y6M15D</v>
      </c>
      <c r="M79" s="3" t="str">
        <f t="shared" si="16"/>
        <v>0Y6M7D</v>
      </c>
      <c r="N79" s="3">
        <f t="shared" si="17"/>
        <v>0.54520547945205478</v>
      </c>
      <c r="O79" s="2">
        <v>2</v>
      </c>
      <c r="P79" s="2">
        <v>4</v>
      </c>
      <c r="Q79" s="2"/>
      <c r="R79" s="2">
        <v>2</v>
      </c>
      <c r="S79" s="2">
        <v>1</v>
      </c>
      <c r="T79" s="2">
        <v>1</v>
      </c>
      <c r="U79" s="2" t="s">
        <v>1673</v>
      </c>
      <c r="V79" s="2" t="s">
        <v>1664</v>
      </c>
      <c r="W79" s="2">
        <v>1</v>
      </c>
      <c r="X79" s="2">
        <v>1</v>
      </c>
      <c r="Y79" s="2">
        <v>1</v>
      </c>
      <c r="Z79" s="2">
        <v>1</v>
      </c>
      <c r="AA79" s="2">
        <v>1</v>
      </c>
      <c r="AB79" s="2">
        <v>1</v>
      </c>
      <c r="AC79" s="2" t="s">
        <v>1663</v>
      </c>
      <c r="AD79" s="2">
        <v>1</v>
      </c>
      <c r="AE79" s="2">
        <v>1</v>
      </c>
      <c r="AF79" s="2">
        <v>1</v>
      </c>
      <c r="AG79" s="2">
        <v>1</v>
      </c>
      <c r="AH79" s="23">
        <v>44484</v>
      </c>
      <c r="AI79" s="3" t="str">
        <f t="shared" si="18"/>
        <v>0Y7M7D</v>
      </c>
      <c r="AJ79" s="3" t="str">
        <f t="shared" si="19"/>
        <v>0Y6M29D</v>
      </c>
      <c r="AK79" s="3">
        <f t="shared" si="20"/>
        <v>0.60547945205479448</v>
      </c>
      <c r="AL79" s="2">
        <v>1</v>
      </c>
      <c r="AM79" s="2">
        <v>1</v>
      </c>
      <c r="AN79" s="2">
        <v>1</v>
      </c>
      <c r="AO79" s="2">
        <v>1</v>
      </c>
      <c r="AP79" s="2">
        <v>2</v>
      </c>
      <c r="AQ79" s="2">
        <v>1</v>
      </c>
      <c r="AR79" s="2" t="s">
        <v>1683</v>
      </c>
      <c r="AS79" s="23">
        <v>44464</v>
      </c>
      <c r="AT79" s="3" t="str">
        <f t="shared" si="21"/>
        <v>0Y6M17D</v>
      </c>
      <c r="AU79" s="3" t="str">
        <f t="shared" si="22"/>
        <v>0Y6M9D</v>
      </c>
      <c r="AV79" s="3">
        <f t="shared" si="23"/>
        <v>0.55068493150684927</v>
      </c>
      <c r="AW79" s="2">
        <v>3</v>
      </c>
      <c r="AX79" s="23">
        <v>44465</v>
      </c>
      <c r="AY79" s="3" t="str">
        <f t="shared" si="24"/>
        <v>0Y6M18D</v>
      </c>
      <c r="AZ79" s="3" t="str">
        <f t="shared" si="25"/>
        <v>0Y6M10D</v>
      </c>
      <c r="BA79" s="3">
        <f t="shared" si="26"/>
        <v>0.55342465753424652</v>
      </c>
      <c r="BB79" s="2">
        <v>3</v>
      </c>
      <c r="BC79" s="23">
        <v>44462</v>
      </c>
      <c r="BD79" s="3" t="str">
        <f t="shared" si="27"/>
        <v>0Y6M15D</v>
      </c>
      <c r="BE79" s="3" t="str">
        <f t="shared" si="28"/>
        <v>0Y6M7D</v>
      </c>
      <c r="BF79" s="3">
        <f t="shared" si="29"/>
        <v>0.54520547945205478</v>
      </c>
      <c r="BG79" s="2">
        <v>1</v>
      </c>
      <c r="BH79" s="2">
        <v>0</v>
      </c>
    </row>
    <row r="80" spans="1:60" ht="16">
      <c r="A80" s="2" t="s">
        <v>359</v>
      </c>
      <c r="B80" s="2">
        <v>22270695</v>
      </c>
      <c r="C80" s="2" t="s">
        <v>360</v>
      </c>
      <c r="D80" s="23">
        <v>44227</v>
      </c>
      <c r="E80" s="23">
        <v>44324</v>
      </c>
      <c r="F80" s="23">
        <v>44324</v>
      </c>
      <c r="G80" s="2">
        <v>26</v>
      </c>
      <c r="H80" s="55">
        <v>44477</v>
      </c>
      <c r="I80" s="55">
        <v>44689</v>
      </c>
      <c r="J80" s="23">
        <v>44508</v>
      </c>
      <c r="K80" s="23">
        <v>44508</v>
      </c>
      <c r="L80" s="3" t="str">
        <f t="shared" si="15"/>
        <v>0Y9M8D</v>
      </c>
      <c r="M80" s="3" t="str">
        <f t="shared" si="16"/>
        <v>0Y6M0D</v>
      </c>
      <c r="N80" s="3">
        <f t="shared" si="17"/>
        <v>0.50410958904109593</v>
      </c>
      <c r="O80" s="2">
        <v>2</v>
      </c>
      <c r="P80" s="2">
        <v>2</v>
      </c>
      <c r="Q80" s="2" t="s">
        <v>1684</v>
      </c>
      <c r="R80" s="2">
        <v>2</v>
      </c>
      <c r="S80" s="2">
        <v>1</v>
      </c>
      <c r="T80" s="2"/>
      <c r="U80" s="2" t="s">
        <v>1710</v>
      </c>
      <c r="V80" s="2" t="s">
        <v>1695</v>
      </c>
      <c r="W80" s="2">
        <v>1</v>
      </c>
      <c r="X80" s="2">
        <v>1</v>
      </c>
      <c r="Y80" s="2">
        <v>1</v>
      </c>
      <c r="Z80" s="2">
        <v>1</v>
      </c>
      <c r="AA80" s="2">
        <v>1</v>
      </c>
      <c r="AB80" s="2"/>
      <c r="AC80" s="2" t="s">
        <v>1666</v>
      </c>
      <c r="AD80" s="2">
        <v>1</v>
      </c>
      <c r="AE80" s="2">
        <v>1</v>
      </c>
      <c r="AF80" s="2">
        <v>1</v>
      </c>
      <c r="AG80" s="2">
        <v>1</v>
      </c>
      <c r="AH80" s="23">
        <v>44498</v>
      </c>
      <c r="AI80" s="3" t="str">
        <f t="shared" si="18"/>
        <v>0Y8M28D</v>
      </c>
      <c r="AJ80" s="3" t="str">
        <f t="shared" si="19"/>
        <v>0Y5M21D</v>
      </c>
      <c r="AK80" s="3">
        <f t="shared" si="20"/>
        <v>0.47671232876712327</v>
      </c>
      <c r="AL80" s="2">
        <v>1</v>
      </c>
      <c r="AM80" s="2">
        <v>1</v>
      </c>
      <c r="AN80" s="2">
        <v>1</v>
      </c>
      <c r="AO80" s="2">
        <v>1</v>
      </c>
      <c r="AP80" s="2">
        <v>2</v>
      </c>
      <c r="AQ80" s="2">
        <v>3</v>
      </c>
      <c r="AR80" s="2"/>
      <c r="AS80" s="23">
        <v>44497</v>
      </c>
      <c r="AT80" s="3" t="str">
        <f t="shared" si="21"/>
        <v>0Y8M27D</v>
      </c>
      <c r="AU80" s="3" t="str">
        <f t="shared" si="22"/>
        <v>0Y5M20D</v>
      </c>
      <c r="AV80" s="3">
        <f t="shared" si="23"/>
        <v>0.47397260273972602</v>
      </c>
      <c r="AW80" s="2">
        <v>3</v>
      </c>
      <c r="AX80" s="23">
        <v>44497</v>
      </c>
      <c r="AY80" s="3" t="str">
        <f t="shared" si="24"/>
        <v>0Y8M27D</v>
      </c>
      <c r="AZ80" s="3" t="str">
        <f t="shared" si="25"/>
        <v>0Y5M20D</v>
      </c>
      <c r="BA80" s="3">
        <f t="shared" si="26"/>
        <v>0.47397260273972602</v>
      </c>
      <c r="BB80" s="2">
        <v>3</v>
      </c>
      <c r="BC80" s="23">
        <v>44508</v>
      </c>
      <c r="BD80" s="3" t="str">
        <f t="shared" si="27"/>
        <v>0Y9M8D</v>
      </c>
      <c r="BE80" s="3" t="str">
        <f t="shared" si="28"/>
        <v>0Y6M0D</v>
      </c>
      <c r="BF80" s="3">
        <f t="shared" si="29"/>
        <v>0.50410958904109593</v>
      </c>
      <c r="BG80" s="2">
        <v>1</v>
      </c>
      <c r="BH80" s="2">
        <v>1</v>
      </c>
    </row>
    <row r="81" spans="1:60" ht="16">
      <c r="A81" s="2" t="s">
        <v>363</v>
      </c>
      <c r="B81" s="2">
        <v>22107485</v>
      </c>
      <c r="C81" s="2" t="s">
        <v>364</v>
      </c>
      <c r="D81" s="23">
        <v>44304</v>
      </c>
      <c r="E81" s="23">
        <v>44368</v>
      </c>
      <c r="F81" s="23">
        <v>44368</v>
      </c>
      <c r="G81" s="2" t="s">
        <v>242</v>
      </c>
      <c r="H81" s="55">
        <v>44521</v>
      </c>
      <c r="I81" s="55">
        <v>44733</v>
      </c>
      <c r="J81" s="23">
        <v>44545</v>
      </c>
      <c r="K81" s="23">
        <v>44545</v>
      </c>
      <c r="L81" s="3" t="str">
        <f t="shared" si="15"/>
        <v>0Y7M27D</v>
      </c>
      <c r="M81" s="3" t="str">
        <f t="shared" si="16"/>
        <v>0Y5M24D</v>
      </c>
      <c r="N81" s="3">
        <f t="shared" si="17"/>
        <v>0.48493150684931507</v>
      </c>
      <c r="O81" s="2">
        <v>2</v>
      </c>
      <c r="P81" s="2">
        <v>3</v>
      </c>
      <c r="Q81" s="2" t="s">
        <v>1698</v>
      </c>
      <c r="R81" s="2">
        <v>2</v>
      </c>
      <c r="S81" s="2">
        <v>1</v>
      </c>
      <c r="T81" s="2">
        <v>1</v>
      </c>
      <c r="U81" s="2" t="s">
        <v>1724</v>
      </c>
      <c r="V81" s="2" t="s">
        <v>1664</v>
      </c>
      <c r="W81" s="2">
        <v>1</v>
      </c>
      <c r="X81" s="2">
        <v>1</v>
      </c>
      <c r="Y81" s="2">
        <v>1</v>
      </c>
      <c r="Z81" s="2">
        <v>1</v>
      </c>
      <c r="AA81" s="2">
        <v>1</v>
      </c>
      <c r="AB81" s="2">
        <v>1</v>
      </c>
      <c r="AC81" s="2" t="s">
        <v>1689</v>
      </c>
      <c r="AD81" s="2">
        <v>1</v>
      </c>
      <c r="AE81" s="2">
        <v>1</v>
      </c>
      <c r="AF81" s="2">
        <v>1</v>
      </c>
      <c r="AG81" s="2">
        <v>1</v>
      </c>
      <c r="AH81" s="23">
        <v>44545</v>
      </c>
      <c r="AI81" s="3" t="str">
        <f t="shared" si="18"/>
        <v>0Y7M27D</v>
      </c>
      <c r="AJ81" s="3" t="str">
        <f t="shared" si="19"/>
        <v>0Y5M24D</v>
      </c>
      <c r="AK81" s="3">
        <f t="shared" si="20"/>
        <v>0.48493150684931507</v>
      </c>
      <c r="AL81" s="2">
        <v>1</v>
      </c>
      <c r="AM81" s="2">
        <v>1</v>
      </c>
      <c r="AN81" s="2">
        <v>1</v>
      </c>
      <c r="AO81" s="2">
        <v>1</v>
      </c>
      <c r="AP81" s="2">
        <v>2</v>
      </c>
      <c r="AQ81" s="2">
        <v>3</v>
      </c>
      <c r="AR81" s="2"/>
      <c r="AS81" s="23">
        <v>44541</v>
      </c>
      <c r="AT81" s="3" t="str">
        <f t="shared" si="21"/>
        <v>0Y7M23D</v>
      </c>
      <c r="AU81" s="3" t="str">
        <f t="shared" si="22"/>
        <v>0Y5M20D</v>
      </c>
      <c r="AV81" s="3">
        <f t="shared" si="23"/>
        <v>0.47397260273972602</v>
      </c>
      <c r="AW81" s="2">
        <v>3</v>
      </c>
      <c r="AX81" s="2"/>
      <c r="AY81" s="3" t="e">
        <f t="shared" si="24"/>
        <v>#NUM!</v>
      </c>
      <c r="AZ81" s="3" t="e">
        <f t="shared" si="25"/>
        <v>#NUM!</v>
      </c>
      <c r="BA81" s="3">
        <f t="shared" si="26"/>
        <v>-121.55616438356165</v>
      </c>
      <c r="BB81" s="2"/>
      <c r="BC81" s="23">
        <v>44545</v>
      </c>
      <c r="BD81" s="3" t="str">
        <f t="shared" si="27"/>
        <v>0Y7M27D</v>
      </c>
      <c r="BE81" s="3" t="str">
        <f t="shared" si="28"/>
        <v>0Y5M24D</v>
      </c>
      <c r="BF81" s="3">
        <f t="shared" si="29"/>
        <v>0.48493150684931507</v>
      </c>
      <c r="BG81" s="2">
        <v>1</v>
      </c>
      <c r="BH81" s="2">
        <v>1</v>
      </c>
    </row>
    <row r="82" spans="1:60" ht="16">
      <c r="A82" s="2" t="s">
        <v>367</v>
      </c>
      <c r="B82" s="2">
        <v>22107486</v>
      </c>
      <c r="C82" s="2" t="s">
        <v>368</v>
      </c>
      <c r="D82" s="23">
        <v>44304</v>
      </c>
      <c r="E82" s="23">
        <v>44368</v>
      </c>
      <c r="F82" s="23">
        <v>44368</v>
      </c>
      <c r="G82" s="2" t="s">
        <v>242</v>
      </c>
      <c r="H82" s="55">
        <v>44521</v>
      </c>
      <c r="I82" s="55">
        <v>44733</v>
      </c>
      <c r="J82" s="23">
        <v>44545</v>
      </c>
      <c r="K82" s="23">
        <v>44545</v>
      </c>
      <c r="L82" s="3" t="str">
        <f t="shared" si="15"/>
        <v>0Y7M27D</v>
      </c>
      <c r="M82" s="3" t="str">
        <f t="shared" si="16"/>
        <v>0Y5M24D</v>
      </c>
      <c r="N82" s="3">
        <f t="shared" si="17"/>
        <v>0.48493150684931507</v>
      </c>
      <c r="O82" s="2">
        <v>2</v>
      </c>
      <c r="P82" s="2">
        <v>1</v>
      </c>
      <c r="Q82" s="2" t="s">
        <v>1709</v>
      </c>
      <c r="R82" s="2">
        <v>2</v>
      </c>
      <c r="S82" s="2">
        <v>1</v>
      </c>
      <c r="T82" s="2"/>
      <c r="U82" s="2" t="s">
        <v>1677</v>
      </c>
      <c r="V82" s="2" t="s">
        <v>1661</v>
      </c>
      <c r="W82" s="2">
        <v>1</v>
      </c>
      <c r="X82" s="2">
        <v>1</v>
      </c>
      <c r="Y82" s="2">
        <v>1</v>
      </c>
      <c r="Z82" s="2">
        <v>1</v>
      </c>
      <c r="AA82" s="2">
        <v>1</v>
      </c>
      <c r="AB82" s="2"/>
      <c r="AC82" s="2" t="s">
        <v>1701</v>
      </c>
      <c r="AD82" s="2">
        <v>1</v>
      </c>
      <c r="AE82" s="2">
        <v>1</v>
      </c>
      <c r="AF82" s="2">
        <v>1</v>
      </c>
      <c r="AG82" s="2">
        <v>1</v>
      </c>
      <c r="AH82" s="23">
        <v>44545</v>
      </c>
      <c r="AI82" s="3" t="str">
        <f t="shared" si="18"/>
        <v>0Y7M27D</v>
      </c>
      <c r="AJ82" s="3" t="str">
        <f t="shared" si="19"/>
        <v>0Y5M24D</v>
      </c>
      <c r="AK82" s="3">
        <f t="shared" si="20"/>
        <v>0.48493150684931507</v>
      </c>
      <c r="AL82" s="2">
        <v>1</v>
      </c>
      <c r="AM82" s="2">
        <v>1</v>
      </c>
      <c r="AN82" s="2">
        <v>1</v>
      </c>
      <c r="AO82" s="2">
        <v>1</v>
      </c>
      <c r="AP82" s="2">
        <v>2</v>
      </c>
      <c r="AQ82" s="2">
        <v>3</v>
      </c>
      <c r="AR82" s="2"/>
      <c r="AS82" s="23">
        <v>44540</v>
      </c>
      <c r="AT82" s="3" t="str">
        <f t="shared" si="21"/>
        <v>0Y7M22D</v>
      </c>
      <c r="AU82" s="3" t="str">
        <f t="shared" si="22"/>
        <v>0Y5M19D</v>
      </c>
      <c r="AV82" s="3">
        <f t="shared" si="23"/>
        <v>0.47123287671232877</v>
      </c>
      <c r="AW82" s="2">
        <v>3</v>
      </c>
      <c r="AX82" s="2"/>
      <c r="AY82" s="3" t="e">
        <f t="shared" si="24"/>
        <v>#NUM!</v>
      </c>
      <c r="AZ82" s="3" t="e">
        <f t="shared" si="25"/>
        <v>#NUM!</v>
      </c>
      <c r="BA82" s="3">
        <f t="shared" si="26"/>
        <v>-121.55616438356165</v>
      </c>
      <c r="BB82" s="2"/>
      <c r="BC82" s="23">
        <v>44545</v>
      </c>
      <c r="BD82" s="3" t="str">
        <f t="shared" si="27"/>
        <v>0Y7M27D</v>
      </c>
      <c r="BE82" s="3" t="str">
        <f t="shared" si="28"/>
        <v>0Y5M24D</v>
      </c>
      <c r="BF82" s="3">
        <f t="shared" si="29"/>
        <v>0.48493150684931507</v>
      </c>
      <c r="BG82" s="2">
        <v>1</v>
      </c>
      <c r="BH82" s="2">
        <v>1</v>
      </c>
    </row>
    <row r="83" spans="1:60" ht="16">
      <c r="A83" s="2" t="s">
        <v>370</v>
      </c>
      <c r="B83" s="2">
        <v>22108150</v>
      </c>
      <c r="C83" s="2" t="s">
        <v>371</v>
      </c>
      <c r="D83" s="23">
        <v>44374</v>
      </c>
      <c r="E83" s="23">
        <v>44436</v>
      </c>
      <c r="F83" s="23">
        <v>44436</v>
      </c>
      <c r="G83" s="2" t="s">
        <v>323</v>
      </c>
      <c r="H83" s="55">
        <v>44589</v>
      </c>
      <c r="I83" s="55">
        <v>44801</v>
      </c>
      <c r="J83" s="23">
        <v>44623</v>
      </c>
      <c r="K83" s="23">
        <v>44623</v>
      </c>
      <c r="L83" s="3" t="str">
        <f t="shared" si="15"/>
        <v>0Y8M4D</v>
      </c>
      <c r="M83" s="3" t="str">
        <f t="shared" si="16"/>
        <v>0Y6M3D</v>
      </c>
      <c r="N83" s="3">
        <f t="shared" si="17"/>
        <v>0.51232876712328768</v>
      </c>
      <c r="O83" s="2">
        <v>2</v>
      </c>
      <c r="P83" s="2">
        <v>1</v>
      </c>
      <c r="Q83" s="2" t="s">
        <v>1725</v>
      </c>
      <c r="R83" s="2">
        <v>2</v>
      </c>
      <c r="S83" s="2">
        <v>1</v>
      </c>
      <c r="T83" s="2"/>
      <c r="U83" s="2" t="s">
        <v>1701</v>
      </c>
      <c r="V83" s="2" t="s">
        <v>1695</v>
      </c>
      <c r="W83" s="2">
        <v>1</v>
      </c>
      <c r="X83" s="2">
        <v>1</v>
      </c>
      <c r="Y83" s="2">
        <v>2</v>
      </c>
      <c r="Z83" s="2">
        <v>1</v>
      </c>
      <c r="AA83" s="2">
        <v>1</v>
      </c>
      <c r="AB83" s="2"/>
      <c r="AC83" s="2" t="s">
        <v>1660</v>
      </c>
      <c r="AD83" s="2">
        <v>1</v>
      </c>
      <c r="AE83" s="2">
        <v>1</v>
      </c>
      <c r="AF83" s="2">
        <v>1</v>
      </c>
      <c r="AG83" s="2">
        <v>1</v>
      </c>
      <c r="AH83" s="23">
        <v>44623</v>
      </c>
      <c r="AI83" s="3" t="str">
        <f t="shared" si="18"/>
        <v>0Y8M4D</v>
      </c>
      <c r="AJ83" s="3" t="str">
        <f t="shared" si="19"/>
        <v>0Y6M3D</v>
      </c>
      <c r="AK83" s="3">
        <f t="shared" si="20"/>
        <v>0.51232876712328768</v>
      </c>
      <c r="AL83" s="2">
        <v>2</v>
      </c>
      <c r="AM83" s="2">
        <v>1</v>
      </c>
      <c r="AN83" s="2">
        <v>1</v>
      </c>
      <c r="AO83" s="2">
        <v>1</v>
      </c>
      <c r="AP83" s="2">
        <v>2</v>
      </c>
      <c r="AQ83" s="2">
        <v>3</v>
      </c>
      <c r="AR83" s="2"/>
      <c r="AS83" s="23">
        <v>44621</v>
      </c>
      <c r="AT83" s="3" t="str">
        <f t="shared" si="21"/>
        <v>0Y8M2D</v>
      </c>
      <c r="AU83" s="3" t="str">
        <f t="shared" si="22"/>
        <v>0Y6M1D</v>
      </c>
      <c r="AV83" s="3">
        <f t="shared" si="23"/>
        <v>0.50684931506849318</v>
      </c>
      <c r="AW83" s="2">
        <v>3</v>
      </c>
      <c r="AX83" s="23">
        <v>44622</v>
      </c>
      <c r="AY83" s="3" t="str">
        <f t="shared" si="24"/>
        <v>0Y8M3D</v>
      </c>
      <c r="AZ83" s="3" t="str">
        <f t="shared" si="25"/>
        <v>0Y6M2D</v>
      </c>
      <c r="BA83" s="3">
        <f t="shared" si="26"/>
        <v>0.50958904109589043</v>
      </c>
      <c r="BB83" s="2">
        <v>3</v>
      </c>
      <c r="BC83" s="23">
        <v>44623</v>
      </c>
      <c r="BD83" s="3" t="str">
        <f t="shared" si="27"/>
        <v>0Y8M4D</v>
      </c>
      <c r="BE83" s="3" t="str">
        <f t="shared" si="28"/>
        <v>0Y6M3D</v>
      </c>
      <c r="BF83" s="3">
        <f t="shared" si="29"/>
        <v>0.51232876712328768</v>
      </c>
      <c r="BG83" s="2">
        <v>1</v>
      </c>
      <c r="BH83" s="2">
        <v>1</v>
      </c>
    </row>
    <row r="84" spans="1:60" s="127" customFormat="1" ht="16">
      <c r="A84" s="20" t="s">
        <v>373</v>
      </c>
      <c r="B84" s="20">
        <v>22107133</v>
      </c>
      <c r="C84" s="20" t="s">
        <v>374</v>
      </c>
      <c r="D84" s="45">
        <v>44268</v>
      </c>
      <c r="E84" s="45">
        <v>44360</v>
      </c>
      <c r="F84" s="45">
        <v>44360</v>
      </c>
      <c r="G84" s="20" t="s">
        <v>165</v>
      </c>
      <c r="H84" s="85">
        <v>44513</v>
      </c>
      <c r="I84" s="85">
        <v>44725</v>
      </c>
      <c r="J84" s="20"/>
      <c r="K84" s="134" t="s">
        <v>1718</v>
      </c>
      <c r="L84" s="135" t="e">
        <f t="shared" si="15"/>
        <v>#VALUE!</v>
      </c>
      <c r="M84" s="71" t="e">
        <f t="shared" si="16"/>
        <v>#VALUE!</v>
      </c>
      <c r="N84" s="71" t="e">
        <f t="shared" si="17"/>
        <v>#VALUE!</v>
      </c>
      <c r="O84" s="20"/>
      <c r="P84" s="20"/>
      <c r="Q84" s="20"/>
      <c r="R84" s="20"/>
      <c r="S84" s="20"/>
      <c r="T84" s="20"/>
      <c r="U84" s="20"/>
      <c r="V84" s="20"/>
      <c r="W84" s="20"/>
      <c r="X84" s="20"/>
      <c r="Y84" s="20"/>
      <c r="Z84" s="20"/>
      <c r="AA84" s="20"/>
      <c r="AB84" s="20"/>
      <c r="AC84" s="20"/>
      <c r="AD84" s="20"/>
      <c r="AE84" s="20"/>
      <c r="AF84" s="20"/>
      <c r="AG84" s="20"/>
      <c r="AH84" s="20"/>
      <c r="AI84" s="71" t="e">
        <f t="shared" si="18"/>
        <v>#NUM!</v>
      </c>
      <c r="AJ84" s="71" t="e">
        <f t="shared" si="19"/>
        <v>#NUM!</v>
      </c>
      <c r="AK84" s="71">
        <f t="shared" si="20"/>
        <v>-121.53424657534246</v>
      </c>
      <c r="AL84" s="20"/>
      <c r="AM84" s="20"/>
      <c r="AN84" s="20"/>
      <c r="AO84" s="20"/>
      <c r="AP84" s="20"/>
      <c r="AQ84" s="20"/>
      <c r="AR84" s="20"/>
      <c r="AS84" s="20"/>
      <c r="AT84" s="71" t="e">
        <f t="shared" si="21"/>
        <v>#NUM!</v>
      </c>
      <c r="AU84" s="71" t="e">
        <f t="shared" si="22"/>
        <v>#NUM!</v>
      </c>
      <c r="AV84" s="71">
        <f t="shared" si="23"/>
        <v>-121.53424657534246</v>
      </c>
      <c r="AW84" s="20"/>
      <c r="AX84" s="20"/>
      <c r="AY84" s="71" t="e">
        <f t="shared" si="24"/>
        <v>#NUM!</v>
      </c>
      <c r="AZ84" s="71" t="e">
        <f t="shared" si="25"/>
        <v>#NUM!</v>
      </c>
      <c r="BA84" s="71">
        <f t="shared" si="26"/>
        <v>-121.53424657534246</v>
      </c>
      <c r="BB84" s="20"/>
      <c r="BC84" s="134" t="s">
        <v>1720</v>
      </c>
      <c r="BD84" s="135" t="e">
        <f t="shared" si="27"/>
        <v>#VALUE!</v>
      </c>
      <c r="BE84" s="71" t="e">
        <f t="shared" si="28"/>
        <v>#VALUE!</v>
      </c>
      <c r="BF84" s="71" t="e">
        <f t="shared" si="29"/>
        <v>#VALUE!</v>
      </c>
      <c r="BG84" s="20"/>
      <c r="BH84" s="20">
        <v>1</v>
      </c>
    </row>
    <row r="85" spans="1:60" ht="16">
      <c r="A85" s="2" t="s">
        <v>377</v>
      </c>
      <c r="B85" s="2">
        <v>22108726</v>
      </c>
      <c r="C85" s="2" t="s">
        <v>378</v>
      </c>
      <c r="D85" s="23">
        <v>44437</v>
      </c>
      <c r="E85" s="23">
        <v>44434</v>
      </c>
      <c r="F85" s="23">
        <v>44437</v>
      </c>
      <c r="G85" s="2" t="s">
        <v>226</v>
      </c>
      <c r="H85" s="55">
        <v>44587</v>
      </c>
      <c r="I85" s="55">
        <v>44799</v>
      </c>
      <c r="J85" s="23">
        <v>44608</v>
      </c>
      <c r="K85" s="23">
        <v>44608</v>
      </c>
      <c r="L85" s="3" t="str">
        <f t="shared" si="15"/>
        <v>0Y5M18D</v>
      </c>
      <c r="M85" s="3" t="str">
        <f t="shared" si="16"/>
        <v>0Y5M21D</v>
      </c>
      <c r="N85" s="3">
        <f t="shared" si="17"/>
        <v>0.46849315068493153</v>
      </c>
      <c r="O85" s="2">
        <v>2</v>
      </c>
      <c r="P85" s="2">
        <v>2</v>
      </c>
      <c r="Q85" s="2" t="s">
        <v>1726</v>
      </c>
      <c r="R85" s="2">
        <v>2</v>
      </c>
      <c r="S85" s="2">
        <v>1</v>
      </c>
      <c r="T85" s="2"/>
      <c r="U85" s="2" t="s">
        <v>1727</v>
      </c>
      <c r="V85" s="2" t="s">
        <v>1664</v>
      </c>
      <c r="W85" s="2">
        <v>1</v>
      </c>
      <c r="X85" s="2">
        <v>1</v>
      </c>
      <c r="Y85" s="2">
        <v>2</v>
      </c>
      <c r="Z85" s="2">
        <v>1</v>
      </c>
      <c r="AA85" s="2">
        <v>1</v>
      </c>
      <c r="AB85" s="2"/>
      <c r="AC85" s="2" t="s">
        <v>1728</v>
      </c>
      <c r="AD85" s="2">
        <v>1</v>
      </c>
      <c r="AE85" s="2">
        <v>1</v>
      </c>
      <c r="AF85" s="2">
        <v>1</v>
      </c>
      <c r="AG85" s="2">
        <v>1</v>
      </c>
      <c r="AH85" s="23">
        <v>44608</v>
      </c>
      <c r="AI85" s="3" t="str">
        <f t="shared" si="18"/>
        <v>0Y5M18D</v>
      </c>
      <c r="AJ85" s="3" t="str">
        <f t="shared" si="19"/>
        <v>0Y5M21D</v>
      </c>
      <c r="AK85" s="3">
        <f t="shared" si="20"/>
        <v>0.46849315068493153</v>
      </c>
      <c r="AL85" s="2">
        <v>2</v>
      </c>
      <c r="AM85" s="2">
        <v>1</v>
      </c>
      <c r="AN85" s="2">
        <v>1</v>
      </c>
      <c r="AO85" s="2">
        <v>1</v>
      </c>
      <c r="AP85" s="2">
        <v>2</v>
      </c>
      <c r="AQ85" s="2">
        <v>2</v>
      </c>
      <c r="AR85" s="2" t="s">
        <v>1658</v>
      </c>
      <c r="AS85" s="23">
        <v>44639</v>
      </c>
      <c r="AT85" s="3" t="str">
        <f t="shared" si="21"/>
        <v>0Y6M18D</v>
      </c>
      <c r="AU85" s="3" t="str">
        <f t="shared" si="22"/>
        <v>0Y6M21D</v>
      </c>
      <c r="AV85" s="3">
        <f t="shared" si="23"/>
        <v>0.55342465753424652</v>
      </c>
      <c r="AW85" s="2">
        <v>4</v>
      </c>
      <c r="AX85" s="23">
        <v>44640</v>
      </c>
      <c r="AY85" s="3" t="str">
        <f t="shared" si="24"/>
        <v>0Y6M19D</v>
      </c>
      <c r="AZ85" s="3" t="str">
        <f t="shared" si="25"/>
        <v>0Y6M22D</v>
      </c>
      <c r="BA85" s="3">
        <f t="shared" si="26"/>
        <v>0.55616438356164388</v>
      </c>
      <c r="BB85" s="2">
        <v>4</v>
      </c>
      <c r="BC85" s="23">
        <v>44608</v>
      </c>
      <c r="BD85" s="3" t="str">
        <f t="shared" si="27"/>
        <v>0Y5M18D</v>
      </c>
      <c r="BE85" s="3" t="str">
        <f t="shared" si="28"/>
        <v>0Y5M21D</v>
      </c>
      <c r="BF85" s="3">
        <f t="shared" si="29"/>
        <v>0.46849315068493153</v>
      </c>
      <c r="BG85" s="2">
        <v>1</v>
      </c>
      <c r="BH85" s="2">
        <v>0</v>
      </c>
    </row>
    <row r="86" spans="1:60" ht="16">
      <c r="A86" s="2" t="s">
        <v>381</v>
      </c>
      <c r="B86" s="2">
        <v>22104406</v>
      </c>
      <c r="C86" s="2" t="s">
        <v>382</v>
      </c>
      <c r="D86" s="23">
        <v>44008</v>
      </c>
      <c r="E86" s="23">
        <v>44099</v>
      </c>
      <c r="F86" s="23">
        <v>44099</v>
      </c>
      <c r="G86" s="2">
        <v>27</v>
      </c>
      <c r="H86" s="55">
        <v>44252</v>
      </c>
      <c r="I86" s="55">
        <v>44464</v>
      </c>
      <c r="J86" s="23">
        <v>44487</v>
      </c>
      <c r="K86" s="23">
        <v>44487</v>
      </c>
      <c r="L86" s="3" t="str">
        <f t="shared" si="15"/>
        <v>1Y3M22D</v>
      </c>
      <c r="M86" s="3" t="str">
        <f t="shared" si="16"/>
        <v>1Y0M23D</v>
      </c>
      <c r="N86" s="3">
        <f t="shared" si="17"/>
        <v>1.0630136986301371</v>
      </c>
      <c r="O86" s="2">
        <v>3</v>
      </c>
      <c r="P86" s="2">
        <v>3</v>
      </c>
      <c r="Q86" s="2"/>
      <c r="R86" s="2">
        <v>2</v>
      </c>
      <c r="S86" s="2">
        <v>1</v>
      </c>
      <c r="T86" s="2"/>
      <c r="U86" s="2" t="s">
        <v>1673</v>
      </c>
      <c r="V86" s="2" t="s">
        <v>1661</v>
      </c>
      <c r="W86" s="2">
        <v>1</v>
      </c>
      <c r="X86" s="2">
        <v>1</v>
      </c>
      <c r="Y86" s="2">
        <v>1</v>
      </c>
      <c r="Z86" s="2">
        <v>1</v>
      </c>
      <c r="AA86" s="2">
        <v>1</v>
      </c>
      <c r="AB86" s="2"/>
      <c r="AC86" s="2" t="s">
        <v>1711</v>
      </c>
      <c r="AD86" s="2">
        <v>1</v>
      </c>
      <c r="AE86" s="2">
        <v>1</v>
      </c>
      <c r="AF86" s="2">
        <v>1</v>
      </c>
      <c r="AG86" s="2">
        <v>1</v>
      </c>
      <c r="AH86" s="23">
        <v>44483</v>
      </c>
      <c r="AI86" s="3" t="str">
        <f t="shared" si="18"/>
        <v>1Y3M18D</v>
      </c>
      <c r="AJ86" s="3" t="str">
        <f t="shared" si="19"/>
        <v>1Y0M19D</v>
      </c>
      <c r="AK86" s="3">
        <f t="shared" si="20"/>
        <v>1.0520547945205478</v>
      </c>
      <c r="AL86" s="2">
        <v>2</v>
      </c>
      <c r="AM86" s="2">
        <v>1</v>
      </c>
      <c r="AN86" s="2">
        <v>1</v>
      </c>
      <c r="AO86" s="2">
        <v>1</v>
      </c>
      <c r="AP86" s="2">
        <v>2</v>
      </c>
      <c r="AQ86" s="2"/>
      <c r="AR86" s="2" t="s">
        <v>1669</v>
      </c>
      <c r="AS86" s="23">
        <v>44482</v>
      </c>
      <c r="AT86" s="3" t="str">
        <f t="shared" si="21"/>
        <v>1Y3M17D</v>
      </c>
      <c r="AU86" s="3" t="str">
        <f t="shared" si="22"/>
        <v>1Y0M18D</v>
      </c>
      <c r="AV86" s="3">
        <f t="shared" si="23"/>
        <v>1.0493150684931507</v>
      </c>
      <c r="AW86" s="2">
        <v>4</v>
      </c>
      <c r="AX86" s="2"/>
      <c r="AY86" s="3" t="e">
        <f t="shared" si="24"/>
        <v>#NUM!</v>
      </c>
      <c r="AZ86" s="3" t="e">
        <f t="shared" si="25"/>
        <v>#NUM!</v>
      </c>
      <c r="BA86" s="3">
        <f t="shared" si="26"/>
        <v>-120.81917808219178</v>
      </c>
      <c r="BB86" s="2"/>
      <c r="BC86" s="23">
        <v>44470</v>
      </c>
      <c r="BD86" s="3" t="str">
        <f t="shared" si="27"/>
        <v>1Y3M5D</v>
      </c>
      <c r="BE86" s="3" t="str">
        <f t="shared" si="28"/>
        <v>1Y0M6D</v>
      </c>
      <c r="BF86" s="3">
        <f t="shared" si="29"/>
        <v>1.0164383561643835</v>
      </c>
      <c r="BG86" s="2">
        <v>1</v>
      </c>
      <c r="BH86" s="2">
        <v>1</v>
      </c>
    </row>
    <row r="87" spans="1:60" ht="16">
      <c r="A87" s="2" t="s">
        <v>384</v>
      </c>
      <c r="B87" s="2">
        <v>22108755</v>
      </c>
      <c r="C87" s="2" t="s">
        <v>385</v>
      </c>
      <c r="D87" s="23">
        <v>44440</v>
      </c>
      <c r="E87" s="23">
        <v>44449</v>
      </c>
      <c r="F87" s="23">
        <v>44440</v>
      </c>
      <c r="G87" s="2" t="s">
        <v>155</v>
      </c>
      <c r="H87" s="55">
        <v>44602</v>
      </c>
      <c r="I87" s="55">
        <v>44814</v>
      </c>
      <c r="J87" s="23">
        <v>44624</v>
      </c>
      <c r="K87" s="23">
        <v>44624</v>
      </c>
      <c r="L87" s="3" t="str">
        <f t="shared" si="15"/>
        <v>0Y6M3D</v>
      </c>
      <c r="M87" s="3" t="str">
        <f t="shared" si="16"/>
        <v>0Y5M22D</v>
      </c>
      <c r="N87" s="3">
        <f t="shared" si="17"/>
        <v>0.50410958904109593</v>
      </c>
      <c r="O87" s="2">
        <v>3</v>
      </c>
      <c r="P87" s="2">
        <v>2</v>
      </c>
      <c r="Q87" s="2" t="s">
        <v>1729</v>
      </c>
      <c r="R87" s="2">
        <v>2</v>
      </c>
      <c r="S87" s="2">
        <v>1</v>
      </c>
      <c r="T87" s="2">
        <v>1</v>
      </c>
      <c r="U87" s="2" t="s">
        <v>1708</v>
      </c>
      <c r="V87" s="2" t="s">
        <v>1664</v>
      </c>
      <c r="W87" s="2">
        <v>1</v>
      </c>
      <c r="X87" s="2">
        <v>1</v>
      </c>
      <c r="Y87" s="2">
        <v>2</v>
      </c>
      <c r="Z87" s="2">
        <v>1</v>
      </c>
      <c r="AA87" s="2">
        <v>1</v>
      </c>
      <c r="AB87" s="2">
        <v>1</v>
      </c>
      <c r="AC87" s="2" t="s">
        <v>1730</v>
      </c>
      <c r="AD87" s="2">
        <v>1</v>
      </c>
      <c r="AE87" s="2">
        <v>1</v>
      </c>
      <c r="AF87" s="2">
        <v>1</v>
      </c>
      <c r="AG87" s="2">
        <v>1</v>
      </c>
      <c r="AH87" s="23">
        <v>44635</v>
      </c>
      <c r="AI87" s="3" t="str">
        <f t="shared" si="18"/>
        <v>0Y6M14D</v>
      </c>
      <c r="AJ87" s="3" t="str">
        <f t="shared" si="19"/>
        <v>0Y6M5D</v>
      </c>
      <c r="AK87" s="3">
        <f t="shared" si="20"/>
        <v>0.53424657534246578</v>
      </c>
      <c r="AL87" s="2">
        <v>2</v>
      </c>
      <c r="AM87" s="2">
        <v>1</v>
      </c>
      <c r="AN87" s="2">
        <v>1</v>
      </c>
      <c r="AO87" s="2">
        <v>1</v>
      </c>
      <c r="AP87" s="2">
        <v>2</v>
      </c>
      <c r="AQ87" s="2">
        <v>3</v>
      </c>
      <c r="AR87" s="2"/>
      <c r="AS87" s="23">
        <v>44617</v>
      </c>
      <c r="AT87" s="3" t="str">
        <f t="shared" si="21"/>
        <v>0Y5M24D</v>
      </c>
      <c r="AU87" s="3" t="str">
        <f t="shared" si="22"/>
        <v>0Y5M15D</v>
      </c>
      <c r="AV87" s="3">
        <f t="shared" si="23"/>
        <v>0.48493150684931507</v>
      </c>
      <c r="AW87" s="2">
        <v>4</v>
      </c>
      <c r="AX87" s="2"/>
      <c r="AY87" s="3" t="e">
        <f t="shared" si="24"/>
        <v>#NUM!</v>
      </c>
      <c r="AZ87" s="3" t="e">
        <f t="shared" si="25"/>
        <v>#NUM!</v>
      </c>
      <c r="BA87" s="3">
        <f t="shared" si="26"/>
        <v>-121.75342465753425</v>
      </c>
      <c r="BB87" s="2"/>
      <c r="BC87" s="23">
        <v>44624</v>
      </c>
      <c r="BD87" s="3" t="str">
        <f t="shared" si="27"/>
        <v>0Y6M3D</v>
      </c>
      <c r="BE87" s="3" t="str">
        <f t="shared" si="28"/>
        <v>0Y5M22D</v>
      </c>
      <c r="BF87" s="3">
        <f t="shared" si="29"/>
        <v>0.50410958904109593</v>
      </c>
      <c r="BG87" s="2">
        <v>1</v>
      </c>
      <c r="BH87" s="2">
        <v>0</v>
      </c>
    </row>
    <row r="88" spans="1:60" ht="16">
      <c r="A88" s="2" t="s">
        <v>388</v>
      </c>
      <c r="B88" s="2">
        <v>22108762</v>
      </c>
      <c r="C88" s="2" t="s">
        <v>389</v>
      </c>
      <c r="D88" s="23">
        <v>44441</v>
      </c>
      <c r="E88" s="23">
        <v>44451</v>
      </c>
      <c r="F88" s="23">
        <v>44441</v>
      </c>
      <c r="G88" s="2" t="s">
        <v>391</v>
      </c>
      <c r="H88" s="55">
        <v>44604</v>
      </c>
      <c r="I88" s="55">
        <v>44816</v>
      </c>
      <c r="J88" s="23">
        <v>44624</v>
      </c>
      <c r="K88" s="23">
        <v>44624</v>
      </c>
      <c r="L88" s="3" t="str">
        <f t="shared" si="15"/>
        <v>0Y6M2D</v>
      </c>
      <c r="M88" s="3" t="str">
        <f t="shared" si="16"/>
        <v>0Y5M20D</v>
      </c>
      <c r="N88" s="3">
        <f t="shared" si="17"/>
        <v>0.50136986301369868</v>
      </c>
      <c r="O88" s="2">
        <v>3</v>
      </c>
      <c r="P88" s="2">
        <v>2</v>
      </c>
      <c r="Q88" s="2" t="s">
        <v>1731</v>
      </c>
      <c r="R88" s="2">
        <v>2</v>
      </c>
      <c r="S88" s="2">
        <v>1</v>
      </c>
      <c r="T88" s="2">
        <v>1</v>
      </c>
      <c r="U88" s="2" t="s">
        <v>1707</v>
      </c>
      <c r="V88" s="2" t="s">
        <v>1664</v>
      </c>
      <c r="W88" s="2">
        <v>1</v>
      </c>
      <c r="X88" s="2">
        <v>1</v>
      </c>
      <c r="Y88" s="2">
        <v>2</v>
      </c>
      <c r="Z88" s="2">
        <v>1</v>
      </c>
      <c r="AA88" s="2">
        <v>1</v>
      </c>
      <c r="AB88" s="2">
        <v>1</v>
      </c>
      <c r="AC88" s="2" t="s">
        <v>1707</v>
      </c>
      <c r="AD88" s="2">
        <v>1</v>
      </c>
      <c r="AE88" s="2">
        <v>1</v>
      </c>
      <c r="AF88" s="2">
        <v>1</v>
      </c>
      <c r="AG88" s="2">
        <v>1</v>
      </c>
      <c r="AH88" s="23">
        <v>44624</v>
      </c>
      <c r="AI88" s="3" t="str">
        <f t="shared" si="18"/>
        <v>0Y6M2D</v>
      </c>
      <c r="AJ88" s="3" t="str">
        <f t="shared" si="19"/>
        <v>0Y5M20D</v>
      </c>
      <c r="AK88" s="3">
        <f t="shared" si="20"/>
        <v>0.50136986301369868</v>
      </c>
      <c r="AL88" s="2">
        <v>2</v>
      </c>
      <c r="AM88" s="2">
        <v>1</v>
      </c>
      <c r="AN88" s="2">
        <v>1</v>
      </c>
      <c r="AO88" s="2">
        <v>1</v>
      </c>
      <c r="AP88" s="2">
        <v>2</v>
      </c>
      <c r="AQ88" s="2">
        <v>3</v>
      </c>
      <c r="AR88" s="2"/>
      <c r="AS88" s="23">
        <v>44624</v>
      </c>
      <c r="AT88" s="3" t="str">
        <f t="shared" si="21"/>
        <v>0Y6M2D</v>
      </c>
      <c r="AU88" s="3" t="str">
        <f t="shared" si="22"/>
        <v>0Y5M20D</v>
      </c>
      <c r="AV88" s="3">
        <f t="shared" si="23"/>
        <v>0.50136986301369868</v>
      </c>
      <c r="AW88" s="2">
        <v>4</v>
      </c>
      <c r="AX88" s="2" t="s">
        <v>1732</v>
      </c>
      <c r="AY88" s="3" t="e">
        <f t="shared" si="24"/>
        <v>#VALUE!</v>
      </c>
      <c r="AZ88" s="3" t="e">
        <f t="shared" si="25"/>
        <v>#VALUE!</v>
      </c>
      <c r="BA88" s="3" t="e">
        <f t="shared" si="26"/>
        <v>#VALUE!</v>
      </c>
      <c r="BB88" s="2">
        <v>4</v>
      </c>
      <c r="BC88" s="23">
        <v>44624</v>
      </c>
      <c r="BD88" s="3" t="str">
        <f t="shared" si="27"/>
        <v>0Y6M2D</v>
      </c>
      <c r="BE88" s="3" t="str">
        <f t="shared" si="28"/>
        <v>0Y5M20D</v>
      </c>
      <c r="BF88" s="3">
        <f t="shared" si="29"/>
        <v>0.50136986301369868</v>
      </c>
      <c r="BG88" s="2">
        <v>1</v>
      </c>
      <c r="BH88" s="2">
        <v>0</v>
      </c>
    </row>
    <row r="89" spans="1:60" s="110" customFormat="1" ht="16">
      <c r="A89" s="17" t="s">
        <v>393</v>
      </c>
      <c r="B89" s="17">
        <v>22105932</v>
      </c>
      <c r="C89" s="17" t="s">
        <v>394</v>
      </c>
      <c r="D89" s="40">
        <v>44155</v>
      </c>
      <c r="E89" s="40">
        <v>44256</v>
      </c>
      <c r="F89" s="40">
        <v>44256</v>
      </c>
      <c r="G89" s="17" t="s">
        <v>217</v>
      </c>
      <c r="H89" s="75">
        <v>44409</v>
      </c>
      <c r="I89" s="75">
        <v>44621</v>
      </c>
      <c r="J89" s="17"/>
      <c r="K89" s="17" t="s">
        <v>18</v>
      </c>
      <c r="L89" s="21" t="e">
        <f t="shared" si="15"/>
        <v>#VALUE!</v>
      </c>
      <c r="M89" s="21" t="e">
        <f t="shared" si="16"/>
        <v>#VALUE!</v>
      </c>
      <c r="N89" s="21" t="e">
        <f t="shared" si="17"/>
        <v>#VALUE!</v>
      </c>
      <c r="O89" s="17"/>
      <c r="P89" s="17"/>
      <c r="Q89" s="17"/>
      <c r="R89" s="17"/>
      <c r="S89" s="17"/>
      <c r="T89" s="17"/>
      <c r="U89" s="17"/>
      <c r="V89" s="17"/>
      <c r="W89" s="17"/>
      <c r="X89" s="17"/>
      <c r="Y89" s="17"/>
      <c r="Z89" s="17"/>
      <c r="AA89" s="17"/>
      <c r="AB89" s="17"/>
      <c r="AC89" s="17"/>
      <c r="AD89" s="17"/>
      <c r="AE89" s="17"/>
      <c r="AF89" s="17"/>
      <c r="AG89" s="17"/>
      <c r="AH89" s="40">
        <v>44474</v>
      </c>
      <c r="AI89" s="21" t="str">
        <f t="shared" si="18"/>
        <v>0Y10M15D</v>
      </c>
      <c r="AJ89" s="21" t="str">
        <f t="shared" si="19"/>
        <v>0Y7M4D</v>
      </c>
      <c r="AK89" s="21">
        <f t="shared" si="20"/>
        <v>0.59726027397260273</v>
      </c>
      <c r="AL89" s="17">
        <v>2</v>
      </c>
      <c r="AM89" s="17">
        <v>1</v>
      </c>
      <c r="AN89" s="17">
        <v>1</v>
      </c>
      <c r="AO89" s="17">
        <v>1</v>
      </c>
      <c r="AP89" s="17">
        <v>2</v>
      </c>
      <c r="AQ89" s="17">
        <v>3</v>
      </c>
      <c r="AR89" s="17"/>
      <c r="AS89" s="40">
        <v>44473</v>
      </c>
      <c r="AT89" s="21" t="str">
        <f t="shared" si="21"/>
        <v>0Y10M14D</v>
      </c>
      <c r="AU89" s="21" t="str">
        <f t="shared" si="22"/>
        <v>0Y7M3D</v>
      </c>
      <c r="AV89" s="21">
        <f t="shared" si="23"/>
        <v>0.59452054794520548</v>
      </c>
      <c r="AW89" s="17">
        <v>4</v>
      </c>
      <c r="AX89" s="40">
        <v>44474</v>
      </c>
      <c r="AY89" s="21" t="str">
        <f t="shared" si="24"/>
        <v>0Y10M15D</v>
      </c>
      <c r="AZ89" s="21" t="str">
        <f t="shared" si="25"/>
        <v>0Y7M4D</v>
      </c>
      <c r="BA89" s="21">
        <f t="shared" si="26"/>
        <v>0.59726027397260273</v>
      </c>
      <c r="BB89" s="17">
        <v>4</v>
      </c>
      <c r="BC89" s="17" t="s">
        <v>1714</v>
      </c>
      <c r="BD89" s="21" t="e">
        <f t="shared" si="27"/>
        <v>#VALUE!</v>
      </c>
      <c r="BE89" s="21" t="e">
        <f t="shared" si="28"/>
        <v>#VALUE!</v>
      </c>
      <c r="BF89" s="21" t="e">
        <f t="shared" si="29"/>
        <v>#VALUE!</v>
      </c>
      <c r="BG89" s="17"/>
      <c r="BH89" s="17">
        <v>1</v>
      </c>
    </row>
    <row r="90" spans="1:60" s="110" customFormat="1" ht="16">
      <c r="A90" s="17" t="s">
        <v>397</v>
      </c>
      <c r="B90" s="17">
        <v>22105933</v>
      </c>
      <c r="C90" s="17" t="s">
        <v>398</v>
      </c>
      <c r="D90" s="40">
        <v>44155</v>
      </c>
      <c r="E90" s="40">
        <v>44256</v>
      </c>
      <c r="F90" s="40">
        <v>44256</v>
      </c>
      <c r="G90" s="17" t="s">
        <v>217</v>
      </c>
      <c r="H90" s="75">
        <v>44409</v>
      </c>
      <c r="I90" s="75">
        <v>44621</v>
      </c>
      <c r="J90" s="17"/>
      <c r="K90" s="17" t="s">
        <v>18</v>
      </c>
      <c r="L90" s="21" t="e">
        <f t="shared" si="15"/>
        <v>#VALUE!</v>
      </c>
      <c r="M90" s="21" t="e">
        <f t="shared" si="16"/>
        <v>#VALUE!</v>
      </c>
      <c r="N90" s="21" t="e">
        <f t="shared" si="17"/>
        <v>#VALUE!</v>
      </c>
      <c r="O90" s="17"/>
      <c r="P90" s="17"/>
      <c r="Q90" s="17"/>
      <c r="R90" s="17"/>
      <c r="S90" s="17"/>
      <c r="T90" s="17"/>
      <c r="U90" s="17"/>
      <c r="V90" s="17"/>
      <c r="W90" s="17"/>
      <c r="X90" s="17"/>
      <c r="Y90" s="17"/>
      <c r="Z90" s="17"/>
      <c r="AA90" s="17"/>
      <c r="AB90" s="17"/>
      <c r="AC90" s="17"/>
      <c r="AD90" s="17"/>
      <c r="AE90" s="17"/>
      <c r="AF90" s="17"/>
      <c r="AG90" s="17"/>
      <c r="AH90" s="40">
        <v>44474</v>
      </c>
      <c r="AI90" s="21" t="str">
        <f t="shared" si="18"/>
        <v>0Y10M15D</v>
      </c>
      <c r="AJ90" s="21" t="str">
        <f t="shared" si="19"/>
        <v>0Y7M4D</v>
      </c>
      <c r="AK90" s="21">
        <f t="shared" si="20"/>
        <v>0.59726027397260273</v>
      </c>
      <c r="AL90" s="17">
        <v>2</v>
      </c>
      <c r="AM90" s="17">
        <v>1</v>
      </c>
      <c r="AN90" s="17">
        <v>1</v>
      </c>
      <c r="AO90" s="17">
        <v>1</v>
      </c>
      <c r="AP90" s="17">
        <v>2</v>
      </c>
      <c r="AQ90" s="17">
        <v>3</v>
      </c>
      <c r="AR90" s="17"/>
      <c r="AS90" s="40">
        <v>44473</v>
      </c>
      <c r="AT90" s="21" t="str">
        <f t="shared" si="21"/>
        <v>0Y10M14D</v>
      </c>
      <c r="AU90" s="21" t="str">
        <f t="shared" si="22"/>
        <v>0Y7M3D</v>
      </c>
      <c r="AV90" s="21">
        <f t="shared" si="23"/>
        <v>0.59452054794520548</v>
      </c>
      <c r="AW90" s="17">
        <v>4</v>
      </c>
      <c r="AX90" s="17"/>
      <c r="AY90" s="21" t="e">
        <f t="shared" si="24"/>
        <v>#NUM!</v>
      </c>
      <c r="AZ90" s="21" t="e">
        <f t="shared" si="25"/>
        <v>#NUM!</v>
      </c>
      <c r="BA90" s="21">
        <f t="shared" si="26"/>
        <v>-121.24931506849315</v>
      </c>
      <c r="BB90" s="17"/>
      <c r="BC90" s="17" t="s">
        <v>1714</v>
      </c>
      <c r="BD90" s="21" t="e">
        <f t="shared" si="27"/>
        <v>#VALUE!</v>
      </c>
      <c r="BE90" s="21" t="e">
        <f t="shared" si="28"/>
        <v>#VALUE!</v>
      </c>
      <c r="BF90" s="21" t="e">
        <f t="shared" si="29"/>
        <v>#VALUE!</v>
      </c>
      <c r="BG90" s="17"/>
      <c r="BH90" s="17">
        <v>1</v>
      </c>
    </row>
    <row r="91" spans="1:60" ht="16">
      <c r="A91" s="2" t="s">
        <v>399</v>
      </c>
      <c r="B91" s="2">
        <v>22107573</v>
      </c>
      <c r="C91" s="2" t="s">
        <v>400</v>
      </c>
      <c r="D91" s="23">
        <v>44313</v>
      </c>
      <c r="E91" s="23">
        <v>44378</v>
      </c>
      <c r="F91" s="23">
        <v>44378</v>
      </c>
      <c r="G91" s="2" t="s">
        <v>134</v>
      </c>
      <c r="H91" s="55">
        <v>44531</v>
      </c>
      <c r="I91" s="55">
        <v>44743</v>
      </c>
      <c r="J91" s="23">
        <v>44622</v>
      </c>
      <c r="K91" s="23">
        <v>44566</v>
      </c>
      <c r="L91" s="3" t="str">
        <f t="shared" si="15"/>
        <v>0Y8M9D</v>
      </c>
      <c r="M91" s="3" t="str">
        <f t="shared" si="16"/>
        <v>0Y6M4D</v>
      </c>
      <c r="N91" s="3">
        <f t="shared" si="17"/>
        <v>0.51506849315068493</v>
      </c>
      <c r="O91" s="2">
        <v>3</v>
      </c>
      <c r="P91" s="2">
        <v>2</v>
      </c>
      <c r="Q91" s="2" t="s">
        <v>1665</v>
      </c>
      <c r="R91" s="2">
        <v>2</v>
      </c>
      <c r="S91" s="2">
        <v>1</v>
      </c>
      <c r="T91" s="2"/>
      <c r="U91" s="2" t="s">
        <v>1671</v>
      </c>
      <c r="V91" s="2" t="s">
        <v>1661</v>
      </c>
      <c r="W91" s="2">
        <v>1</v>
      </c>
      <c r="X91" s="2">
        <v>1</v>
      </c>
      <c r="Y91" s="2">
        <v>2</v>
      </c>
      <c r="Z91" s="2">
        <v>1</v>
      </c>
      <c r="AA91" s="2">
        <v>1</v>
      </c>
      <c r="AB91" s="2">
        <v>1</v>
      </c>
      <c r="AC91" s="2" t="s">
        <v>1660</v>
      </c>
      <c r="AD91" s="2">
        <v>1</v>
      </c>
      <c r="AE91" s="2">
        <v>1</v>
      </c>
      <c r="AF91" s="2">
        <v>1</v>
      </c>
      <c r="AG91" s="2">
        <v>1</v>
      </c>
      <c r="AH91" s="23">
        <v>44566</v>
      </c>
      <c r="AI91" s="3" t="str">
        <f t="shared" si="18"/>
        <v>0Y8M9D</v>
      </c>
      <c r="AJ91" s="3" t="str">
        <f t="shared" si="19"/>
        <v>0Y6M4D</v>
      </c>
      <c r="AK91" s="3">
        <f t="shared" si="20"/>
        <v>0.51506849315068493</v>
      </c>
      <c r="AL91" s="2">
        <v>2</v>
      </c>
      <c r="AM91" s="2">
        <v>1</v>
      </c>
      <c r="AN91" s="2">
        <v>1</v>
      </c>
      <c r="AO91" s="2">
        <v>1</v>
      </c>
      <c r="AP91" s="2">
        <v>2</v>
      </c>
      <c r="AQ91" s="2"/>
      <c r="AR91" s="2" t="s">
        <v>1701</v>
      </c>
      <c r="AS91" s="23">
        <v>44565</v>
      </c>
      <c r="AT91" s="3" t="str">
        <f t="shared" si="21"/>
        <v>0Y8M8D</v>
      </c>
      <c r="AU91" s="3" t="str">
        <f t="shared" si="22"/>
        <v>0Y6M3D</v>
      </c>
      <c r="AV91" s="3">
        <f t="shared" si="23"/>
        <v>0.51232876712328768</v>
      </c>
      <c r="AW91" s="2">
        <v>4</v>
      </c>
      <c r="AX91" s="23">
        <v>44566</v>
      </c>
      <c r="AY91" s="3" t="str">
        <f t="shared" si="24"/>
        <v>0Y8M9D</v>
      </c>
      <c r="AZ91" s="3" t="str">
        <f t="shared" si="25"/>
        <v>0Y6M4D</v>
      </c>
      <c r="BA91" s="3">
        <f t="shared" si="26"/>
        <v>0.51506849315068493</v>
      </c>
      <c r="BB91" s="2">
        <v>4</v>
      </c>
      <c r="BC91" s="23">
        <v>44566</v>
      </c>
      <c r="BD91" s="3" t="str">
        <f t="shared" si="27"/>
        <v>0Y8M9D</v>
      </c>
      <c r="BE91" s="3" t="str">
        <f t="shared" si="28"/>
        <v>0Y6M4D</v>
      </c>
      <c r="BF91" s="3">
        <f t="shared" si="29"/>
        <v>0.51506849315068493</v>
      </c>
      <c r="BG91" s="2">
        <v>1</v>
      </c>
      <c r="BH91" s="2">
        <v>1</v>
      </c>
    </row>
    <row r="92" spans="1:60" ht="16">
      <c r="A92" s="2" t="s">
        <v>403</v>
      </c>
      <c r="B92" s="2">
        <v>22105890</v>
      </c>
      <c r="C92" s="2" t="s">
        <v>404</v>
      </c>
      <c r="D92" s="23">
        <v>44152</v>
      </c>
      <c r="E92" s="23">
        <v>44256</v>
      </c>
      <c r="F92" s="23">
        <v>44256</v>
      </c>
      <c r="G92" s="2" t="s">
        <v>405</v>
      </c>
      <c r="H92" s="55">
        <v>44409</v>
      </c>
      <c r="I92" s="55">
        <v>44621</v>
      </c>
      <c r="J92" s="23">
        <v>44474</v>
      </c>
      <c r="K92" s="23">
        <v>44474</v>
      </c>
      <c r="L92" s="3" t="str">
        <f t="shared" si="15"/>
        <v>0Y10M18D</v>
      </c>
      <c r="M92" s="3" t="str">
        <f t="shared" si="16"/>
        <v>0Y7M4D</v>
      </c>
      <c r="N92" s="3">
        <f t="shared" si="17"/>
        <v>0.59726027397260273</v>
      </c>
      <c r="O92" s="2">
        <v>3</v>
      </c>
      <c r="P92" s="2">
        <v>3</v>
      </c>
      <c r="Q92" s="2"/>
      <c r="R92" s="2">
        <v>2</v>
      </c>
      <c r="S92" s="2">
        <v>1</v>
      </c>
      <c r="T92" s="2"/>
      <c r="U92" s="2" t="s">
        <v>1711</v>
      </c>
      <c r="V92" s="2" t="s">
        <v>1661</v>
      </c>
      <c r="W92" s="2">
        <v>1</v>
      </c>
      <c r="X92" s="2">
        <v>1</v>
      </c>
      <c r="Y92" s="2">
        <v>1</v>
      </c>
      <c r="Z92" s="2">
        <v>1</v>
      </c>
      <c r="AA92" s="2">
        <v>1</v>
      </c>
      <c r="AB92" s="2"/>
      <c r="AC92" s="2" t="s">
        <v>1673</v>
      </c>
      <c r="AD92" s="2">
        <v>1</v>
      </c>
      <c r="AE92" s="2">
        <v>1</v>
      </c>
      <c r="AF92" s="2">
        <v>1</v>
      </c>
      <c r="AG92" s="2">
        <v>1</v>
      </c>
      <c r="AH92" s="23">
        <v>44477</v>
      </c>
      <c r="AI92" s="3" t="str">
        <f t="shared" si="18"/>
        <v>0Y10M21D</v>
      </c>
      <c r="AJ92" s="3" t="str">
        <f t="shared" si="19"/>
        <v>0Y7M7D</v>
      </c>
      <c r="AK92" s="3">
        <f t="shared" si="20"/>
        <v>0.60547945205479448</v>
      </c>
      <c r="AL92" s="2">
        <v>2</v>
      </c>
      <c r="AM92" s="2">
        <v>1</v>
      </c>
      <c r="AN92" s="2">
        <v>1</v>
      </c>
      <c r="AO92" s="2" t="s">
        <v>1690</v>
      </c>
      <c r="AP92" s="2">
        <v>2</v>
      </c>
      <c r="AQ92" s="2"/>
      <c r="AR92" s="2"/>
      <c r="AS92" s="23">
        <v>44476</v>
      </c>
      <c r="AT92" s="3" t="str">
        <f t="shared" si="21"/>
        <v>0Y10M20D</v>
      </c>
      <c r="AU92" s="3" t="str">
        <f t="shared" si="22"/>
        <v>0Y7M6D</v>
      </c>
      <c r="AV92" s="3">
        <f t="shared" si="23"/>
        <v>0.60273972602739723</v>
      </c>
      <c r="AW92" s="2">
        <v>4</v>
      </c>
      <c r="AX92" s="23">
        <v>44477</v>
      </c>
      <c r="AY92" s="3" t="str">
        <f t="shared" si="24"/>
        <v>0Y10M21D</v>
      </c>
      <c r="AZ92" s="3" t="str">
        <f t="shared" si="25"/>
        <v>0Y7M7D</v>
      </c>
      <c r="BA92" s="3">
        <f t="shared" si="26"/>
        <v>0.60547945205479448</v>
      </c>
      <c r="BB92" s="2">
        <v>4</v>
      </c>
      <c r="BC92" s="23">
        <v>44474</v>
      </c>
      <c r="BD92" s="3" t="str">
        <f t="shared" si="27"/>
        <v>0Y10M18D</v>
      </c>
      <c r="BE92" s="3" t="str">
        <f t="shared" si="28"/>
        <v>0Y7M4D</v>
      </c>
      <c r="BF92" s="3">
        <f t="shared" si="29"/>
        <v>0.59726027397260273</v>
      </c>
      <c r="BG92" s="2">
        <v>1</v>
      </c>
      <c r="BH92" s="2">
        <v>1</v>
      </c>
    </row>
    <row r="93" spans="1:60" s="110" customFormat="1" ht="16">
      <c r="A93" s="17" t="s">
        <v>407</v>
      </c>
      <c r="B93" s="17">
        <v>22108642</v>
      </c>
      <c r="C93" s="17" t="s">
        <v>408</v>
      </c>
      <c r="D93" s="40">
        <v>44426</v>
      </c>
      <c r="E93" s="40">
        <v>44488</v>
      </c>
      <c r="F93" s="40">
        <v>44488</v>
      </c>
      <c r="G93" s="17" t="s">
        <v>323</v>
      </c>
      <c r="H93" s="75">
        <v>44639</v>
      </c>
      <c r="I93" s="75">
        <v>44853</v>
      </c>
      <c r="J93" s="17"/>
      <c r="K93" s="22" t="s">
        <v>1718</v>
      </c>
      <c r="L93" s="70" t="e">
        <f t="shared" si="15"/>
        <v>#VALUE!</v>
      </c>
      <c r="M93" s="21" t="e">
        <f t="shared" si="16"/>
        <v>#VALUE!</v>
      </c>
      <c r="N93" s="21" t="e">
        <f t="shared" si="17"/>
        <v>#VALUE!</v>
      </c>
      <c r="O93" s="17"/>
      <c r="P93" s="17"/>
      <c r="Q93" s="17"/>
      <c r="R93" s="17"/>
      <c r="S93" s="17"/>
      <c r="T93" s="17"/>
      <c r="U93" s="17"/>
      <c r="V93" s="17"/>
      <c r="W93" s="17"/>
      <c r="X93" s="17"/>
      <c r="Y93" s="17"/>
      <c r="Z93" s="17"/>
      <c r="AA93" s="17"/>
      <c r="AB93" s="17"/>
      <c r="AC93" s="17"/>
      <c r="AD93" s="17"/>
      <c r="AE93" s="17"/>
      <c r="AF93" s="17"/>
      <c r="AG93" s="17"/>
      <c r="AH93" s="40">
        <v>44706</v>
      </c>
      <c r="AI93" s="21" t="str">
        <f t="shared" si="18"/>
        <v>0Y9M7D</v>
      </c>
      <c r="AJ93" s="21" t="str">
        <f t="shared" si="19"/>
        <v>0Y7M6D</v>
      </c>
      <c r="AK93" s="21">
        <f t="shared" si="20"/>
        <v>0.59726027397260273</v>
      </c>
      <c r="AL93" s="17"/>
      <c r="AM93" s="17">
        <v>1</v>
      </c>
      <c r="AN93" s="17"/>
      <c r="AO93" s="17">
        <v>1</v>
      </c>
      <c r="AP93" s="17">
        <v>2</v>
      </c>
      <c r="AQ93" s="17">
        <v>1</v>
      </c>
      <c r="AR93" s="17" t="s">
        <v>1673</v>
      </c>
      <c r="AS93" s="40">
        <v>44705</v>
      </c>
      <c r="AT93" s="21" t="str">
        <f t="shared" si="21"/>
        <v>0Y9M6D</v>
      </c>
      <c r="AU93" s="21" t="str">
        <f t="shared" si="22"/>
        <v>0Y7M5D</v>
      </c>
      <c r="AV93" s="21">
        <f t="shared" si="23"/>
        <v>0.59452054794520548</v>
      </c>
      <c r="AW93" s="17" t="s">
        <v>2207</v>
      </c>
      <c r="AX93" s="40">
        <v>44706</v>
      </c>
      <c r="AY93" s="21" t="str">
        <f t="shared" si="24"/>
        <v>0Y9M7D</v>
      </c>
      <c r="AZ93" s="21" t="str">
        <f t="shared" si="25"/>
        <v>0Y7M6D</v>
      </c>
      <c r="BA93" s="21">
        <f t="shared" si="26"/>
        <v>0.59726027397260273</v>
      </c>
      <c r="BB93" s="17">
        <v>4</v>
      </c>
      <c r="BC93" s="40">
        <v>44706</v>
      </c>
      <c r="BD93" s="21" t="str">
        <f t="shared" si="27"/>
        <v>0Y9M7D</v>
      </c>
      <c r="BE93" s="21" t="str">
        <f t="shared" si="28"/>
        <v>0Y7M6D</v>
      </c>
      <c r="BF93" s="21">
        <f t="shared" si="29"/>
        <v>0.59726027397260273</v>
      </c>
      <c r="BG93" s="17">
        <v>1</v>
      </c>
      <c r="BH93" s="17">
        <v>1</v>
      </c>
    </row>
    <row r="94" spans="1:60" s="114" customFormat="1" ht="16">
      <c r="A94" s="16" t="s">
        <v>411</v>
      </c>
      <c r="B94" s="16">
        <v>22102895</v>
      </c>
      <c r="C94" s="16" t="s">
        <v>412</v>
      </c>
      <c r="D94" s="77">
        <v>43853</v>
      </c>
      <c r="E94" s="77">
        <v>43916</v>
      </c>
      <c r="F94" s="77">
        <v>43916</v>
      </c>
      <c r="G94" s="16">
        <v>31</v>
      </c>
      <c r="H94" s="78">
        <v>44069</v>
      </c>
      <c r="I94" s="78">
        <v>44281</v>
      </c>
      <c r="J94" s="16"/>
      <c r="K94" s="16"/>
      <c r="L94" s="68" t="e">
        <f t="shared" si="15"/>
        <v>#NUM!</v>
      </c>
      <c r="M94" s="68" t="e">
        <f t="shared" si="16"/>
        <v>#NUM!</v>
      </c>
      <c r="N94" s="68">
        <f t="shared" si="17"/>
        <v>-120.31780821917808</v>
      </c>
      <c r="O94" s="16"/>
      <c r="P94" s="16"/>
      <c r="Q94" s="16"/>
      <c r="R94" s="16"/>
      <c r="S94" s="16"/>
      <c r="T94" s="16"/>
      <c r="U94" s="16"/>
      <c r="V94" s="16"/>
      <c r="W94" s="16"/>
      <c r="X94" s="16"/>
      <c r="Y94" s="16"/>
      <c r="Z94" s="16"/>
      <c r="AA94" s="16"/>
      <c r="AB94" s="16"/>
      <c r="AC94" s="16"/>
      <c r="AD94" s="16"/>
      <c r="AE94" s="16"/>
      <c r="AF94" s="16"/>
      <c r="AG94" s="16"/>
      <c r="AH94" s="16"/>
      <c r="AI94" s="68" t="e">
        <f t="shared" si="18"/>
        <v>#NUM!</v>
      </c>
      <c r="AJ94" s="68" t="e">
        <f t="shared" si="19"/>
        <v>#NUM!</v>
      </c>
      <c r="AK94" s="68">
        <f t="shared" si="20"/>
        <v>-120.31780821917808</v>
      </c>
      <c r="AL94" s="16"/>
      <c r="AM94" s="16"/>
      <c r="AN94" s="16"/>
      <c r="AO94" s="16"/>
      <c r="AP94" s="16"/>
      <c r="AQ94" s="16"/>
      <c r="AR94" s="16"/>
      <c r="AS94" s="16"/>
      <c r="AT94" s="68" t="e">
        <f t="shared" si="21"/>
        <v>#NUM!</v>
      </c>
      <c r="AU94" s="68" t="e">
        <f t="shared" si="22"/>
        <v>#NUM!</v>
      </c>
      <c r="AV94" s="68">
        <f t="shared" si="23"/>
        <v>-120.31780821917808</v>
      </c>
      <c r="AW94" s="16"/>
      <c r="AX94" s="16"/>
      <c r="AY94" s="68" t="e">
        <f t="shared" si="24"/>
        <v>#NUM!</v>
      </c>
      <c r="AZ94" s="68" t="e">
        <f t="shared" si="25"/>
        <v>#NUM!</v>
      </c>
      <c r="BA94" s="68">
        <f t="shared" si="26"/>
        <v>-120.31780821917808</v>
      </c>
      <c r="BB94" s="16"/>
      <c r="BC94" s="16"/>
      <c r="BD94" s="68" t="e">
        <f t="shared" si="27"/>
        <v>#NUM!</v>
      </c>
      <c r="BE94" s="68" t="e">
        <f t="shared" si="28"/>
        <v>#NUM!</v>
      </c>
      <c r="BF94" s="68">
        <f t="shared" si="29"/>
        <v>-120.31780821917808</v>
      </c>
      <c r="BG94" s="16"/>
      <c r="BH94" s="16"/>
    </row>
    <row r="95" spans="1:60" s="114" customFormat="1" ht="16">
      <c r="A95" s="16" t="s">
        <v>415</v>
      </c>
      <c r="B95" s="16">
        <v>22102896</v>
      </c>
      <c r="C95" s="16" t="s">
        <v>416</v>
      </c>
      <c r="D95" s="77">
        <v>43853</v>
      </c>
      <c r="E95" s="77">
        <v>43916</v>
      </c>
      <c r="F95" s="77">
        <v>43916</v>
      </c>
      <c r="G95" s="16">
        <v>31</v>
      </c>
      <c r="H95" s="78">
        <v>44069</v>
      </c>
      <c r="I95" s="78">
        <v>44281</v>
      </c>
      <c r="J95" s="16"/>
      <c r="K95" s="16"/>
      <c r="L95" s="68" t="e">
        <f t="shared" si="15"/>
        <v>#NUM!</v>
      </c>
      <c r="M95" s="68" t="e">
        <f t="shared" si="16"/>
        <v>#NUM!</v>
      </c>
      <c r="N95" s="68">
        <f t="shared" si="17"/>
        <v>-120.31780821917808</v>
      </c>
      <c r="O95" s="16"/>
      <c r="P95" s="16"/>
      <c r="Q95" s="16"/>
      <c r="R95" s="16"/>
      <c r="S95" s="16"/>
      <c r="T95" s="16"/>
      <c r="U95" s="16"/>
      <c r="V95" s="16"/>
      <c r="W95" s="16"/>
      <c r="X95" s="16"/>
      <c r="Y95" s="16"/>
      <c r="Z95" s="16"/>
      <c r="AA95" s="16"/>
      <c r="AB95" s="16"/>
      <c r="AC95" s="16"/>
      <c r="AD95" s="16"/>
      <c r="AE95" s="16"/>
      <c r="AF95" s="16"/>
      <c r="AG95" s="16"/>
      <c r="AH95" s="16"/>
      <c r="AI95" s="68" t="e">
        <f t="shared" si="18"/>
        <v>#NUM!</v>
      </c>
      <c r="AJ95" s="68" t="e">
        <f t="shared" si="19"/>
        <v>#NUM!</v>
      </c>
      <c r="AK95" s="68">
        <f t="shared" si="20"/>
        <v>-120.31780821917808</v>
      </c>
      <c r="AL95" s="16"/>
      <c r="AM95" s="16"/>
      <c r="AN95" s="16"/>
      <c r="AO95" s="16"/>
      <c r="AP95" s="16"/>
      <c r="AQ95" s="16"/>
      <c r="AR95" s="16"/>
      <c r="AS95" s="16"/>
      <c r="AT95" s="68" t="e">
        <f t="shared" si="21"/>
        <v>#NUM!</v>
      </c>
      <c r="AU95" s="68" t="e">
        <f t="shared" si="22"/>
        <v>#NUM!</v>
      </c>
      <c r="AV95" s="68">
        <f t="shared" si="23"/>
        <v>-120.31780821917808</v>
      </c>
      <c r="AW95" s="16"/>
      <c r="AX95" s="16"/>
      <c r="AY95" s="68" t="e">
        <f t="shared" si="24"/>
        <v>#NUM!</v>
      </c>
      <c r="AZ95" s="68" t="e">
        <f t="shared" si="25"/>
        <v>#NUM!</v>
      </c>
      <c r="BA95" s="68">
        <f t="shared" si="26"/>
        <v>-120.31780821917808</v>
      </c>
      <c r="BB95" s="16"/>
      <c r="BC95" s="16"/>
      <c r="BD95" s="68" t="e">
        <f t="shared" si="27"/>
        <v>#NUM!</v>
      </c>
      <c r="BE95" s="68" t="e">
        <f t="shared" si="28"/>
        <v>#NUM!</v>
      </c>
      <c r="BF95" s="68">
        <f t="shared" si="29"/>
        <v>-120.31780821917808</v>
      </c>
      <c r="BG95" s="16"/>
      <c r="BH95" s="16"/>
    </row>
    <row r="96" spans="1:60" ht="16">
      <c r="A96" s="2" t="s">
        <v>418</v>
      </c>
      <c r="B96" s="2">
        <v>22104599</v>
      </c>
      <c r="C96" s="2" t="s">
        <v>419</v>
      </c>
      <c r="D96" s="23">
        <v>44026</v>
      </c>
      <c r="E96" s="23">
        <v>44094</v>
      </c>
      <c r="F96" s="23">
        <v>44094</v>
      </c>
      <c r="G96" s="2" t="s">
        <v>299</v>
      </c>
      <c r="H96" s="55">
        <v>44247</v>
      </c>
      <c r="I96" s="55">
        <v>44459</v>
      </c>
      <c r="J96" s="23">
        <v>44483</v>
      </c>
      <c r="K96" s="23">
        <v>44476</v>
      </c>
      <c r="L96" s="3" t="str">
        <f t="shared" si="15"/>
        <v>1Y2M23D</v>
      </c>
      <c r="M96" s="3" t="str">
        <f t="shared" si="16"/>
        <v>1Y0M17D</v>
      </c>
      <c r="N96" s="3">
        <f t="shared" si="17"/>
        <v>1.0465753424657533</v>
      </c>
      <c r="O96" s="2">
        <v>3</v>
      </c>
      <c r="P96" s="2">
        <v>2</v>
      </c>
      <c r="Q96" s="2"/>
      <c r="R96" s="2">
        <v>2</v>
      </c>
      <c r="S96" s="2">
        <v>1</v>
      </c>
      <c r="T96" s="2">
        <v>1</v>
      </c>
      <c r="U96" s="2"/>
      <c r="V96" s="2" t="s">
        <v>1661</v>
      </c>
      <c r="W96" s="2">
        <v>1</v>
      </c>
      <c r="X96" s="2">
        <v>1</v>
      </c>
      <c r="Y96" s="2">
        <v>1</v>
      </c>
      <c r="Z96" s="2">
        <v>1</v>
      </c>
      <c r="AA96" s="2">
        <v>1</v>
      </c>
      <c r="AB96" s="2"/>
      <c r="AC96" s="2" t="s">
        <v>1711</v>
      </c>
      <c r="AD96" s="2">
        <v>1</v>
      </c>
      <c r="AE96" s="2">
        <v>1</v>
      </c>
      <c r="AF96" s="2">
        <v>1</v>
      </c>
      <c r="AG96" s="2">
        <v>1</v>
      </c>
      <c r="AH96" s="23">
        <v>44483</v>
      </c>
      <c r="AI96" s="3" t="str">
        <f t="shared" si="18"/>
        <v>1Y3M0D</v>
      </c>
      <c r="AJ96" s="3" t="str">
        <f t="shared" si="19"/>
        <v>1Y0M24D</v>
      </c>
      <c r="AK96" s="3">
        <f t="shared" si="20"/>
        <v>1.0657534246575342</v>
      </c>
      <c r="AL96" s="2">
        <v>2</v>
      </c>
      <c r="AM96" s="2">
        <v>1</v>
      </c>
      <c r="AN96" s="2">
        <v>1</v>
      </c>
      <c r="AO96" s="2">
        <v>1</v>
      </c>
      <c r="AP96" s="2">
        <v>2</v>
      </c>
      <c r="AQ96" s="2"/>
      <c r="AR96" s="2" t="s">
        <v>1701</v>
      </c>
      <c r="AS96" s="23">
        <v>44480</v>
      </c>
      <c r="AT96" s="3" t="str">
        <f t="shared" si="21"/>
        <v>1Y2M27D</v>
      </c>
      <c r="AU96" s="3" t="str">
        <f t="shared" si="22"/>
        <v>1Y0M21D</v>
      </c>
      <c r="AV96" s="3">
        <f t="shared" si="23"/>
        <v>1.0575342465753426</v>
      </c>
      <c r="AW96" s="2">
        <v>4</v>
      </c>
      <c r="AX96" s="2"/>
      <c r="AY96" s="3" t="e">
        <f t="shared" si="24"/>
        <v>#NUM!</v>
      </c>
      <c r="AZ96" s="3" t="e">
        <f t="shared" si="25"/>
        <v>#NUM!</v>
      </c>
      <c r="BA96" s="3">
        <f t="shared" si="26"/>
        <v>-120.8054794520548</v>
      </c>
      <c r="BB96" s="2"/>
      <c r="BC96" s="23">
        <v>44476</v>
      </c>
      <c r="BD96" s="3" t="str">
        <f t="shared" si="27"/>
        <v>1Y2M23D</v>
      </c>
      <c r="BE96" s="3" t="str">
        <f t="shared" si="28"/>
        <v>1Y0M17D</v>
      </c>
      <c r="BF96" s="3">
        <f t="shared" si="29"/>
        <v>1.0465753424657533</v>
      </c>
      <c r="BG96" s="2">
        <v>1</v>
      </c>
      <c r="BH96" s="2">
        <v>1</v>
      </c>
    </row>
    <row r="97" spans="1:60" ht="16">
      <c r="A97" s="2" t="s">
        <v>422</v>
      </c>
      <c r="B97" s="2">
        <v>5085718</v>
      </c>
      <c r="C97" s="2" t="s">
        <v>423</v>
      </c>
      <c r="D97" s="23">
        <v>44191</v>
      </c>
      <c r="E97" s="23">
        <v>44190</v>
      </c>
      <c r="F97" s="23">
        <v>44191</v>
      </c>
      <c r="G97" s="2" t="s">
        <v>39</v>
      </c>
      <c r="H97" s="55">
        <v>44341</v>
      </c>
      <c r="I97" s="55">
        <v>44555</v>
      </c>
      <c r="J97" s="23">
        <v>44477</v>
      </c>
      <c r="K97" s="23">
        <v>44477</v>
      </c>
      <c r="L97" s="3" t="str">
        <f t="shared" si="15"/>
        <v>0Y9M12D</v>
      </c>
      <c r="M97" s="3" t="str">
        <f t="shared" si="16"/>
        <v>0Y9M13D</v>
      </c>
      <c r="N97" s="3">
        <f t="shared" si="17"/>
        <v>0.78356164383561644</v>
      </c>
      <c r="O97" s="2">
        <v>3</v>
      </c>
      <c r="P97" s="2">
        <v>3</v>
      </c>
      <c r="Q97" s="2" t="s">
        <v>1703</v>
      </c>
      <c r="R97" s="2">
        <v>2</v>
      </c>
      <c r="S97" s="2">
        <v>1</v>
      </c>
      <c r="T97" s="2"/>
      <c r="U97" s="2" t="s">
        <v>1709</v>
      </c>
      <c r="V97" s="2" t="s">
        <v>1695</v>
      </c>
      <c r="W97" s="2">
        <v>1</v>
      </c>
      <c r="X97" s="2">
        <v>1</v>
      </c>
      <c r="Y97" s="2">
        <v>1</v>
      </c>
      <c r="Z97" s="2">
        <v>1</v>
      </c>
      <c r="AA97" s="2">
        <v>1</v>
      </c>
      <c r="AB97" s="2"/>
      <c r="AC97" s="2" t="s">
        <v>1682</v>
      </c>
      <c r="AD97" s="2">
        <v>1</v>
      </c>
      <c r="AE97" s="2">
        <v>1</v>
      </c>
      <c r="AF97" s="2">
        <v>1</v>
      </c>
      <c r="AG97" s="2">
        <v>1</v>
      </c>
      <c r="AH97" s="23">
        <v>44524</v>
      </c>
      <c r="AI97" s="3" t="str">
        <f t="shared" si="18"/>
        <v>0Y10M29D</v>
      </c>
      <c r="AJ97" s="3" t="str">
        <f t="shared" si="19"/>
        <v>0Y10M30D</v>
      </c>
      <c r="AK97" s="3">
        <f t="shared" si="20"/>
        <v>0.9123287671232877</v>
      </c>
      <c r="AL97" s="2">
        <v>2</v>
      </c>
      <c r="AM97" s="2">
        <v>1</v>
      </c>
      <c r="AN97" s="2">
        <v>1</v>
      </c>
      <c r="AO97" s="2">
        <v>1</v>
      </c>
      <c r="AP97" s="2">
        <v>2</v>
      </c>
      <c r="AQ97" s="2">
        <v>3</v>
      </c>
      <c r="AR97" s="2"/>
      <c r="AS97" s="23">
        <v>44498</v>
      </c>
      <c r="AT97" s="3" t="str">
        <f t="shared" si="21"/>
        <v>0Y10M3D</v>
      </c>
      <c r="AU97" s="3" t="str">
        <f t="shared" si="22"/>
        <v>0Y10M4D</v>
      </c>
      <c r="AV97" s="3">
        <f t="shared" si="23"/>
        <v>0.84109589041095889</v>
      </c>
      <c r="AW97" s="2">
        <v>4</v>
      </c>
      <c r="AX97" s="23">
        <v>44498</v>
      </c>
      <c r="AY97" s="3" t="str">
        <f t="shared" si="24"/>
        <v>0Y10M3D</v>
      </c>
      <c r="AZ97" s="3" t="str">
        <f t="shared" si="25"/>
        <v>0Y10M4D</v>
      </c>
      <c r="BA97" s="3">
        <f t="shared" si="26"/>
        <v>0.84109589041095889</v>
      </c>
      <c r="BB97" s="2">
        <v>4</v>
      </c>
      <c r="BC97" s="23">
        <v>44477</v>
      </c>
      <c r="BD97" s="3" t="str">
        <f t="shared" si="27"/>
        <v>0Y9M12D</v>
      </c>
      <c r="BE97" s="3" t="str">
        <f t="shared" si="28"/>
        <v>0Y9M13D</v>
      </c>
      <c r="BF97" s="3">
        <f t="shared" si="29"/>
        <v>0.78356164383561644</v>
      </c>
      <c r="BG97" s="2">
        <v>1</v>
      </c>
      <c r="BH97" s="2">
        <v>0</v>
      </c>
    </row>
    <row r="98" spans="1:60" ht="16">
      <c r="A98" s="2" t="s">
        <v>426</v>
      </c>
      <c r="B98" s="2">
        <v>22107919</v>
      </c>
      <c r="C98" s="2" t="s">
        <v>427</v>
      </c>
      <c r="D98" s="23">
        <v>44350</v>
      </c>
      <c r="E98" s="23">
        <v>44411</v>
      </c>
      <c r="F98" s="23">
        <v>44411</v>
      </c>
      <c r="G98" s="2" t="s">
        <v>66</v>
      </c>
      <c r="H98" s="55">
        <v>44564</v>
      </c>
      <c r="I98" s="55">
        <v>44776</v>
      </c>
      <c r="J98" s="23">
        <v>44600</v>
      </c>
      <c r="K98" s="23">
        <v>44600</v>
      </c>
      <c r="L98" s="3" t="str">
        <f t="shared" si="15"/>
        <v>0Y8M5D</v>
      </c>
      <c r="M98" s="3" t="str">
        <f t="shared" si="16"/>
        <v>0Y6M5D</v>
      </c>
      <c r="N98" s="3">
        <f t="shared" si="17"/>
        <v>0.51780821917808217</v>
      </c>
      <c r="O98" s="2">
        <v>3</v>
      </c>
      <c r="P98" s="2">
        <v>2</v>
      </c>
      <c r="Q98" s="2"/>
      <c r="R98" s="2">
        <v>2</v>
      </c>
      <c r="S98" s="2">
        <v>1</v>
      </c>
      <c r="T98" s="2"/>
      <c r="U98" s="2" t="s">
        <v>1733</v>
      </c>
      <c r="V98" s="2" t="s">
        <v>1661</v>
      </c>
      <c r="W98" s="2">
        <v>1</v>
      </c>
      <c r="X98" s="2">
        <v>1</v>
      </c>
      <c r="Y98" s="2">
        <v>2</v>
      </c>
      <c r="Z98" s="2">
        <v>1</v>
      </c>
      <c r="AA98" s="2">
        <v>2</v>
      </c>
      <c r="AB98" s="2"/>
      <c r="AC98" s="2" t="s">
        <v>1674</v>
      </c>
      <c r="AD98" s="2">
        <v>1</v>
      </c>
      <c r="AE98" s="2">
        <v>1</v>
      </c>
      <c r="AF98" s="2">
        <v>1</v>
      </c>
      <c r="AG98" s="2">
        <v>1</v>
      </c>
      <c r="AH98" s="23">
        <v>44600</v>
      </c>
      <c r="AI98" s="3" t="str">
        <f t="shared" si="18"/>
        <v>0Y8M5D</v>
      </c>
      <c r="AJ98" s="3" t="str">
        <f t="shared" si="19"/>
        <v>0Y6M5D</v>
      </c>
      <c r="AK98" s="3">
        <f t="shared" si="20"/>
        <v>0.51780821917808217</v>
      </c>
      <c r="AL98" s="2">
        <v>2</v>
      </c>
      <c r="AM98" s="2">
        <v>1</v>
      </c>
      <c r="AN98" s="2">
        <v>1</v>
      </c>
      <c r="AO98" s="2">
        <v>1</v>
      </c>
      <c r="AP98" s="2">
        <v>2</v>
      </c>
      <c r="AQ98" s="2">
        <v>3</v>
      </c>
      <c r="AR98" s="2"/>
      <c r="AS98" s="23">
        <v>44599</v>
      </c>
      <c r="AT98" s="3" t="str">
        <f t="shared" si="21"/>
        <v>0Y8M4D</v>
      </c>
      <c r="AU98" s="3" t="str">
        <f t="shared" si="22"/>
        <v>0Y6M4D</v>
      </c>
      <c r="AV98" s="3">
        <f t="shared" si="23"/>
        <v>0.51506849315068493</v>
      </c>
      <c r="AW98" s="2">
        <v>4</v>
      </c>
      <c r="AX98" s="2"/>
      <c r="AY98" s="3" t="e">
        <f t="shared" si="24"/>
        <v>#NUM!</v>
      </c>
      <c r="AZ98" s="3" t="e">
        <f t="shared" si="25"/>
        <v>#NUM!</v>
      </c>
      <c r="BA98" s="3">
        <f t="shared" si="26"/>
        <v>-121.67397260273972</v>
      </c>
      <c r="BB98" s="2"/>
      <c r="BC98" s="23">
        <v>44600</v>
      </c>
      <c r="BD98" s="3" t="str">
        <f t="shared" si="27"/>
        <v>0Y8M5D</v>
      </c>
      <c r="BE98" s="3" t="str">
        <f t="shared" si="28"/>
        <v>0Y6M5D</v>
      </c>
      <c r="BF98" s="3">
        <f t="shared" si="29"/>
        <v>0.51780821917808217</v>
      </c>
      <c r="BG98" s="2">
        <v>1</v>
      </c>
      <c r="BH98" s="2">
        <v>1</v>
      </c>
    </row>
    <row r="99" spans="1:60" ht="16">
      <c r="A99" s="2" t="s">
        <v>429</v>
      </c>
      <c r="B99" s="2">
        <v>22108733</v>
      </c>
      <c r="C99" s="2" t="s">
        <v>430</v>
      </c>
      <c r="D99" s="23">
        <v>44438</v>
      </c>
      <c r="E99" s="23">
        <v>44494</v>
      </c>
      <c r="F99" s="23">
        <v>44438</v>
      </c>
      <c r="G99" s="2">
        <v>32</v>
      </c>
      <c r="H99" s="55">
        <v>44645</v>
      </c>
      <c r="I99" s="55">
        <v>44859</v>
      </c>
      <c r="J99" s="23">
        <v>44687</v>
      </c>
      <c r="K99" s="23">
        <v>44670</v>
      </c>
      <c r="L99" s="3" t="str">
        <f t="shared" si="15"/>
        <v>0Y7M20D</v>
      </c>
      <c r="M99" s="3" t="str">
        <f t="shared" si="16"/>
        <v>0Y5M25D</v>
      </c>
      <c r="N99" s="3">
        <f t="shared" si="17"/>
        <v>0.63561643835616444</v>
      </c>
      <c r="O99" s="2">
        <v>3</v>
      </c>
      <c r="P99" s="2">
        <v>3</v>
      </c>
      <c r="Q99" s="2" t="s">
        <v>1684</v>
      </c>
      <c r="R99" s="2">
        <v>2</v>
      </c>
      <c r="S99" s="2">
        <v>1</v>
      </c>
      <c r="T99" s="2">
        <v>1</v>
      </c>
      <c r="U99" s="2" t="s">
        <v>1666</v>
      </c>
      <c r="V99" s="2" t="s">
        <v>1661</v>
      </c>
      <c r="W99" s="2">
        <v>1</v>
      </c>
      <c r="X99" s="2">
        <v>1</v>
      </c>
      <c r="Y99" s="2">
        <v>2</v>
      </c>
      <c r="Z99" s="2">
        <v>1</v>
      </c>
      <c r="AA99" s="2">
        <v>2</v>
      </c>
      <c r="AB99" s="2">
        <v>1</v>
      </c>
      <c r="AC99" s="2" t="s">
        <v>1663</v>
      </c>
      <c r="AD99" s="2">
        <v>1</v>
      </c>
      <c r="AE99" s="2">
        <v>1</v>
      </c>
      <c r="AF99" s="2">
        <v>1</v>
      </c>
      <c r="AG99" s="2">
        <v>1</v>
      </c>
      <c r="AH99" s="23">
        <v>44687</v>
      </c>
      <c r="AI99" s="3" t="str">
        <f t="shared" si="18"/>
        <v>0Y8M6D</v>
      </c>
      <c r="AJ99" s="3" t="str">
        <f t="shared" si="19"/>
        <v>0Y6M11D</v>
      </c>
      <c r="AK99" s="3">
        <f t="shared" si="20"/>
        <v>0.68219178082191778</v>
      </c>
      <c r="AL99" s="2">
        <v>2</v>
      </c>
      <c r="AM99" s="2">
        <v>1</v>
      </c>
      <c r="AN99" s="2">
        <v>1</v>
      </c>
      <c r="AO99" s="2">
        <v>1</v>
      </c>
      <c r="AP99" s="2">
        <v>2</v>
      </c>
      <c r="AQ99" s="2">
        <v>3</v>
      </c>
      <c r="AR99" s="2"/>
      <c r="AS99" s="23">
        <v>44683</v>
      </c>
      <c r="AT99" s="3" t="str">
        <f t="shared" si="21"/>
        <v>0Y8M2D</v>
      </c>
      <c r="AU99" s="3" t="str">
        <f t="shared" si="22"/>
        <v>0Y6M7D</v>
      </c>
      <c r="AV99" s="3">
        <f t="shared" si="23"/>
        <v>0.67123287671232879</v>
      </c>
      <c r="AW99" s="2">
        <v>4</v>
      </c>
      <c r="AX99" s="23">
        <v>44685</v>
      </c>
      <c r="AY99" s="3" t="str">
        <f t="shared" si="24"/>
        <v>0Y8M4D</v>
      </c>
      <c r="AZ99" s="3" t="str">
        <f t="shared" si="25"/>
        <v>0Y6M9D</v>
      </c>
      <c r="BA99" s="3">
        <f t="shared" si="26"/>
        <v>0.67671232876712328</v>
      </c>
      <c r="BB99" s="2">
        <v>9</v>
      </c>
      <c r="BC99" s="23">
        <v>44670</v>
      </c>
      <c r="BD99" s="3" t="str">
        <f t="shared" si="27"/>
        <v>0Y7M20D</v>
      </c>
      <c r="BE99" s="3" t="str">
        <f t="shared" si="28"/>
        <v>0Y5M25D</v>
      </c>
      <c r="BF99" s="3">
        <f t="shared" si="29"/>
        <v>0.63561643835616444</v>
      </c>
      <c r="BG99" s="2">
        <v>1</v>
      </c>
      <c r="BH99" s="2">
        <v>1</v>
      </c>
    </row>
    <row r="100" spans="1:60" s="114" customFormat="1" ht="16">
      <c r="A100" s="16" t="s">
        <v>433</v>
      </c>
      <c r="B100" s="16">
        <v>22139029</v>
      </c>
      <c r="C100" s="16" t="s">
        <v>434</v>
      </c>
      <c r="D100" s="77">
        <v>43835</v>
      </c>
      <c r="E100" s="77">
        <v>43892</v>
      </c>
      <c r="F100" s="77">
        <v>43892</v>
      </c>
      <c r="G100" s="16" t="s">
        <v>435</v>
      </c>
      <c r="H100" s="78">
        <v>44045</v>
      </c>
      <c r="I100" s="78">
        <v>44257</v>
      </c>
      <c r="J100" s="16"/>
      <c r="K100" s="16"/>
      <c r="L100" s="68" t="e">
        <f t="shared" si="15"/>
        <v>#NUM!</v>
      </c>
      <c r="M100" s="68" t="e">
        <f t="shared" si="16"/>
        <v>#NUM!</v>
      </c>
      <c r="N100" s="68">
        <f t="shared" si="17"/>
        <v>-120.25205479452055</v>
      </c>
      <c r="O100" s="16"/>
      <c r="P100" s="16"/>
      <c r="Q100" s="16"/>
      <c r="R100" s="16"/>
      <c r="S100" s="16"/>
      <c r="T100" s="16"/>
      <c r="U100" s="16"/>
      <c r="V100" s="16"/>
      <c r="W100" s="16"/>
      <c r="X100" s="16"/>
      <c r="Y100" s="16"/>
      <c r="Z100" s="16"/>
      <c r="AA100" s="16"/>
      <c r="AB100" s="16"/>
      <c r="AC100" s="16"/>
      <c r="AD100" s="16"/>
      <c r="AE100" s="16"/>
      <c r="AF100" s="16"/>
      <c r="AG100" s="16"/>
      <c r="AH100" s="16"/>
      <c r="AI100" s="68" t="e">
        <f t="shared" si="18"/>
        <v>#NUM!</v>
      </c>
      <c r="AJ100" s="68" t="e">
        <f t="shared" si="19"/>
        <v>#NUM!</v>
      </c>
      <c r="AK100" s="68">
        <f t="shared" si="20"/>
        <v>-120.25205479452055</v>
      </c>
      <c r="AL100" s="16"/>
      <c r="AM100" s="16"/>
      <c r="AN100" s="16"/>
      <c r="AO100" s="16"/>
      <c r="AP100" s="16"/>
      <c r="AQ100" s="16"/>
      <c r="AR100" s="16"/>
      <c r="AS100" s="16"/>
      <c r="AT100" s="68" t="e">
        <f t="shared" si="21"/>
        <v>#NUM!</v>
      </c>
      <c r="AU100" s="68" t="e">
        <f t="shared" si="22"/>
        <v>#NUM!</v>
      </c>
      <c r="AV100" s="68">
        <f t="shared" si="23"/>
        <v>-120.25205479452055</v>
      </c>
      <c r="AW100" s="16"/>
      <c r="AX100" s="16"/>
      <c r="AY100" s="68" t="e">
        <f t="shared" si="24"/>
        <v>#NUM!</v>
      </c>
      <c r="AZ100" s="68" t="e">
        <f t="shared" si="25"/>
        <v>#NUM!</v>
      </c>
      <c r="BA100" s="68">
        <f t="shared" si="26"/>
        <v>-120.25205479452055</v>
      </c>
      <c r="BB100" s="16"/>
      <c r="BC100" s="16"/>
      <c r="BD100" s="68" t="e">
        <f t="shared" si="27"/>
        <v>#NUM!</v>
      </c>
      <c r="BE100" s="68" t="e">
        <f t="shared" si="28"/>
        <v>#NUM!</v>
      </c>
      <c r="BF100" s="68">
        <f t="shared" si="29"/>
        <v>-120.25205479452055</v>
      </c>
      <c r="BG100" s="16"/>
      <c r="BH100" s="16"/>
    </row>
    <row r="101" spans="1:60" ht="16">
      <c r="A101" s="2" t="s">
        <v>437</v>
      </c>
      <c r="B101" s="2">
        <v>22107875</v>
      </c>
      <c r="C101" s="2" t="s">
        <v>438</v>
      </c>
      <c r="D101" s="23">
        <v>44345</v>
      </c>
      <c r="E101" s="23">
        <v>44354</v>
      </c>
      <c r="F101" s="23">
        <v>44345</v>
      </c>
      <c r="G101" s="2" t="s">
        <v>155</v>
      </c>
      <c r="H101" s="55">
        <v>44507</v>
      </c>
      <c r="I101" s="55">
        <v>44719</v>
      </c>
      <c r="J101" s="23">
        <v>44800</v>
      </c>
      <c r="K101" s="23">
        <v>44558</v>
      </c>
      <c r="L101" s="3" t="str">
        <f t="shared" si="15"/>
        <v>0Y6M29D</v>
      </c>
      <c r="M101" s="3" t="str">
        <f t="shared" si="16"/>
        <v>0Y6M21D</v>
      </c>
      <c r="N101" s="3">
        <f t="shared" si="17"/>
        <v>0.58356164383561648</v>
      </c>
      <c r="O101" s="2">
        <v>3</v>
      </c>
      <c r="P101" s="2">
        <v>3</v>
      </c>
      <c r="Q101" s="2" t="s">
        <v>1734</v>
      </c>
      <c r="R101" s="2">
        <v>2</v>
      </c>
      <c r="S101" s="2">
        <v>1</v>
      </c>
      <c r="T101" s="2">
        <v>1</v>
      </c>
      <c r="U101" s="2" t="s">
        <v>1688</v>
      </c>
      <c r="V101" s="2" t="s">
        <v>1695</v>
      </c>
      <c r="W101" s="2">
        <v>1</v>
      </c>
      <c r="X101" s="2">
        <v>1</v>
      </c>
      <c r="Y101" s="2">
        <v>1</v>
      </c>
      <c r="Z101" s="2">
        <v>1</v>
      </c>
      <c r="AA101" s="2">
        <v>2</v>
      </c>
      <c r="AB101" s="2">
        <v>1</v>
      </c>
      <c r="AC101" s="2" t="s">
        <v>1735</v>
      </c>
      <c r="AD101" s="2">
        <v>1</v>
      </c>
      <c r="AE101" s="2">
        <v>1</v>
      </c>
      <c r="AF101" s="2">
        <v>1</v>
      </c>
      <c r="AG101" s="2">
        <v>1</v>
      </c>
      <c r="AH101" s="23">
        <v>44558</v>
      </c>
      <c r="AI101" s="3" t="str">
        <f t="shared" si="18"/>
        <v>0Y6M29D</v>
      </c>
      <c r="AJ101" s="3" t="str">
        <f t="shared" si="19"/>
        <v>0Y6M21D</v>
      </c>
      <c r="AK101" s="3">
        <f t="shared" si="20"/>
        <v>0.58356164383561648</v>
      </c>
      <c r="AL101" s="2">
        <v>2</v>
      </c>
      <c r="AM101" s="2">
        <v>1</v>
      </c>
      <c r="AN101" s="2">
        <v>1</v>
      </c>
      <c r="AO101" s="2">
        <v>1</v>
      </c>
      <c r="AP101" s="2">
        <v>2</v>
      </c>
      <c r="AQ101" s="2">
        <v>3</v>
      </c>
      <c r="AR101" s="2"/>
      <c r="AS101" s="23">
        <v>44555</v>
      </c>
      <c r="AT101" s="3" t="str">
        <f t="shared" si="21"/>
        <v>0Y6M26D</v>
      </c>
      <c r="AU101" s="3" t="str">
        <f t="shared" si="22"/>
        <v>0Y6M18D</v>
      </c>
      <c r="AV101" s="3">
        <f t="shared" si="23"/>
        <v>0.57534246575342463</v>
      </c>
      <c r="AW101" s="2">
        <v>4</v>
      </c>
      <c r="AX101" s="2"/>
      <c r="AY101" s="3" t="e">
        <f t="shared" si="24"/>
        <v>#NUM!</v>
      </c>
      <c r="AZ101" s="3" t="e">
        <f t="shared" si="25"/>
        <v>#NUM!</v>
      </c>
      <c r="BA101" s="3">
        <f t="shared" si="26"/>
        <v>-121.49315068493151</v>
      </c>
      <c r="BB101" s="2"/>
      <c r="BC101" s="23">
        <v>44558</v>
      </c>
      <c r="BD101" s="3" t="str">
        <f t="shared" si="27"/>
        <v>0Y6M29D</v>
      </c>
      <c r="BE101" s="3" t="str">
        <f t="shared" si="28"/>
        <v>0Y6M21D</v>
      </c>
      <c r="BF101" s="3">
        <f t="shared" si="29"/>
        <v>0.58356164383561648</v>
      </c>
      <c r="BG101" s="2">
        <v>1</v>
      </c>
      <c r="BH101" s="2">
        <v>0</v>
      </c>
    </row>
    <row r="102" spans="1:60" ht="16">
      <c r="A102" s="2" t="s">
        <v>441</v>
      </c>
      <c r="B102" s="2">
        <v>22105502</v>
      </c>
      <c r="C102" s="2" t="s">
        <v>442</v>
      </c>
      <c r="D102" s="23">
        <v>44113</v>
      </c>
      <c r="E102" s="23">
        <v>44199</v>
      </c>
      <c r="F102" s="23">
        <v>44199</v>
      </c>
      <c r="G102" s="2" t="s">
        <v>443</v>
      </c>
      <c r="H102" s="55">
        <v>44350</v>
      </c>
      <c r="I102" s="55">
        <v>44564</v>
      </c>
      <c r="J102" s="23">
        <v>44482</v>
      </c>
      <c r="K102" s="23">
        <v>44482</v>
      </c>
      <c r="L102" s="3" t="str">
        <f t="shared" si="15"/>
        <v>1Y0M4D</v>
      </c>
      <c r="M102" s="3" t="str">
        <f t="shared" si="16"/>
        <v>0Y9M10D</v>
      </c>
      <c r="N102" s="3">
        <f t="shared" si="17"/>
        <v>0.77534246575342469</v>
      </c>
      <c r="O102" s="2">
        <v>3</v>
      </c>
      <c r="P102" s="2">
        <v>2</v>
      </c>
      <c r="Q102" s="2" t="s">
        <v>1736</v>
      </c>
      <c r="R102" s="2">
        <v>2</v>
      </c>
      <c r="S102" s="2">
        <v>1</v>
      </c>
      <c r="T102" s="2">
        <v>1</v>
      </c>
      <c r="U102" s="2" t="s">
        <v>1712</v>
      </c>
      <c r="V102" s="2" t="s">
        <v>1661</v>
      </c>
      <c r="W102" s="2">
        <v>1</v>
      </c>
      <c r="X102" s="2">
        <v>1</v>
      </c>
      <c r="Y102" s="2">
        <v>1</v>
      </c>
      <c r="Z102" s="2">
        <v>1</v>
      </c>
      <c r="AA102" s="2">
        <v>2</v>
      </c>
      <c r="AB102" s="2"/>
      <c r="AC102" s="2" t="s">
        <v>1674</v>
      </c>
      <c r="AD102" s="2">
        <v>1</v>
      </c>
      <c r="AE102" s="2">
        <v>1</v>
      </c>
      <c r="AF102" s="2">
        <v>1</v>
      </c>
      <c r="AG102" s="2">
        <v>1</v>
      </c>
      <c r="AH102" s="23">
        <v>44482</v>
      </c>
      <c r="AI102" s="3" t="str">
        <f t="shared" si="18"/>
        <v>1Y0M4D</v>
      </c>
      <c r="AJ102" s="3" t="str">
        <f t="shared" si="19"/>
        <v>0Y9M10D</v>
      </c>
      <c r="AK102" s="3">
        <f t="shared" si="20"/>
        <v>0.77534246575342469</v>
      </c>
      <c r="AL102" s="2">
        <v>2</v>
      </c>
      <c r="AM102" s="2">
        <v>1</v>
      </c>
      <c r="AN102" s="2">
        <v>1</v>
      </c>
      <c r="AO102" s="2">
        <v>1</v>
      </c>
      <c r="AP102" s="2">
        <v>2</v>
      </c>
      <c r="AQ102" s="2"/>
      <c r="AR102" s="2" t="s">
        <v>1683</v>
      </c>
      <c r="AS102" s="23">
        <v>44482</v>
      </c>
      <c r="AT102" s="3" t="str">
        <f t="shared" si="21"/>
        <v>1Y0M4D</v>
      </c>
      <c r="AU102" s="3" t="str">
        <f t="shared" si="22"/>
        <v>0Y9M10D</v>
      </c>
      <c r="AV102" s="3">
        <f t="shared" si="23"/>
        <v>0.77534246575342469</v>
      </c>
      <c r="AW102" s="2">
        <v>4</v>
      </c>
      <c r="AX102" s="2"/>
      <c r="AY102" s="3" t="e">
        <f t="shared" si="24"/>
        <v>#NUM!</v>
      </c>
      <c r="AZ102" s="3" t="e">
        <f t="shared" si="25"/>
        <v>#NUM!</v>
      </c>
      <c r="BA102" s="3">
        <f t="shared" si="26"/>
        <v>-121.0931506849315</v>
      </c>
      <c r="BB102" s="2"/>
      <c r="BC102" s="23">
        <v>44482</v>
      </c>
      <c r="BD102" s="3" t="str">
        <f t="shared" si="27"/>
        <v>1Y0M4D</v>
      </c>
      <c r="BE102" s="3" t="str">
        <f t="shared" si="28"/>
        <v>0Y9M10D</v>
      </c>
      <c r="BF102" s="3">
        <f t="shared" si="29"/>
        <v>0.77534246575342469</v>
      </c>
      <c r="BG102" s="2">
        <v>1</v>
      </c>
      <c r="BH102" s="2">
        <v>1</v>
      </c>
    </row>
    <row r="103" spans="1:60" s="114" customFormat="1" ht="16">
      <c r="A103" s="16" t="s">
        <v>445</v>
      </c>
      <c r="B103" s="16">
        <v>22103078</v>
      </c>
      <c r="C103" s="16" t="s">
        <v>446</v>
      </c>
      <c r="D103" s="77">
        <v>43807</v>
      </c>
      <c r="E103" s="77">
        <v>43905</v>
      </c>
      <c r="F103" s="77">
        <v>43905</v>
      </c>
      <c r="G103" s="16">
        <v>26</v>
      </c>
      <c r="H103" s="78">
        <v>44058</v>
      </c>
      <c r="I103" s="78">
        <v>44270</v>
      </c>
      <c r="J103" s="16"/>
      <c r="K103" s="16"/>
      <c r="L103" s="68" t="e">
        <f t="shared" si="15"/>
        <v>#NUM!</v>
      </c>
      <c r="M103" s="68" t="e">
        <f t="shared" si="16"/>
        <v>#NUM!</v>
      </c>
      <c r="N103" s="68">
        <f t="shared" si="17"/>
        <v>-120.28767123287672</v>
      </c>
      <c r="O103" s="16"/>
      <c r="P103" s="16"/>
      <c r="Q103" s="16"/>
      <c r="R103" s="16"/>
      <c r="S103" s="16"/>
      <c r="T103" s="16"/>
      <c r="U103" s="16"/>
      <c r="V103" s="16"/>
      <c r="W103" s="16"/>
      <c r="X103" s="16"/>
      <c r="Y103" s="16"/>
      <c r="Z103" s="16"/>
      <c r="AA103" s="16"/>
      <c r="AB103" s="16"/>
      <c r="AC103" s="16"/>
      <c r="AD103" s="16"/>
      <c r="AE103" s="16"/>
      <c r="AF103" s="16"/>
      <c r="AG103" s="16"/>
      <c r="AH103" s="16"/>
      <c r="AI103" s="68" t="e">
        <f t="shared" si="18"/>
        <v>#NUM!</v>
      </c>
      <c r="AJ103" s="68" t="e">
        <f t="shared" si="19"/>
        <v>#NUM!</v>
      </c>
      <c r="AK103" s="68">
        <f t="shared" si="20"/>
        <v>-120.28767123287672</v>
      </c>
      <c r="AL103" s="16"/>
      <c r="AM103" s="16"/>
      <c r="AN103" s="16"/>
      <c r="AO103" s="16"/>
      <c r="AP103" s="16"/>
      <c r="AQ103" s="16"/>
      <c r="AR103" s="16"/>
      <c r="AS103" s="77">
        <v>44482</v>
      </c>
      <c r="AT103" s="68" t="str">
        <f t="shared" si="21"/>
        <v>1Y10M5D</v>
      </c>
      <c r="AU103" s="68" t="str">
        <f t="shared" si="22"/>
        <v>1Y6M28D</v>
      </c>
      <c r="AV103" s="68">
        <f t="shared" si="23"/>
        <v>1.5808219178082192</v>
      </c>
      <c r="AW103" s="16">
        <v>4</v>
      </c>
      <c r="AX103" s="77">
        <v>44482</v>
      </c>
      <c r="AY103" s="68" t="str">
        <f t="shared" si="24"/>
        <v>1Y10M5D</v>
      </c>
      <c r="AZ103" s="68" t="str">
        <f t="shared" si="25"/>
        <v>1Y6M28D</v>
      </c>
      <c r="BA103" s="68">
        <f t="shared" si="26"/>
        <v>1.5808219178082192</v>
      </c>
      <c r="BB103" s="16">
        <v>4</v>
      </c>
      <c r="BC103" s="16"/>
      <c r="BD103" s="68" t="e">
        <f t="shared" si="27"/>
        <v>#NUM!</v>
      </c>
      <c r="BE103" s="68" t="e">
        <f t="shared" si="28"/>
        <v>#NUM!</v>
      </c>
      <c r="BF103" s="68">
        <f t="shared" si="29"/>
        <v>-120.28767123287672</v>
      </c>
      <c r="BG103" s="16"/>
      <c r="BH103" s="16"/>
    </row>
    <row r="104" spans="1:60" ht="16">
      <c r="A104" s="2" t="s">
        <v>449</v>
      </c>
      <c r="B104" s="2">
        <v>22105498</v>
      </c>
      <c r="C104" s="2" t="s">
        <v>450</v>
      </c>
      <c r="D104" s="23">
        <v>44113</v>
      </c>
      <c r="E104" s="23">
        <v>44118</v>
      </c>
      <c r="F104" s="23">
        <v>44113</v>
      </c>
      <c r="G104" s="2" t="s">
        <v>452</v>
      </c>
      <c r="H104" s="55">
        <v>44634</v>
      </c>
      <c r="I104" s="55">
        <v>44848</v>
      </c>
      <c r="J104" s="23">
        <v>44484</v>
      </c>
      <c r="K104" s="23">
        <v>44484</v>
      </c>
      <c r="L104" s="3" t="str">
        <f t="shared" si="15"/>
        <v>1Y0M6D</v>
      </c>
      <c r="M104" s="3" t="str">
        <f t="shared" si="16"/>
        <v>1Y0M1D</v>
      </c>
      <c r="N104" s="3">
        <f t="shared" si="17"/>
        <v>1.0164383561643835</v>
      </c>
      <c r="O104" s="2">
        <v>3</v>
      </c>
      <c r="P104" s="2">
        <v>4</v>
      </c>
      <c r="Q104" s="2" t="s">
        <v>1703</v>
      </c>
      <c r="R104" s="2">
        <v>2</v>
      </c>
      <c r="S104" s="2">
        <v>1</v>
      </c>
      <c r="T104" s="2">
        <v>1</v>
      </c>
      <c r="U104" s="2"/>
      <c r="V104" s="2" t="s">
        <v>1664</v>
      </c>
      <c r="W104" s="2">
        <v>1</v>
      </c>
      <c r="X104" s="2">
        <v>1</v>
      </c>
      <c r="Y104" s="2">
        <v>1</v>
      </c>
      <c r="Z104" s="2">
        <v>1</v>
      </c>
      <c r="AA104" s="2">
        <v>2</v>
      </c>
      <c r="AB104" s="2">
        <v>1</v>
      </c>
      <c r="AC104" s="2"/>
      <c r="AD104" s="2">
        <v>1</v>
      </c>
      <c r="AE104" s="2">
        <v>1</v>
      </c>
      <c r="AF104" s="2">
        <v>1</v>
      </c>
      <c r="AG104" s="2">
        <v>1</v>
      </c>
      <c r="AH104" s="23">
        <v>44490</v>
      </c>
      <c r="AI104" s="3" t="str">
        <f t="shared" si="18"/>
        <v>1Y0M12D</v>
      </c>
      <c r="AJ104" s="3" t="str">
        <f t="shared" si="19"/>
        <v>1Y0M7D</v>
      </c>
      <c r="AK104" s="3">
        <f t="shared" si="20"/>
        <v>1.0328767123287672</v>
      </c>
      <c r="AL104" s="2">
        <v>2</v>
      </c>
      <c r="AM104" s="2">
        <v>1</v>
      </c>
      <c r="AN104" s="2">
        <v>1</v>
      </c>
      <c r="AO104" s="2">
        <v>1</v>
      </c>
      <c r="AP104" s="2">
        <v>2</v>
      </c>
      <c r="AQ104" s="2">
        <v>1</v>
      </c>
      <c r="AR104" s="2" t="s">
        <v>1683</v>
      </c>
      <c r="AS104" s="23">
        <v>44487</v>
      </c>
      <c r="AT104" s="3" t="str">
        <f t="shared" si="21"/>
        <v>1Y0M9D</v>
      </c>
      <c r="AU104" s="3" t="str">
        <f t="shared" si="22"/>
        <v>1Y0M4D</v>
      </c>
      <c r="AV104" s="3">
        <f t="shared" si="23"/>
        <v>1.0246575342465754</v>
      </c>
      <c r="AW104" s="2">
        <v>4</v>
      </c>
      <c r="AX104" s="2"/>
      <c r="AY104" s="3" t="e">
        <f t="shared" si="24"/>
        <v>#NUM!</v>
      </c>
      <c r="AZ104" s="3" t="e">
        <f t="shared" si="25"/>
        <v>#NUM!</v>
      </c>
      <c r="BA104" s="3">
        <f t="shared" si="26"/>
        <v>-120.85753424657534</v>
      </c>
      <c r="BB104" s="2"/>
      <c r="BC104" s="82">
        <v>44484</v>
      </c>
      <c r="BD104" s="28" t="str">
        <f t="shared" si="27"/>
        <v>1Y0M6D</v>
      </c>
      <c r="BE104" s="28" t="str">
        <f t="shared" si="28"/>
        <v>1Y0M1D</v>
      </c>
      <c r="BF104" s="28">
        <f t="shared" si="29"/>
        <v>1.0164383561643835</v>
      </c>
      <c r="BG104" s="2">
        <v>1</v>
      </c>
      <c r="BH104" s="2">
        <v>0</v>
      </c>
    </row>
    <row r="105" spans="1:60" s="110" customFormat="1" ht="16">
      <c r="A105" s="17" t="s">
        <v>454</v>
      </c>
      <c r="B105" s="17">
        <v>22107550</v>
      </c>
      <c r="C105" s="17" t="s">
        <v>455</v>
      </c>
      <c r="D105" s="40">
        <v>44310</v>
      </c>
      <c r="E105" s="40">
        <v>44420</v>
      </c>
      <c r="F105" s="40">
        <v>44420</v>
      </c>
      <c r="G105" s="17" t="s">
        <v>314</v>
      </c>
      <c r="H105" s="75">
        <v>44573</v>
      </c>
      <c r="I105" s="75">
        <v>44785</v>
      </c>
      <c r="J105" s="17"/>
      <c r="K105" s="22" t="s">
        <v>1718</v>
      </c>
      <c r="L105" s="70" t="e">
        <f t="shared" si="15"/>
        <v>#VALUE!</v>
      </c>
      <c r="M105" s="21" t="e">
        <f t="shared" si="16"/>
        <v>#VALUE!</v>
      </c>
      <c r="N105" s="21" t="e">
        <f t="shared" si="17"/>
        <v>#VALUE!</v>
      </c>
      <c r="O105" s="17"/>
      <c r="P105" s="17"/>
      <c r="Q105" s="17"/>
      <c r="R105" s="17"/>
      <c r="S105" s="17"/>
      <c r="T105" s="17"/>
      <c r="U105" s="17"/>
      <c r="V105" s="17"/>
      <c r="W105" s="17"/>
      <c r="X105" s="17"/>
      <c r="Y105" s="17"/>
      <c r="Z105" s="17"/>
      <c r="AA105" s="17"/>
      <c r="AB105" s="17"/>
      <c r="AC105" s="17"/>
      <c r="AD105" s="17"/>
      <c r="AE105" s="17"/>
      <c r="AF105" s="17"/>
      <c r="AG105" s="17"/>
      <c r="AH105" s="22" t="s">
        <v>1720</v>
      </c>
      <c r="AI105" s="70" t="e">
        <f t="shared" si="18"/>
        <v>#VALUE!</v>
      </c>
      <c r="AJ105" s="21" t="e">
        <f t="shared" si="19"/>
        <v>#VALUE!</v>
      </c>
      <c r="AK105" s="21" t="e">
        <f t="shared" si="20"/>
        <v>#VALUE!</v>
      </c>
      <c r="AL105" s="17"/>
      <c r="AM105" s="17"/>
      <c r="AN105" s="17"/>
      <c r="AO105" s="17"/>
      <c r="AP105" s="17"/>
      <c r="AQ105" s="17"/>
      <c r="AR105" s="17"/>
      <c r="AS105" s="40">
        <v>44609</v>
      </c>
      <c r="AT105" s="21" t="str">
        <f t="shared" si="21"/>
        <v>0Y9M24D</v>
      </c>
      <c r="AU105" s="21" t="str">
        <f t="shared" si="22"/>
        <v>0Y6M5D</v>
      </c>
      <c r="AV105" s="21">
        <f t="shared" si="23"/>
        <v>0.51780821917808217</v>
      </c>
      <c r="AW105" s="17">
        <v>4</v>
      </c>
      <c r="AX105" s="17"/>
      <c r="AY105" s="21" t="e">
        <f t="shared" si="24"/>
        <v>#NUM!</v>
      </c>
      <c r="AZ105" s="21" t="e">
        <f t="shared" si="25"/>
        <v>#NUM!</v>
      </c>
      <c r="BA105" s="21">
        <f t="shared" si="26"/>
        <v>-121.6986301369863</v>
      </c>
      <c r="BB105" s="17"/>
      <c r="BC105" s="40">
        <v>44610</v>
      </c>
      <c r="BD105" s="21" t="str">
        <f t="shared" si="27"/>
        <v>0Y9M25D</v>
      </c>
      <c r="BE105" s="21" t="str">
        <f t="shared" si="28"/>
        <v>0Y6M6D</v>
      </c>
      <c r="BF105" s="21">
        <f t="shared" si="29"/>
        <v>0.52054794520547942</v>
      </c>
      <c r="BG105" s="17">
        <v>1</v>
      </c>
      <c r="BH105" s="17">
        <v>1</v>
      </c>
    </row>
    <row r="106" spans="1:60" ht="16">
      <c r="A106" s="2" t="s">
        <v>458</v>
      </c>
      <c r="B106" s="2">
        <v>22107191</v>
      </c>
      <c r="C106" s="2" t="s">
        <v>459</v>
      </c>
      <c r="D106" s="23">
        <v>44273</v>
      </c>
      <c r="E106" s="23">
        <v>44361</v>
      </c>
      <c r="F106" s="23">
        <v>44361</v>
      </c>
      <c r="G106" s="2" t="s">
        <v>461</v>
      </c>
      <c r="H106" s="55">
        <v>44514</v>
      </c>
      <c r="I106" s="55">
        <v>44726</v>
      </c>
      <c r="J106" s="23">
        <v>44540</v>
      </c>
      <c r="K106" s="23">
        <v>44540</v>
      </c>
      <c r="L106" s="3" t="str">
        <f t="shared" si="15"/>
        <v>0Y8M22D</v>
      </c>
      <c r="M106" s="3" t="str">
        <f t="shared" si="16"/>
        <v>0Y5M26D</v>
      </c>
      <c r="N106" s="3">
        <f t="shared" si="17"/>
        <v>0.49041095890410957</v>
      </c>
      <c r="O106" s="2">
        <v>3</v>
      </c>
      <c r="P106" s="2">
        <v>3</v>
      </c>
      <c r="Q106" s="2" t="s">
        <v>1703</v>
      </c>
      <c r="R106" s="2">
        <v>2</v>
      </c>
      <c r="S106" s="2">
        <v>1</v>
      </c>
      <c r="T106" s="2">
        <v>1</v>
      </c>
      <c r="U106" s="2"/>
      <c r="V106" s="2" t="s">
        <v>1661</v>
      </c>
      <c r="W106" s="2">
        <v>1</v>
      </c>
      <c r="X106" s="2">
        <v>1</v>
      </c>
      <c r="Y106" s="2">
        <v>1</v>
      </c>
      <c r="Z106" s="2">
        <v>1</v>
      </c>
      <c r="AA106" s="2">
        <v>2</v>
      </c>
      <c r="AB106" s="2"/>
      <c r="AC106" s="2" t="s">
        <v>1737</v>
      </c>
      <c r="AD106" s="2">
        <v>1</v>
      </c>
      <c r="AE106" s="2">
        <v>1</v>
      </c>
      <c r="AF106" s="2">
        <v>1</v>
      </c>
      <c r="AG106" s="2">
        <v>1</v>
      </c>
      <c r="AH106" s="23">
        <v>44575</v>
      </c>
      <c r="AI106" s="3" t="str">
        <f t="shared" si="18"/>
        <v>0Y9M27D</v>
      </c>
      <c r="AJ106" s="3" t="str">
        <f t="shared" si="19"/>
        <v>0Y7M0D</v>
      </c>
      <c r="AK106" s="3">
        <f t="shared" si="20"/>
        <v>0.58630136986301373</v>
      </c>
      <c r="AL106" s="2">
        <v>2</v>
      </c>
      <c r="AM106" s="2">
        <v>1</v>
      </c>
      <c r="AN106" s="2">
        <v>1</v>
      </c>
      <c r="AO106" s="2">
        <v>1</v>
      </c>
      <c r="AP106" s="2">
        <v>2</v>
      </c>
      <c r="AQ106" s="2">
        <v>1</v>
      </c>
      <c r="AR106" s="2" t="s">
        <v>1719</v>
      </c>
      <c r="AS106" s="23">
        <v>44537</v>
      </c>
      <c r="AT106" s="3" t="str">
        <f t="shared" si="21"/>
        <v>0Y8M19D</v>
      </c>
      <c r="AU106" s="3" t="str">
        <f t="shared" si="22"/>
        <v>0Y5M23D</v>
      </c>
      <c r="AV106" s="3">
        <f t="shared" si="23"/>
        <v>0.48219178082191783</v>
      </c>
      <c r="AW106" s="2">
        <v>4</v>
      </c>
      <c r="AX106" s="23">
        <v>44539</v>
      </c>
      <c r="AY106" s="3" t="str">
        <f t="shared" si="24"/>
        <v>0Y8M21D</v>
      </c>
      <c r="AZ106" s="3" t="str">
        <f t="shared" si="25"/>
        <v>0Y5M25D</v>
      </c>
      <c r="BA106" s="3">
        <f t="shared" si="26"/>
        <v>0.48767123287671232</v>
      </c>
      <c r="BB106" s="2">
        <v>4</v>
      </c>
      <c r="BC106" s="23">
        <v>44540</v>
      </c>
      <c r="BD106" s="3" t="str">
        <f t="shared" si="27"/>
        <v>0Y8M22D</v>
      </c>
      <c r="BE106" s="3" t="str">
        <f t="shared" si="28"/>
        <v>0Y5M26D</v>
      </c>
      <c r="BF106" s="3">
        <f t="shared" si="29"/>
        <v>0.49041095890410957</v>
      </c>
      <c r="BG106" s="2">
        <v>1</v>
      </c>
      <c r="BH106" s="2">
        <v>1</v>
      </c>
    </row>
    <row r="107" spans="1:60" ht="16">
      <c r="A107" s="2" t="s">
        <v>463</v>
      </c>
      <c r="B107" s="2">
        <v>22107192</v>
      </c>
      <c r="C107" s="2" t="s">
        <v>464</v>
      </c>
      <c r="D107" s="23">
        <v>44273</v>
      </c>
      <c r="E107" s="23">
        <v>44361</v>
      </c>
      <c r="F107" s="23">
        <v>44361</v>
      </c>
      <c r="G107" s="2" t="s">
        <v>461</v>
      </c>
      <c r="H107" s="55">
        <v>44514</v>
      </c>
      <c r="I107" s="55">
        <v>44726</v>
      </c>
      <c r="J107" s="23">
        <v>44540</v>
      </c>
      <c r="K107" s="23">
        <v>44540</v>
      </c>
      <c r="L107" s="3" t="str">
        <f t="shared" si="15"/>
        <v>0Y8M22D</v>
      </c>
      <c r="M107" s="3" t="str">
        <f t="shared" si="16"/>
        <v>0Y5M26D</v>
      </c>
      <c r="N107" s="3">
        <f t="shared" si="17"/>
        <v>0.49041095890410957</v>
      </c>
      <c r="O107" s="2">
        <v>3</v>
      </c>
      <c r="P107" s="2">
        <v>4</v>
      </c>
      <c r="Q107" s="2" t="s">
        <v>1698</v>
      </c>
      <c r="R107" s="2">
        <v>2</v>
      </c>
      <c r="S107" s="2">
        <v>1</v>
      </c>
      <c r="T107" s="2">
        <v>1</v>
      </c>
      <c r="U107" s="2" t="s">
        <v>1677</v>
      </c>
      <c r="V107" s="2" t="s">
        <v>1664</v>
      </c>
      <c r="W107" s="2">
        <v>1</v>
      </c>
      <c r="X107" s="2">
        <v>1</v>
      </c>
      <c r="Y107" s="2">
        <v>1</v>
      </c>
      <c r="Z107" s="2">
        <v>1</v>
      </c>
      <c r="AA107" s="2">
        <v>2</v>
      </c>
      <c r="AB107" s="2">
        <v>1</v>
      </c>
      <c r="AC107" s="2" t="s">
        <v>1681</v>
      </c>
      <c r="AD107" s="2">
        <v>1</v>
      </c>
      <c r="AE107" s="2">
        <v>1</v>
      </c>
      <c r="AF107" s="2">
        <v>1</v>
      </c>
      <c r="AG107" s="2">
        <v>1</v>
      </c>
      <c r="AH107" s="23">
        <v>44540</v>
      </c>
      <c r="AI107" s="3" t="str">
        <f t="shared" si="18"/>
        <v>0Y8M22D</v>
      </c>
      <c r="AJ107" s="3" t="str">
        <f t="shared" si="19"/>
        <v>0Y5M26D</v>
      </c>
      <c r="AK107" s="3">
        <f t="shared" si="20"/>
        <v>0.49041095890410957</v>
      </c>
      <c r="AL107" s="2">
        <v>2</v>
      </c>
      <c r="AM107" s="2">
        <v>1</v>
      </c>
      <c r="AN107" s="2">
        <v>1</v>
      </c>
      <c r="AO107" s="2">
        <v>2</v>
      </c>
      <c r="AP107" s="2">
        <v>2</v>
      </c>
      <c r="AQ107" s="2">
        <v>3</v>
      </c>
      <c r="AR107" s="2"/>
      <c r="AS107" s="23">
        <v>44537</v>
      </c>
      <c r="AT107" s="3" t="str">
        <f t="shared" si="21"/>
        <v>0Y8M19D</v>
      </c>
      <c r="AU107" s="3" t="str">
        <f t="shared" si="22"/>
        <v>0Y5M23D</v>
      </c>
      <c r="AV107" s="3">
        <f t="shared" si="23"/>
        <v>0.48219178082191783</v>
      </c>
      <c r="AW107" s="2">
        <v>4</v>
      </c>
      <c r="AX107" s="23">
        <v>44539</v>
      </c>
      <c r="AY107" s="3" t="str">
        <f t="shared" si="24"/>
        <v>0Y8M21D</v>
      </c>
      <c r="AZ107" s="3" t="str">
        <f t="shared" si="25"/>
        <v>0Y5M25D</v>
      </c>
      <c r="BA107" s="3">
        <f t="shared" si="26"/>
        <v>0.48767123287671232</v>
      </c>
      <c r="BB107" s="2">
        <v>4</v>
      </c>
      <c r="BC107" s="23">
        <v>44540</v>
      </c>
      <c r="BD107" s="3" t="str">
        <f t="shared" si="27"/>
        <v>0Y8M22D</v>
      </c>
      <c r="BE107" s="3" t="str">
        <f t="shared" si="28"/>
        <v>0Y5M26D</v>
      </c>
      <c r="BF107" s="3">
        <f t="shared" si="29"/>
        <v>0.49041095890410957</v>
      </c>
      <c r="BG107" s="2">
        <v>1</v>
      </c>
      <c r="BH107" s="2">
        <v>1</v>
      </c>
    </row>
    <row r="108" spans="1:60" s="127" customFormat="1" ht="16">
      <c r="A108" s="20" t="s">
        <v>466</v>
      </c>
      <c r="B108" s="20">
        <v>22108569</v>
      </c>
      <c r="C108" s="20" t="s">
        <v>467</v>
      </c>
      <c r="D108" s="45">
        <v>44418</v>
      </c>
      <c r="E108" s="45">
        <v>44418</v>
      </c>
      <c r="F108" s="45">
        <v>44418</v>
      </c>
      <c r="G108" s="20">
        <v>40</v>
      </c>
      <c r="H108" s="85">
        <v>44571</v>
      </c>
      <c r="I108" s="85">
        <v>44783</v>
      </c>
      <c r="J108" s="20"/>
      <c r="K108" s="20" t="s">
        <v>18</v>
      </c>
      <c r="L108" s="71" t="e">
        <f t="shared" si="15"/>
        <v>#VALUE!</v>
      </c>
      <c r="M108" s="71" t="e">
        <f t="shared" si="16"/>
        <v>#VALUE!</v>
      </c>
      <c r="N108" s="71" t="e">
        <f t="shared" si="17"/>
        <v>#VALUE!</v>
      </c>
      <c r="O108" s="20"/>
      <c r="P108" s="20"/>
      <c r="Q108" s="20"/>
      <c r="R108" s="20"/>
      <c r="S108" s="20"/>
      <c r="T108" s="20"/>
      <c r="U108" s="20"/>
      <c r="V108" s="20"/>
      <c r="W108" s="20"/>
      <c r="X108" s="20"/>
      <c r="Y108" s="20"/>
      <c r="Z108" s="20"/>
      <c r="AA108" s="20"/>
      <c r="AB108" s="20"/>
      <c r="AC108" s="20"/>
      <c r="AD108" s="20"/>
      <c r="AE108" s="20"/>
      <c r="AF108" s="20"/>
      <c r="AG108" s="20"/>
      <c r="AH108" s="20"/>
      <c r="AI108" s="71" t="e">
        <f t="shared" si="18"/>
        <v>#NUM!</v>
      </c>
      <c r="AJ108" s="71" t="e">
        <f t="shared" si="19"/>
        <v>#NUM!</v>
      </c>
      <c r="AK108" s="71">
        <f t="shared" si="20"/>
        <v>-121.69315068493151</v>
      </c>
      <c r="AL108" s="20"/>
      <c r="AM108" s="20"/>
      <c r="AN108" s="20"/>
      <c r="AO108" s="20"/>
      <c r="AP108" s="20"/>
      <c r="AQ108" s="20"/>
      <c r="AR108" s="20"/>
      <c r="AS108" s="20"/>
      <c r="AT108" s="71" t="e">
        <f t="shared" si="21"/>
        <v>#NUM!</v>
      </c>
      <c r="AU108" s="71" t="e">
        <f t="shared" si="22"/>
        <v>#NUM!</v>
      </c>
      <c r="AV108" s="71">
        <f t="shared" si="23"/>
        <v>-121.69315068493151</v>
      </c>
      <c r="AW108" s="20"/>
      <c r="AX108" s="20"/>
      <c r="AY108" s="71" t="e">
        <f t="shared" si="24"/>
        <v>#NUM!</v>
      </c>
      <c r="AZ108" s="71" t="e">
        <f t="shared" si="25"/>
        <v>#NUM!</v>
      </c>
      <c r="BA108" s="71">
        <f t="shared" si="26"/>
        <v>-121.69315068493151</v>
      </c>
      <c r="BB108" s="20"/>
      <c r="BC108" s="20"/>
      <c r="BD108" s="71" t="e">
        <f t="shared" si="27"/>
        <v>#NUM!</v>
      </c>
      <c r="BE108" s="71" t="e">
        <f t="shared" si="28"/>
        <v>#NUM!</v>
      </c>
      <c r="BF108" s="71">
        <f t="shared" si="29"/>
        <v>-121.69315068493151</v>
      </c>
      <c r="BG108" s="20"/>
      <c r="BH108" s="20">
        <v>1</v>
      </c>
    </row>
    <row r="109" spans="1:60" s="114" customFormat="1" ht="16">
      <c r="A109" s="16" t="s">
        <v>470</v>
      </c>
      <c r="B109" s="16">
        <v>22103283</v>
      </c>
      <c r="C109" s="16" t="s">
        <v>471</v>
      </c>
      <c r="D109" s="77">
        <v>43888</v>
      </c>
      <c r="E109" s="77">
        <v>43949</v>
      </c>
      <c r="F109" s="77">
        <v>43949</v>
      </c>
      <c r="G109" s="16" t="s">
        <v>66</v>
      </c>
      <c r="H109" s="78">
        <v>44102</v>
      </c>
      <c r="I109" s="78">
        <v>44314</v>
      </c>
      <c r="J109" s="16"/>
      <c r="K109" s="16"/>
      <c r="L109" s="68" t="e">
        <f t="shared" si="15"/>
        <v>#NUM!</v>
      </c>
      <c r="M109" s="68" t="e">
        <f t="shared" si="16"/>
        <v>#NUM!</v>
      </c>
      <c r="N109" s="68">
        <f t="shared" si="17"/>
        <v>-120.40821917808219</v>
      </c>
      <c r="O109" s="16"/>
      <c r="P109" s="16"/>
      <c r="Q109" s="16"/>
      <c r="R109" s="16"/>
      <c r="S109" s="16"/>
      <c r="T109" s="16"/>
      <c r="U109" s="16"/>
      <c r="V109" s="16"/>
      <c r="W109" s="16"/>
      <c r="X109" s="16"/>
      <c r="Y109" s="16"/>
      <c r="Z109" s="16"/>
      <c r="AA109" s="16"/>
      <c r="AB109" s="16"/>
      <c r="AC109" s="16"/>
      <c r="AD109" s="16"/>
      <c r="AE109" s="16"/>
      <c r="AF109" s="16"/>
      <c r="AG109" s="16"/>
      <c r="AH109" s="16"/>
      <c r="AI109" s="68" t="e">
        <f t="shared" si="18"/>
        <v>#NUM!</v>
      </c>
      <c r="AJ109" s="68" t="e">
        <f t="shared" si="19"/>
        <v>#NUM!</v>
      </c>
      <c r="AK109" s="68">
        <f t="shared" si="20"/>
        <v>-120.40821917808219</v>
      </c>
      <c r="AL109" s="16"/>
      <c r="AM109" s="16"/>
      <c r="AN109" s="16"/>
      <c r="AO109" s="16"/>
      <c r="AP109" s="16"/>
      <c r="AQ109" s="16"/>
      <c r="AR109" s="16"/>
      <c r="AS109" s="16"/>
      <c r="AT109" s="68" t="e">
        <f t="shared" si="21"/>
        <v>#NUM!</v>
      </c>
      <c r="AU109" s="68" t="e">
        <f t="shared" si="22"/>
        <v>#NUM!</v>
      </c>
      <c r="AV109" s="68">
        <f t="shared" si="23"/>
        <v>-120.40821917808219</v>
      </c>
      <c r="AW109" s="16"/>
      <c r="AX109" s="16"/>
      <c r="AY109" s="68" t="e">
        <f t="shared" si="24"/>
        <v>#NUM!</v>
      </c>
      <c r="AZ109" s="68" t="e">
        <f t="shared" si="25"/>
        <v>#NUM!</v>
      </c>
      <c r="BA109" s="68">
        <f t="shared" si="26"/>
        <v>-120.40821917808219</v>
      </c>
      <c r="BB109" s="16"/>
      <c r="BC109" s="16"/>
      <c r="BD109" s="68" t="e">
        <f t="shared" si="27"/>
        <v>#NUM!</v>
      </c>
      <c r="BE109" s="68" t="e">
        <f t="shared" si="28"/>
        <v>#NUM!</v>
      </c>
      <c r="BF109" s="68">
        <f t="shared" si="29"/>
        <v>-120.40821917808219</v>
      </c>
      <c r="BG109" s="16"/>
      <c r="BH109" s="16"/>
    </row>
    <row r="110" spans="1:60" ht="16">
      <c r="A110" s="2" t="s">
        <v>474</v>
      </c>
      <c r="B110" s="2">
        <v>22107215</v>
      </c>
      <c r="C110" s="2" t="s">
        <v>475</v>
      </c>
      <c r="D110" s="23">
        <v>44275</v>
      </c>
      <c r="E110" s="23">
        <v>44387</v>
      </c>
      <c r="F110" s="23">
        <v>44387</v>
      </c>
      <c r="G110" s="2">
        <v>24</v>
      </c>
      <c r="H110" s="55">
        <v>44540</v>
      </c>
      <c r="I110" s="55">
        <v>44752</v>
      </c>
      <c r="J110" s="23">
        <v>44580</v>
      </c>
      <c r="K110" s="23">
        <v>44568</v>
      </c>
      <c r="L110" s="3" t="str">
        <f t="shared" si="15"/>
        <v>0Y9M18D</v>
      </c>
      <c r="M110" s="3" t="str">
        <f t="shared" si="16"/>
        <v>0Y5M28D</v>
      </c>
      <c r="N110" s="3">
        <f t="shared" si="17"/>
        <v>0.49589041095890413</v>
      </c>
      <c r="O110" s="2">
        <v>3</v>
      </c>
      <c r="P110" s="2">
        <v>1</v>
      </c>
      <c r="Q110" s="2" t="s">
        <v>1729</v>
      </c>
      <c r="R110" s="2">
        <v>2</v>
      </c>
      <c r="S110" s="2">
        <v>1</v>
      </c>
      <c r="T110" s="2"/>
      <c r="U110" s="2" t="s">
        <v>1682</v>
      </c>
      <c r="V110" s="2" t="s">
        <v>1661</v>
      </c>
      <c r="W110" s="2">
        <v>1</v>
      </c>
      <c r="X110" s="2">
        <v>1</v>
      </c>
      <c r="Y110" s="2">
        <v>2</v>
      </c>
      <c r="Z110" s="2">
        <v>1</v>
      </c>
      <c r="AA110" s="2">
        <v>2</v>
      </c>
      <c r="AB110" s="2"/>
      <c r="AC110" s="2" t="s">
        <v>1738</v>
      </c>
      <c r="AD110" s="2">
        <v>1</v>
      </c>
      <c r="AE110" s="2">
        <v>1</v>
      </c>
      <c r="AF110" s="2">
        <v>1</v>
      </c>
      <c r="AG110" s="2">
        <v>1</v>
      </c>
      <c r="AH110" s="23">
        <v>44568</v>
      </c>
      <c r="AI110" s="3" t="str">
        <f t="shared" si="18"/>
        <v>0Y9M18D</v>
      </c>
      <c r="AJ110" s="3" t="str">
        <f t="shared" si="19"/>
        <v>0Y5M28D</v>
      </c>
      <c r="AK110" s="3">
        <f t="shared" si="20"/>
        <v>0.49589041095890413</v>
      </c>
      <c r="AL110" s="2">
        <v>2</v>
      </c>
      <c r="AM110" s="2">
        <v>1</v>
      </c>
      <c r="AN110" s="2">
        <v>1</v>
      </c>
      <c r="AO110" s="2">
        <v>1</v>
      </c>
      <c r="AP110" s="2">
        <v>2</v>
      </c>
      <c r="AQ110" s="2">
        <v>3</v>
      </c>
      <c r="AR110" s="2"/>
      <c r="AS110" s="23">
        <v>44566</v>
      </c>
      <c r="AT110" s="3" t="str">
        <f t="shared" si="21"/>
        <v>0Y9M16D</v>
      </c>
      <c r="AU110" s="3" t="str">
        <f t="shared" si="22"/>
        <v>0Y5M26D</v>
      </c>
      <c r="AV110" s="3">
        <f t="shared" si="23"/>
        <v>0.49041095890410957</v>
      </c>
      <c r="AW110" s="2">
        <v>5</v>
      </c>
      <c r="AX110" s="23">
        <v>44566</v>
      </c>
      <c r="AY110" s="3" t="str">
        <f t="shared" si="24"/>
        <v>0Y9M16D</v>
      </c>
      <c r="AZ110" s="3" t="str">
        <f t="shared" si="25"/>
        <v>0Y5M26D</v>
      </c>
      <c r="BA110" s="3">
        <f t="shared" si="26"/>
        <v>0.49041095890410957</v>
      </c>
      <c r="BB110" s="2">
        <v>5</v>
      </c>
      <c r="BC110" s="23">
        <v>44568</v>
      </c>
      <c r="BD110" s="3" t="str">
        <f t="shared" si="27"/>
        <v>0Y9M18D</v>
      </c>
      <c r="BE110" s="3" t="str">
        <f t="shared" si="28"/>
        <v>0Y5M28D</v>
      </c>
      <c r="BF110" s="3">
        <f t="shared" si="29"/>
        <v>0.49589041095890413</v>
      </c>
      <c r="BG110" s="2">
        <v>1</v>
      </c>
      <c r="BH110" s="2">
        <v>1</v>
      </c>
    </row>
    <row r="111" spans="1:60" s="110" customFormat="1" ht="16">
      <c r="A111" s="17" t="s">
        <v>478</v>
      </c>
      <c r="B111" s="17">
        <v>22106269</v>
      </c>
      <c r="C111" s="17" t="s">
        <v>479</v>
      </c>
      <c r="D111" s="40">
        <v>44188</v>
      </c>
      <c r="E111" s="40">
        <v>44298</v>
      </c>
      <c r="F111" s="40">
        <v>44298</v>
      </c>
      <c r="G111" s="17" t="s">
        <v>314</v>
      </c>
      <c r="H111" s="75">
        <v>44451</v>
      </c>
      <c r="I111" s="75">
        <v>44663</v>
      </c>
      <c r="J111" s="17"/>
      <c r="K111" s="17" t="s">
        <v>18</v>
      </c>
      <c r="L111" s="21" t="e">
        <f t="shared" si="15"/>
        <v>#VALUE!</v>
      </c>
      <c r="M111" s="21" t="e">
        <f t="shared" si="16"/>
        <v>#VALUE!</v>
      </c>
      <c r="N111" s="21" t="e">
        <f t="shared" si="17"/>
        <v>#VALUE!</v>
      </c>
      <c r="O111" s="17"/>
      <c r="P111" s="17"/>
      <c r="Q111" s="17"/>
      <c r="R111" s="17"/>
      <c r="S111" s="17"/>
      <c r="T111" s="17"/>
      <c r="U111" s="17"/>
      <c r="V111" s="17"/>
      <c r="W111" s="17"/>
      <c r="X111" s="17"/>
      <c r="Y111" s="17"/>
      <c r="Z111" s="17"/>
      <c r="AA111" s="17"/>
      <c r="AB111" s="17"/>
      <c r="AC111" s="17"/>
      <c r="AD111" s="17"/>
      <c r="AE111" s="17"/>
      <c r="AF111" s="17"/>
      <c r="AG111" s="17"/>
      <c r="AH111" s="40">
        <v>44488</v>
      </c>
      <c r="AI111" s="21" t="str">
        <f t="shared" si="18"/>
        <v>0Y9M26D</v>
      </c>
      <c r="AJ111" s="21" t="str">
        <f t="shared" si="19"/>
        <v>0Y6M7D</v>
      </c>
      <c r="AK111" s="21">
        <f t="shared" si="20"/>
        <v>0.52054794520547942</v>
      </c>
      <c r="AL111" s="17">
        <v>2</v>
      </c>
      <c r="AM111" s="17">
        <v>1</v>
      </c>
      <c r="AN111" s="17">
        <v>1</v>
      </c>
      <c r="AO111" s="17">
        <v>1</v>
      </c>
      <c r="AP111" s="17">
        <v>2</v>
      </c>
      <c r="AQ111" s="17">
        <v>3</v>
      </c>
      <c r="AR111" s="17"/>
      <c r="AS111" s="40">
        <v>44487</v>
      </c>
      <c r="AT111" s="21" t="str">
        <f t="shared" si="21"/>
        <v>0Y9M25D</v>
      </c>
      <c r="AU111" s="21" t="str">
        <f t="shared" si="22"/>
        <v>0Y6M6D</v>
      </c>
      <c r="AV111" s="21">
        <f t="shared" si="23"/>
        <v>0.51780821917808217</v>
      </c>
      <c r="AW111" s="17">
        <v>5</v>
      </c>
      <c r="AX111" s="17"/>
      <c r="AY111" s="21" t="e">
        <f t="shared" si="24"/>
        <v>#NUM!</v>
      </c>
      <c r="AZ111" s="21" t="e">
        <f t="shared" si="25"/>
        <v>#NUM!</v>
      </c>
      <c r="BA111" s="21">
        <f t="shared" si="26"/>
        <v>-121.36438356164383</v>
      </c>
      <c r="BB111" s="17"/>
      <c r="BC111" s="40">
        <v>44487</v>
      </c>
      <c r="BD111" s="21" t="str">
        <f t="shared" si="27"/>
        <v>0Y9M25D</v>
      </c>
      <c r="BE111" s="21" t="str">
        <f t="shared" si="28"/>
        <v>0Y6M6D</v>
      </c>
      <c r="BF111" s="21">
        <f t="shared" si="29"/>
        <v>0.51780821917808217</v>
      </c>
      <c r="BG111" s="17">
        <v>1</v>
      </c>
      <c r="BH111" s="17">
        <v>1</v>
      </c>
    </row>
    <row r="112" spans="1:60" s="114" customFormat="1" ht="16">
      <c r="A112" s="16" t="s">
        <v>482</v>
      </c>
      <c r="B112" s="16">
        <v>21928733</v>
      </c>
      <c r="C112" s="16" t="s">
        <v>483</v>
      </c>
      <c r="D112" s="77">
        <v>43493</v>
      </c>
      <c r="E112" s="77">
        <v>43598</v>
      </c>
      <c r="F112" s="77">
        <v>43598</v>
      </c>
      <c r="G112" s="16">
        <v>25</v>
      </c>
      <c r="H112" s="78">
        <v>43751</v>
      </c>
      <c r="I112" s="78">
        <v>43964</v>
      </c>
      <c r="J112" s="16"/>
      <c r="K112" s="16"/>
      <c r="L112" s="68" t="e">
        <f t="shared" si="15"/>
        <v>#NUM!</v>
      </c>
      <c r="M112" s="68" t="e">
        <f t="shared" si="16"/>
        <v>#NUM!</v>
      </c>
      <c r="N112" s="68">
        <f t="shared" si="17"/>
        <v>-119.44657534246575</v>
      </c>
      <c r="O112" s="16"/>
      <c r="P112" s="16"/>
      <c r="Q112" s="16"/>
      <c r="R112" s="16"/>
      <c r="S112" s="16"/>
      <c r="T112" s="16"/>
      <c r="U112" s="16"/>
      <c r="V112" s="16"/>
      <c r="W112" s="16"/>
      <c r="X112" s="16"/>
      <c r="Y112" s="16"/>
      <c r="Z112" s="16"/>
      <c r="AA112" s="16"/>
      <c r="AB112" s="16"/>
      <c r="AC112" s="16"/>
      <c r="AD112" s="16"/>
      <c r="AE112" s="16"/>
      <c r="AF112" s="16"/>
      <c r="AG112" s="16"/>
      <c r="AH112" s="16"/>
      <c r="AI112" s="68" t="e">
        <f t="shared" si="18"/>
        <v>#NUM!</v>
      </c>
      <c r="AJ112" s="68" t="e">
        <f t="shared" si="19"/>
        <v>#NUM!</v>
      </c>
      <c r="AK112" s="68">
        <f t="shared" si="20"/>
        <v>-119.44657534246575</v>
      </c>
      <c r="AL112" s="16"/>
      <c r="AM112" s="16"/>
      <c r="AN112" s="16"/>
      <c r="AO112" s="16"/>
      <c r="AP112" s="16"/>
      <c r="AQ112" s="16"/>
      <c r="AR112" s="16"/>
      <c r="AS112" s="16"/>
      <c r="AT112" s="68" t="e">
        <f t="shared" si="21"/>
        <v>#NUM!</v>
      </c>
      <c r="AU112" s="68" t="e">
        <f t="shared" si="22"/>
        <v>#NUM!</v>
      </c>
      <c r="AV112" s="68">
        <f t="shared" si="23"/>
        <v>-119.44657534246575</v>
      </c>
      <c r="AW112" s="16"/>
      <c r="AX112" s="16"/>
      <c r="AY112" s="68" t="e">
        <f t="shared" si="24"/>
        <v>#NUM!</v>
      </c>
      <c r="AZ112" s="68" t="e">
        <f t="shared" si="25"/>
        <v>#NUM!</v>
      </c>
      <c r="BA112" s="68">
        <f t="shared" si="26"/>
        <v>-119.44657534246575</v>
      </c>
      <c r="BB112" s="16"/>
      <c r="BC112" s="16"/>
      <c r="BD112" s="68" t="e">
        <f t="shared" si="27"/>
        <v>#NUM!</v>
      </c>
      <c r="BE112" s="68" t="e">
        <f t="shared" si="28"/>
        <v>#NUM!</v>
      </c>
      <c r="BF112" s="68">
        <f t="shared" si="29"/>
        <v>-119.44657534246575</v>
      </c>
      <c r="BG112" s="16"/>
      <c r="BH112" s="16"/>
    </row>
    <row r="113" spans="1:60" s="127" customFormat="1" ht="16">
      <c r="A113" s="20" t="s">
        <v>486</v>
      </c>
      <c r="B113" s="20">
        <v>22104710</v>
      </c>
      <c r="C113" s="20" t="s">
        <v>487</v>
      </c>
      <c r="D113" s="45">
        <v>44036</v>
      </c>
      <c r="E113" s="45">
        <v>44036</v>
      </c>
      <c r="F113" s="45">
        <v>44036</v>
      </c>
      <c r="G113" s="20">
        <v>38</v>
      </c>
      <c r="H113" s="85">
        <v>44189</v>
      </c>
      <c r="I113" s="85">
        <v>44401</v>
      </c>
      <c r="J113" s="20"/>
      <c r="K113" s="20"/>
      <c r="L113" s="71" t="e">
        <f t="shared" si="15"/>
        <v>#NUM!</v>
      </c>
      <c r="M113" s="71" t="e">
        <f t="shared" si="16"/>
        <v>#NUM!</v>
      </c>
      <c r="N113" s="71">
        <f t="shared" si="17"/>
        <v>-120.64657534246575</v>
      </c>
      <c r="O113" s="20"/>
      <c r="P113" s="20"/>
      <c r="Q113" s="20"/>
      <c r="R113" s="20"/>
      <c r="S113" s="20"/>
      <c r="T113" s="20"/>
      <c r="U113" s="20"/>
      <c r="V113" s="20"/>
      <c r="W113" s="20"/>
      <c r="X113" s="20"/>
      <c r="Y113" s="20"/>
      <c r="Z113" s="20"/>
      <c r="AA113" s="20"/>
      <c r="AB113" s="20"/>
      <c r="AC113" s="20"/>
      <c r="AD113" s="20"/>
      <c r="AE113" s="20"/>
      <c r="AF113" s="20"/>
      <c r="AG113" s="20"/>
      <c r="AH113" s="20"/>
      <c r="AI113" s="71" t="e">
        <f t="shared" si="18"/>
        <v>#NUM!</v>
      </c>
      <c r="AJ113" s="71" t="e">
        <f t="shared" si="19"/>
        <v>#NUM!</v>
      </c>
      <c r="AK113" s="71">
        <f t="shared" si="20"/>
        <v>-120.64657534246575</v>
      </c>
      <c r="AL113" s="20"/>
      <c r="AM113" s="20"/>
      <c r="AN113" s="20"/>
      <c r="AO113" s="20"/>
      <c r="AP113" s="20"/>
      <c r="AQ113" s="20"/>
      <c r="AR113" s="20"/>
      <c r="AS113" s="20"/>
      <c r="AT113" s="71" t="e">
        <f t="shared" si="21"/>
        <v>#NUM!</v>
      </c>
      <c r="AU113" s="71" t="e">
        <f t="shared" si="22"/>
        <v>#NUM!</v>
      </c>
      <c r="AV113" s="71">
        <f t="shared" si="23"/>
        <v>-120.64657534246575</v>
      </c>
      <c r="AW113" s="20"/>
      <c r="AX113" s="20"/>
      <c r="AY113" s="71" t="e">
        <f t="shared" si="24"/>
        <v>#NUM!</v>
      </c>
      <c r="AZ113" s="71" t="e">
        <f t="shared" si="25"/>
        <v>#NUM!</v>
      </c>
      <c r="BA113" s="71">
        <f t="shared" si="26"/>
        <v>-120.64657534246575</v>
      </c>
      <c r="BB113" s="20"/>
      <c r="BC113" s="20"/>
      <c r="BD113" s="71" t="e">
        <f t="shared" si="27"/>
        <v>#NUM!</v>
      </c>
      <c r="BE113" s="71" t="e">
        <f t="shared" si="28"/>
        <v>#NUM!</v>
      </c>
      <c r="BF113" s="71">
        <f t="shared" si="29"/>
        <v>-120.64657534246575</v>
      </c>
      <c r="BG113" s="20"/>
      <c r="BH113" s="20">
        <v>1</v>
      </c>
    </row>
    <row r="114" spans="1:60" ht="16">
      <c r="A114" s="2" t="s">
        <v>490</v>
      </c>
      <c r="B114" s="2">
        <v>22105636</v>
      </c>
      <c r="C114" s="2" t="s">
        <v>491</v>
      </c>
      <c r="D114" s="23">
        <v>44127</v>
      </c>
      <c r="E114" s="23">
        <v>44218</v>
      </c>
      <c r="F114" s="23">
        <v>44218</v>
      </c>
      <c r="G114" s="2">
        <v>27</v>
      </c>
      <c r="H114" s="55">
        <v>44369</v>
      </c>
      <c r="I114" s="55">
        <v>44583</v>
      </c>
      <c r="J114" s="23">
        <v>44495</v>
      </c>
      <c r="K114" s="23">
        <v>44495</v>
      </c>
      <c r="L114" s="3" t="str">
        <f t="shared" si="15"/>
        <v>1Y0M3D</v>
      </c>
      <c r="M114" s="3" t="str">
        <f t="shared" si="16"/>
        <v>0Y9M4D</v>
      </c>
      <c r="N114" s="3">
        <f t="shared" si="17"/>
        <v>0.75890410958904109</v>
      </c>
      <c r="O114" s="2">
        <v>3</v>
      </c>
      <c r="P114" s="2">
        <v>2</v>
      </c>
      <c r="Q114" s="2" t="s">
        <v>1739</v>
      </c>
      <c r="R114" s="2">
        <v>2</v>
      </c>
      <c r="S114" s="2">
        <v>1</v>
      </c>
      <c r="T114" s="2"/>
      <c r="U114" s="2" t="s">
        <v>1678</v>
      </c>
      <c r="V114" s="2" t="s">
        <v>1661</v>
      </c>
      <c r="W114" s="2">
        <v>1</v>
      </c>
      <c r="X114" s="2">
        <v>1</v>
      </c>
      <c r="Y114" s="2">
        <v>1</v>
      </c>
      <c r="Z114" s="2">
        <v>1</v>
      </c>
      <c r="AA114" s="2">
        <v>2</v>
      </c>
      <c r="AB114" s="2"/>
      <c r="AC114" s="2" t="s">
        <v>1711</v>
      </c>
      <c r="AD114" s="2">
        <v>1</v>
      </c>
      <c r="AE114" s="2">
        <v>1</v>
      </c>
      <c r="AF114" s="2">
        <v>1</v>
      </c>
      <c r="AG114" s="2">
        <v>1</v>
      </c>
      <c r="AH114" s="23">
        <v>44526</v>
      </c>
      <c r="AI114" s="3" t="str">
        <f t="shared" si="18"/>
        <v>1Y1M3D</v>
      </c>
      <c r="AJ114" s="3" t="str">
        <f t="shared" si="19"/>
        <v>0Y10M4D</v>
      </c>
      <c r="AK114" s="3">
        <f t="shared" si="20"/>
        <v>0.84383561643835614</v>
      </c>
      <c r="AL114" s="2">
        <v>2</v>
      </c>
      <c r="AM114" s="2">
        <v>1</v>
      </c>
      <c r="AN114" s="2">
        <v>1</v>
      </c>
      <c r="AO114" s="2">
        <v>1</v>
      </c>
      <c r="AP114" s="2">
        <v>2</v>
      </c>
      <c r="AQ114" s="2">
        <v>3</v>
      </c>
      <c r="AR114" s="2"/>
      <c r="AS114" s="23">
        <v>44522</v>
      </c>
      <c r="AT114" s="3" t="str">
        <f t="shared" si="21"/>
        <v>1Y0M30D</v>
      </c>
      <c r="AU114" s="3" t="str">
        <f t="shared" si="22"/>
        <v>0Y10M0D</v>
      </c>
      <c r="AV114" s="3">
        <f t="shared" si="23"/>
        <v>0.83287671232876714</v>
      </c>
      <c r="AW114" s="2">
        <v>5</v>
      </c>
      <c r="AX114" s="23">
        <v>44523</v>
      </c>
      <c r="AY114" s="3" t="str">
        <f t="shared" si="24"/>
        <v>1Y1M0D</v>
      </c>
      <c r="AZ114" s="3" t="str">
        <f t="shared" si="25"/>
        <v>0Y10M1D</v>
      </c>
      <c r="BA114" s="3">
        <f t="shared" si="26"/>
        <v>0.83561643835616439</v>
      </c>
      <c r="BB114" s="2">
        <v>5</v>
      </c>
      <c r="BC114" s="23">
        <v>44495</v>
      </c>
      <c r="BD114" s="3" t="str">
        <f t="shared" si="27"/>
        <v>1Y0M3D</v>
      </c>
      <c r="BE114" s="3" t="str">
        <f t="shared" si="28"/>
        <v>0Y9M4D</v>
      </c>
      <c r="BF114" s="3">
        <f t="shared" si="29"/>
        <v>0.75890410958904109</v>
      </c>
      <c r="BG114" s="2">
        <v>1</v>
      </c>
      <c r="BH114" s="2">
        <v>1</v>
      </c>
    </row>
    <row r="115" spans="1:60" s="114" customFormat="1" ht="16">
      <c r="A115" s="16" t="s">
        <v>494</v>
      </c>
      <c r="B115" s="16">
        <v>22104579</v>
      </c>
      <c r="C115" s="16" t="s">
        <v>495</v>
      </c>
      <c r="D115" s="77">
        <v>44025</v>
      </c>
      <c r="E115" s="77">
        <v>44097</v>
      </c>
      <c r="F115" s="77">
        <v>44097</v>
      </c>
      <c r="G115" s="16" t="s">
        <v>497</v>
      </c>
      <c r="H115" s="78">
        <v>44250</v>
      </c>
      <c r="I115" s="78">
        <v>44462</v>
      </c>
      <c r="J115" s="16"/>
      <c r="K115" s="16"/>
      <c r="L115" s="68" t="e">
        <f t="shared" si="15"/>
        <v>#NUM!</v>
      </c>
      <c r="M115" s="68" t="e">
        <f t="shared" si="16"/>
        <v>#NUM!</v>
      </c>
      <c r="N115" s="68">
        <f t="shared" si="17"/>
        <v>-120.81369863013698</v>
      </c>
      <c r="O115" s="16"/>
      <c r="P115" s="16"/>
      <c r="Q115" s="16"/>
      <c r="R115" s="16"/>
      <c r="S115" s="16"/>
      <c r="T115" s="16"/>
      <c r="U115" s="16"/>
      <c r="V115" s="16"/>
      <c r="W115" s="16"/>
      <c r="X115" s="16"/>
      <c r="Y115" s="16"/>
      <c r="Z115" s="16"/>
      <c r="AA115" s="16"/>
      <c r="AB115" s="16"/>
      <c r="AC115" s="16"/>
      <c r="AD115" s="16"/>
      <c r="AE115" s="16"/>
      <c r="AF115" s="16"/>
      <c r="AG115" s="16"/>
      <c r="AH115" s="16"/>
      <c r="AI115" s="68" t="e">
        <f t="shared" si="18"/>
        <v>#NUM!</v>
      </c>
      <c r="AJ115" s="68" t="e">
        <f t="shared" si="19"/>
        <v>#NUM!</v>
      </c>
      <c r="AK115" s="68">
        <f t="shared" si="20"/>
        <v>-120.81369863013698</v>
      </c>
      <c r="AL115" s="16"/>
      <c r="AM115" s="16"/>
      <c r="AN115" s="16"/>
      <c r="AO115" s="16"/>
      <c r="AP115" s="16"/>
      <c r="AQ115" s="16"/>
      <c r="AR115" s="16"/>
      <c r="AS115" s="16"/>
      <c r="AT115" s="68" t="e">
        <f t="shared" si="21"/>
        <v>#NUM!</v>
      </c>
      <c r="AU115" s="68" t="e">
        <f t="shared" si="22"/>
        <v>#NUM!</v>
      </c>
      <c r="AV115" s="68">
        <f t="shared" si="23"/>
        <v>-120.81369863013698</v>
      </c>
      <c r="AW115" s="16"/>
      <c r="AX115" s="16"/>
      <c r="AY115" s="68" t="e">
        <f t="shared" si="24"/>
        <v>#NUM!</v>
      </c>
      <c r="AZ115" s="68" t="e">
        <f t="shared" si="25"/>
        <v>#NUM!</v>
      </c>
      <c r="BA115" s="68">
        <f t="shared" si="26"/>
        <v>-120.81369863013698</v>
      </c>
      <c r="BB115" s="16"/>
      <c r="BC115" s="16"/>
      <c r="BD115" s="68" t="e">
        <f t="shared" si="27"/>
        <v>#NUM!</v>
      </c>
      <c r="BE115" s="68" t="e">
        <f t="shared" si="28"/>
        <v>#NUM!</v>
      </c>
      <c r="BF115" s="68">
        <f t="shared" si="29"/>
        <v>-120.81369863013698</v>
      </c>
      <c r="BG115" s="16"/>
      <c r="BH115" s="16">
        <v>1</v>
      </c>
    </row>
    <row r="116" spans="1:60" ht="16">
      <c r="A116" s="2" t="s">
        <v>499</v>
      </c>
      <c r="B116" s="2">
        <v>22108091</v>
      </c>
      <c r="C116" s="2" t="s">
        <v>500</v>
      </c>
      <c r="D116" s="23">
        <v>44367</v>
      </c>
      <c r="E116" s="23">
        <v>44374</v>
      </c>
      <c r="F116" s="23">
        <v>44367</v>
      </c>
      <c r="G116" s="2">
        <v>39</v>
      </c>
      <c r="H116" s="55">
        <v>44527</v>
      </c>
      <c r="I116" s="55">
        <v>44739</v>
      </c>
      <c r="J116" s="23">
        <v>44586</v>
      </c>
      <c r="K116" s="23">
        <v>44558</v>
      </c>
      <c r="L116" s="3" t="str">
        <f t="shared" si="15"/>
        <v>0Y6M8D</v>
      </c>
      <c r="M116" s="3" t="str">
        <f t="shared" si="16"/>
        <v>0Y6M1D</v>
      </c>
      <c r="N116" s="3">
        <f t="shared" si="17"/>
        <v>0.52328767123287667</v>
      </c>
      <c r="O116" s="2">
        <v>3</v>
      </c>
      <c r="P116" s="2">
        <v>4</v>
      </c>
      <c r="Q116" s="2" t="s">
        <v>1698</v>
      </c>
      <c r="R116" s="2">
        <v>2.2999999999999998</v>
      </c>
      <c r="S116" s="2">
        <v>1</v>
      </c>
      <c r="T116" s="2">
        <v>2</v>
      </c>
      <c r="U116" s="2" t="s">
        <v>1669</v>
      </c>
      <c r="V116" s="2" t="s">
        <v>1740</v>
      </c>
      <c r="W116" s="2">
        <v>1</v>
      </c>
      <c r="X116" s="2">
        <v>1</v>
      </c>
      <c r="Y116" s="2">
        <v>1</v>
      </c>
      <c r="Z116" s="2">
        <v>1</v>
      </c>
      <c r="AA116" s="2">
        <v>2</v>
      </c>
      <c r="AB116" s="2">
        <v>1</v>
      </c>
      <c r="AC116" s="2" t="s">
        <v>1715</v>
      </c>
      <c r="AD116" s="2">
        <v>1</v>
      </c>
      <c r="AE116" s="2">
        <v>1</v>
      </c>
      <c r="AF116" s="2">
        <v>1</v>
      </c>
      <c r="AG116" s="2">
        <v>1</v>
      </c>
      <c r="AH116" s="23">
        <v>44586</v>
      </c>
      <c r="AI116" s="3" t="str">
        <f t="shared" si="18"/>
        <v>0Y7M5D</v>
      </c>
      <c r="AJ116" s="3" t="str">
        <f t="shared" si="19"/>
        <v>0Y6M29D</v>
      </c>
      <c r="AK116" s="3">
        <f t="shared" si="20"/>
        <v>0.6</v>
      </c>
      <c r="AL116" s="2">
        <v>2</v>
      </c>
      <c r="AM116" s="2">
        <v>1</v>
      </c>
      <c r="AN116" s="2">
        <v>1</v>
      </c>
      <c r="AO116" s="2">
        <v>1</v>
      </c>
      <c r="AP116" s="2">
        <v>2</v>
      </c>
      <c r="AQ116" s="2">
        <v>3</v>
      </c>
      <c r="AR116" s="2"/>
      <c r="AS116" s="23">
        <v>44584</v>
      </c>
      <c r="AT116" s="3" t="str">
        <f t="shared" si="21"/>
        <v>0Y7M3D</v>
      </c>
      <c r="AU116" s="3" t="str">
        <f t="shared" si="22"/>
        <v>0Y6M27D</v>
      </c>
      <c r="AV116" s="3">
        <f t="shared" si="23"/>
        <v>0.59452054794520548</v>
      </c>
      <c r="AW116" s="2">
        <v>5</v>
      </c>
      <c r="AX116" s="23">
        <v>44557</v>
      </c>
      <c r="AY116" s="3" t="str">
        <f t="shared" si="24"/>
        <v>0Y6M7D</v>
      </c>
      <c r="AZ116" s="3" t="str">
        <f t="shared" si="25"/>
        <v>0Y6M0D</v>
      </c>
      <c r="BA116" s="3">
        <f t="shared" si="26"/>
        <v>0.52054794520547942</v>
      </c>
      <c r="BB116" s="2" t="s">
        <v>2208</v>
      </c>
      <c r="BC116" s="23">
        <v>44558</v>
      </c>
      <c r="BD116" s="3" t="str">
        <f t="shared" si="27"/>
        <v>0Y6M8D</v>
      </c>
      <c r="BE116" s="3" t="str">
        <f t="shared" si="28"/>
        <v>0Y6M1D</v>
      </c>
      <c r="BF116" s="3">
        <f t="shared" si="29"/>
        <v>0.52328767123287667</v>
      </c>
      <c r="BG116" s="2">
        <v>1</v>
      </c>
      <c r="BH116" s="2">
        <v>0</v>
      </c>
    </row>
    <row r="117" spans="1:60" ht="16">
      <c r="A117" s="2" t="s">
        <v>503</v>
      </c>
      <c r="B117" s="2">
        <v>22108353</v>
      </c>
      <c r="C117" s="2" t="s">
        <v>504</v>
      </c>
      <c r="D117" s="23">
        <v>44395</v>
      </c>
      <c r="E117" s="23">
        <v>44466</v>
      </c>
      <c r="F117" s="23">
        <v>44466</v>
      </c>
      <c r="G117" s="2" t="s">
        <v>289</v>
      </c>
      <c r="H117" s="55">
        <v>44619</v>
      </c>
      <c r="I117" s="55">
        <v>44831</v>
      </c>
      <c r="J117" s="23">
        <v>44659</v>
      </c>
      <c r="K117" s="23">
        <v>44659</v>
      </c>
      <c r="L117" s="3" t="str">
        <f t="shared" si="15"/>
        <v>0Y8M21D</v>
      </c>
      <c r="M117" s="3" t="str">
        <f t="shared" si="16"/>
        <v>0Y6M12D</v>
      </c>
      <c r="N117" s="3">
        <f t="shared" si="17"/>
        <v>0.52876712328767128</v>
      </c>
      <c r="O117" s="2">
        <v>3</v>
      </c>
      <c r="P117" s="2">
        <v>2</v>
      </c>
      <c r="Q117" s="2"/>
      <c r="R117" s="2">
        <v>3</v>
      </c>
      <c r="S117" s="2">
        <v>1</v>
      </c>
      <c r="T117" s="2"/>
      <c r="U117" s="2" t="s">
        <v>1682</v>
      </c>
      <c r="V117" s="2" t="s">
        <v>1661</v>
      </c>
      <c r="W117" s="2">
        <v>1</v>
      </c>
      <c r="X117" s="2">
        <v>1</v>
      </c>
      <c r="Y117" s="2">
        <v>2</v>
      </c>
      <c r="Z117" s="2">
        <v>1</v>
      </c>
      <c r="AA117" s="2">
        <v>2</v>
      </c>
      <c r="AB117" s="2"/>
      <c r="AC117" s="2" t="s">
        <v>1673</v>
      </c>
      <c r="AD117" s="2">
        <v>1</v>
      </c>
      <c r="AE117" s="2">
        <v>1</v>
      </c>
      <c r="AF117" s="2">
        <v>1</v>
      </c>
      <c r="AG117" s="2">
        <v>1</v>
      </c>
      <c r="AH117" s="23">
        <v>44659</v>
      </c>
      <c r="AI117" s="3" t="str">
        <f t="shared" si="18"/>
        <v>0Y8M21D</v>
      </c>
      <c r="AJ117" s="3" t="str">
        <f t="shared" si="19"/>
        <v>0Y6M12D</v>
      </c>
      <c r="AK117" s="3">
        <f t="shared" si="20"/>
        <v>0.52876712328767128</v>
      </c>
      <c r="AL117" s="2">
        <v>2</v>
      </c>
      <c r="AM117" s="2">
        <v>1</v>
      </c>
      <c r="AN117" s="2">
        <v>1</v>
      </c>
      <c r="AO117" s="2">
        <v>1</v>
      </c>
      <c r="AP117" s="2">
        <v>2</v>
      </c>
      <c r="AQ117" s="2">
        <v>3</v>
      </c>
      <c r="AR117" s="2"/>
      <c r="AS117" s="23">
        <v>44654</v>
      </c>
      <c r="AT117" s="3" t="str">
        <f t="shared" si="21"/>
        <v>0Y8M16D</v>
      </c>
      <c r="AU117" s="3" t="str">
        <f t="shared" si="22"/>
        <v>0Y6M7D</v>
      </c>
      <c r="AV117" s="3">
        <f t="shared" si="23"/>
        <v>0.51506849315068493</v>
      </c>
      <c r="AW117" s="2">
        <v>5</v>
      </c>
      <c r="AX117" s="23">
        <v>44658</v>
      </c>
      <c r="AY117" s="3" t="str">
        <f t="shared" si="24"/>
        <v>0Y8M20D</v>
      </c>
      <c r="AZ117" s="3" t="str">
        <f t="shared" si="25"/>
        <v>0Y6M11D</v>
      </c>
      <c r="BA117" s="3">
        <f t="shared" si="26"/>
        <v>0.52602739726027392</v>
      </c>
      <c r="BB117" s="2">
        <v>5</v>
      </c>
      <c r="BC117" s="23">
        <v>44659</v>
      </c>
      <c r="BD117" s="3" t="str">
        <f t="shared" si="27"/>
        <v>0Y8M21D</v>
      </c>
      <c r="BE117" s="3" t="str">
        <f t="shared" si="28"/>
        <v>0Y6M12D</v>
      </c>
      <c r="BF117" s="3">
        <f t="shared" si="29"/>
        <v>0.52876712328767128</v>
      </c>
      <c r="BG117" s="2">
        <v>1</v>
      </c>
      <c r="BH117" s="2">
        <v>1</v>
      </c>
    </row>
    <row r="118" spans="1:60" s="114" customFormat="1" ht="16">
      <c r="A118" s="16" t="s">
        <v>507</v>
      </c>
      <c r="B118" s="16">
        <v>22102665</v>
      </c>
      <c r="C118" s="16" t="s">
        <v>508</v>
      </c>
      <c r="D118" s="77">
        <v>43834</v>
      </c>
      <c r="E118" s="77">
        <v>43896</v>
      </c>
      <c r="F118" s="77">
        <v>43896</v>
      </c>
      <c r="G118" s="16" t="s">
        <v>100</v>
      </c>
      <c r="H118" s="78">
        <v>44049</v>
      </c>
      <c r="I118" s="78">
        <v>44261</v>
      </c>
      <c r="J118" s="16"/>
      <c r="K118" s="16"/>
      <c r="L118" s="68" t="e">
        <f t="shared" si="15"/>
        <v>#NUM!</v>
      </c>
      <c r="M118" s="68" t="e">
        <f t="shared" si="16"/>
        <v>#NUM!</v>
      </c>
      <c r="N118" s="68">
        <f t="shared" si="17"/>
        <v>-120.26301369863013</v>
      </c>
      <c r="O118" s="16"/>
      <c r="P118" s="16"/>
      <c r="Q118" s="16"/>
      <c r="R118" s="16"/>
      <c r="S118" s="16"/>
      <c r="T118" s="16"/>
      <c r="U118" s="16"/>
      <c r="V118" s="16"/>
      <c r="W118" s="16"/>
      <c r="X118" s="16"/>
      <c r="Y118" s="16"/>
      <c r="Z118" s="16"/>
      <c r="AA118" s="16"/>
      <c r="AB118" s="16"/>
      <c r="AC118" s="16"/>
      <c r="AD118" s="16"/>
      <c r="AE118" s="16"/>
      <c r="AF118" s="16"/>
      <c r="AG118" s="16"/>
      <c r="AH118" s="16"/>
      <c r="AI118" s="68" t="e">
        <f t="shared" si="18"/>
        <v>#NUM!</v>
      </c>
      <c r="AJ118" s="68" t="e">
        <f t="shared" si="19"/>
        <v>#NUM!</v>
      </c>
      <c r="AK118" s="68">
        <f t="shared" si="20"/>
        <v>-120.26301369863013</v>
      </c>
      <c r="AL118" s="16"/>
      <c r="AM118" s="16"/>
      <c r="AN118" s="16"/>
      <c r="AO118" s="16"/>
      <c r="AP118" s="16"/>
      <c r="AQ118" s="16"/>
      <c r="AR118" s="16"/>
      <c r="AS118" s="16"/>
      <c r="AT118" s="68" t="e">
        <f t="shared" si="21"/>
        <v>#NUM!</v>
      </c>
      <c r="AU118" s="68" t="e">
        <f t="shared" si="22"/>
        <v>#NUM!</v>
      </c>
      <c r="AV118" s="68">
        <f t="shared" si="23"/>
        <v>-120.26301369863013</v>
      </c>
      <c r="AW118" s="16"/>
      <c r="AX118" s="16"/>
      <c r="AY118" s="68" t="e">
        <f t="shared" si="24"/>
        <v>#NUM!</v>
      </c>
      <c r="AZ118" s="68" t="e">
        <f t="shared" si="25"/>
        <v>#NUM!</v>
      </c>
      <c r="BA118" s="68">
        <f t="shared" si="26"/>
        <v>-120.26301369863013</v>
      </c>
      <c r="BB118" s="16"/>
      <c r="BC118" s="16"/>
      <c r="BD118" s="68" t="e">
        <f t="shared" si="27"/>
        <v>#NUM!</v>
      </c>
      <c r="BE118" s="68" t="e">
        <f t="shared" si="28"/>
        <v>#NUM!</v>
      </c>
      <c r="BF118" s="68">
        <f t="shared" si="29"/>
        <v>-120.26301369863013</v>
      </c>
      <c r="BG118" s="16"/>
      <c r="BH118" s="16"/>
    </row>
    <row r="119" spans="1:60" ht="16">
      <c r="A119" s="2" t="s">
        <v>510</v>
      </c>
      <c r="B119" s="2">
        <v>22108869</v>
      </c>
      <c r="C119" s="2" t="s">
        <v>511</v>
      </c>
      <c r="D119" s="23">
        <v>44454</v>
      </c>
      <c r="E119" s="23">
        <v>44513</v>
      </c>
      <c r="F119" s="23">
        <v>44513</v>
      </c>
      <c r="G119" s="2" t="s">
        <v>435</v>
      </c>
      <c r="H119" s="55">
        <v>44664</v>
      </c>
      <c r="I119" s="55">
        <v>44878</v>
      </c>
      <c r="J119" s="23">
        <v>44692</v>
      </c>
      <c r="K119" s="23">
        <v>44692</v>
      </c>
      <c r="L119" s="3" t="str">
        <f t="shared" si="15"/>
        <v>0Y7M26D</v>
      </c>
      <c r="M119" s="3" t="str">
        <f t="shared" si="16"/>
        <v>0Y5M28D</v>
      </c>
      <c r="N119" s="3">
        <f t="shared" si="17"/>
        <v>0.49041095890410957</v>
      </c>
      <c r="O119" s="2">
        <v>3</v>
      </c>
      <c r="P119" s="2">
        <v>2</v>
      </c>
      <c r="Q119" s="2" t="s">
        <v>1703</v>
      </c>
      <c r="R119" s="2">
        <v>3</v>
      </c>
      <c r="S119" s="2">
        <v>1</v>
      </c>
      <c r="T119" s="2">
        <v>1</v>
      </c>
      <c r="U119" s="2" t="s">
        <v>1684</v>
      </c>
      <c r="V119" s="2" t="s">
        <v>1661</v>
      </c>
      <c r="W119" s="2">
        <v>1</v>
      </c>
      <c r="X119" s="2">
        <v>1</v>
      </c>
      <c r="Y119" s="2">
        <v>2</v>
      </c>
      <c r="Z119" s="2">
        <v>1</v>
      </c>
      <c r="AA119" s="2">
        <v>2</v>
      </c>
      <c r="AB119" s="2">
        <v>1</v>
      </c>
      <c r="AC119" s="2"/>
      <c r="AD119" s="2">
        <v>1</v>
      </c>
      <c r="AE119" s="2">
        <v>1</v>
      </c>
      <c r="AF119" s="2">
        <v>1</v>
      </c>
      <c r="AG119" s="2">
        <v>1</v>
      </c>
      <c r="AH119" s="23">
        <v>44692</v>
      </c>
      <c r="AI119" s="3" t="str">
        <f t="shared" si="18"/>
        <v>0Y7M26D</v>
      </c>
      <c r="AJ119" s="3" t="str">
        <f t="shared" si="19"/>
        <v>0Y5M28D</v>
      </c>
      <c r="AK119" s="3">
        <f t="shared" si="20"/>
        <v>0.49041095890410957</v>
      </c>
      <c r="AL119" s="2">
        <v>2</v>
      </c>
      <c r="AM119" s="2" t="s">
        <v>1741</v>
      </c>
      <c r="AN119" s="2"/>
      <c r="AO119" s="2"/>
      <c r="AP119" s="2">
        <v>2</v>
      </c>
      <c r="AQ119" s="2"/>
      <c r="AR119" s="2"/>
      <c r="AS119" s="23">
        <v>44689</v>
      </c>
      <c r="AT119" s="3" t="str">
        <f t="shared" si="21"/>
        <v>0Y7M23D</v>
      </c>
      <c r="AU119" s="3" t="str">
        <f t="shared" si="22"/>
        <v>0Y5M25D</v>
      </c>
      <c r="AV119" s="3">
        <f t="shared" si="23"/>
        <v>0.48219178082191783</v>
      </c>
      <c r="AW119" s="2">
        <v>5</v>
      </c>
      <c r="AX119" s="23">
        <v>44690</v>
      </c>
      <c r="AY119" s="3" t="str">
        <f t="shared" si="24"/>
        <v>0Y7M24D</v>
      </c>
      <c r="AZ119" s="3" t="str">
        <f t="shared" si="25"/>
        <v>0Y5M26D</v>
      </c>
      <c r="BA119" s="3">
        <f t="shared" si="26"/>
        <v>0.48493150684931507</v>
      </c>
      <c r="BB119" s="2">
        <v>5</v>
      </c>
      <c r="BC119" s="23">
        <v>44692</v>
      </c>
      <c r="BD119" s="3" t="str">
        <f t="shared" si="27"/>
        <v>0Y7M26D</v>
      </c>
      <c r="BE119" s="3" t="str">
        <f t="shared" si="28"/>
        <v>0Y5M28D</v>
      </c>
      <c r="BF119" s="3">
        <f t="shared" si="29"/>
        <v>0.49041095890410957</v>
      </c>
      <c r="BG119" s="2">
        <v>1</v>
      </c>
      <c r="BH119" s="2">
        <v>1</v>
      </c>
    </row>
    <row r="120" spans="1:60" ht="16">
      <c r="A120" s="2" t="s">
        <v>514</v>
      </c>
      <c r="B120" s="2">
        <v>22107197</v>
      </c>
      <c r="C120" s="2" t="s">
        <v>515</v>
      </c>
      <c r="D120" s="23">
        <v>44274</v>
      </c>
      <c r="E120" s="23">
        <v>44350</v>
      </c>
      <c r="F120" s="23">
        <v>44350</v>
      </c>
      <c r="G120" s="2" t="s">
        <v>260</v>
      </c>
      <c r="H120" s="55">
        <v>44503</v>
      </c>
      <c r="I120" s="55">
        <v>44715</v>
      </c>
      <c r="J120" s="23">
        <v>44652</v>
      </c>
      <c r="K120" s="23">
        <v>44554</v>
      </c>
      <c r="L120" s="3" t="str">
        <f t="shared" si="15"/>
        <v>0Y9M5D</v>
      </c>
      <c r="M120" s="3" t="str">
        <f t="shared" si="16"/>
        <v>0Y6M21D</v>
      </c>
      <c r="N120" s="3">
        <f t="shared" si="17"/>
        <v>0.55890410958904113</v>
      </c>
      <c r="O120" s="2">
        <v>3</v>
      </c>
      <c r="P120" s="2">
        <v>4</v>
      </c>
      <c r="Q120" s="2" t="s">
        <v>1665</v>
      </c>
      <c r="R120" s="2">
        <v>3</v>
      </c>
      <c r="S120" s="2">
        <v>1</v>
      </c>
      <c r="T120" s="2">
        <v>1</v>
      </c>
      <c r="U120" s="2" t="s">
        <v>1742</v>
      </c>
      <c r="V120" s="2" t="s">
        <v>1664</v>
      </c>
      <c r="W120" s="2">
        <v>1</v>
      </c>
      <c r="X120" s="2">
        <v>1</v>
      </c>
      <c r="Y120" s="2">
        <v>1</v>
      </c>
      <c r="Z120" s="2">
        <v>1</v>
      </c>
      <c r="AA120" s="2">
        <v>2</v>
      </c>
      <c r="AB120" s="2">
        <v>1</v>
      </c>
      <c r="AC120" s="2"/>
      <c r="AD120" s="2">
        <v>1</v>
      </c>
      <c r="AE120" s="2">
        <v>1</v>
      </c>
      <c r="AF120" s="2">
        <v>1</v>
      </c>
      <c r="AG120" s="2">
        <v>1</v>
      </c>
      <c r="AH120" s="23">
        <v>44526</v>
      </c>
      <c r="AI120" s="3" t="str">
        <f t="shared" si="18"/>
        <v>0Y8M7D</v>
      </c>
      <c r="AJ120" s="3" t="str">
        <f t="shared" si="19"/>
        <v>0Y5M23D</v>
      </c>
      <c r="AK120" s="3">
        <f t="shared" si="20"/>
        <v>0.48219178082191783</v>
      </c>
      <c r="AL120" s="2">
        <v>2</v>
      </c>
      <c r="AM120" s="2">
        <v>1</v>
      </c>
      <c r="AN120" s="2">
        <v>1</v>
      </c>
      <c r="AO120" s="2">
        <v>1</v>
      </c>
      <c r="AP120" s="2">
        <v>2</v>
      </c>
      <c r="AQ120" s="2">
        <v>3</v>
      </c>
      <c r="AR120" s="2"/>
      <c r="AS120" s="23">
        <v>44522</v>
      </c>
      <c r="AT120" s="3" t="str">
        <f t="shared" si="21"/>
        <v>0Y8M3D</v>
      </c>
      <c r="AU120" s="3" t="str">
        <f t="shared" si="22"/>
        <v>0Y5M19D</v>
      </c>
      <c r="AV120" s="3">
        <f t="shared" si="23"/>
        <v>0.47123287671232877</v>
      </c>
      <c r="AW120" s="2">
        <v>5</v>
      </c>
      <c r="AX120" s="23">
        <v>44523</v>
      </c>
      <c r="AY120" s="3" t="str">
        <f t="shared" si="24"/>
        <v>0Y8M4D</v>
      </c>
      <c r="AZ120" s="3" t="str">
        <f t="shared" si="25"/>
        <v>0Y5M20D</v>
      </c>
      <c r="BA120" s="3">
        <f t="shared" si="26"/>
        <v>0.47397260273972602</v>
      </c>
      <c r="BB120" s="2">
        <v>5</v>
      </c>
      <c r="BC120" s="23">
        <v>44526</v>
      </c>
      <c r="BD120" s="3" t="str">
        <f t="shared" si="27"/>
        <v>0Y8M7D</v>
      </c>
      <c r="BE120" s="3" t="str">
        <f t="shared" si="28"/>
        <v>0Y5M23D</v>
      </c>
      <c r="BF120" s="3">
        <f t="shared" si="29"/>
        <v>0.48219178082191783</v>
      </c>
      <c r="BG120" s="2">
        <v>1</v>
      </c>
      <c r="BH120" s="2">
        <v>1</v>
      </c>
    </row>
    <row r="121" spans="1:60" ht="16">
      <c r="A121" s="2" t="s">
        <v>517</v>
      </c>
      <c r="B121" s="2">
        <v>5085978</v>
      </c>
      <c r="C121" s="2" t="s">
        <v>518</v>
      </c>
      <c r="D121" s="23">
        <v>44250</v>
      </c>
      <c r="E121" s="23">
        <v>44366</v>
      </c>
      <c r="F121" s="23">
        <v>44366</v>
      </c>
      <c r="G121" s="2" t="s">
        <v>520</v>
      </c>
      <c r="H121" s="55">
        <v>44519</v>
      </c>
      <c r="I121" s="55">
        <v>44731</v>
      </c>
      <c r="J121" s="23">
        <v>44603</v>
      </c>
      <c r="K121" s="23">
        <v>44554</v>
      </c>
      <c r="L121" s="3" t="str">
        <f t="shared" si="15"/>
        <v>0Y10M1D</v>
      </c>
      <c r="M121" s="3" t="str">
        <f t="shared" si="16"/>
        <v>0Y6M5D</v>
      </c>
      <c r="N121" s="3">
        <f t="shared" si="17"/>
        <v>0.51506849315068493</v>
      </c>
      <c r="O121" s="2">
        <v>3</v>
      </c>
      <c r="P121" s="2">
        <v>2</v>
      </c>
      <c r="Q121" s="2" t="s">
        <v>1736</v>
      </c>
      <c r="R121" s="2">
        <v>3</v>
      </c>
      <c r="S121" s="2">
        <v>1</v>
      </c>
      <c r="T121" s="2"/>
      <c r="U121" s="2" t="s">
        <v>1671</v>
      </c>
      <c r="V121" s="2" t="s">
        <v>1661</v>
      </c>
      <c r="W121" s="2">
        <v>1</v>
      </c>
      <c r="X121" s="2">
        <v>1</v>
      </c>
      <c r="Y121" s="2">
        <v>1</v>
      </c>
      <c r="Z121" s="2">
        <v>1</v>
      </c>
      <c r="AA121" s="2">
        <v>2</v>
      </c>
      <c r="AB121" s="2"/>
      <c r="AC121" s="2" t="s">
        <v>1743</v>
      </c>
      <c r="AD121" s="2">
        <v>1</v>
      </c>
      <c r="AE121" s="2">
        <v>1</v>
      </c>
      <c r="AF121" s="2">
        <v>1</v>
      </c>
      <c r="AG121" s="2">
        <v>1</v>
      </c>
      <c r="AH121" s="23">
        <v>44554</v>
      </c>
      <c r="AI121" s="3" t="str">
        <f t="shared" si="18"/>
        <v>0Y10M1D</v>
      </c>
      <c r="AJ121" s="3" t="str">
        <f t="shared" si="19"/>
        <v>0Y6M5D</v>
      </c>
      <c r="AK121" s="3">
        <f t="shared" si="20"/>
        <v>0.51506849315068493</v>
      </c>
      <c r="AL121" s="2">
        <v>2</v>
      </c>
      <c r="AM121" s="2">
        <v>1</v>
      </c>
      <c r="AN121" s="2">
        <v>2</v>
      </c>
      <c r="AO121" s="2">
        <v>1</v>
      </c>
      <c r="AP121" s="2">
        <v>2</v>
      </c>
      <c r="AQ121" s="2"/>
      <c r="AR121" s="2" t="s">
        <v>1744</v>
      </c>
      <c r="AS121" s="23">
        <v>44551</v>
      </c>
      <c r="AT121" s="3" t="str">
        <f t="shared" si="21"/>
        <v>0Y9M28D</v>
      </c>
      <c r="AU121" s="3" t="str">
        <f t="shared" si="22"/>
        <v>0Y6M2D</v>
      </c>
      <c r="AV121" s="3">
        <f t="shared" si="23"/>
        <v>0.50684931506849318</v>
      </c>
      <c r="AW121" s="2">
        <v>5</v>
      </c>
      <c r="AX121" s="23">
        <v>44552</v>
      </c>
      <c r="AY121" s="3" t="str">
        <f t="shared" si="24"/>
        <v>0Y9M29D</v>
      </c>
      <c r="AZ121" s="3" t="str">
        <f t="shared" si="25"/>
        <v>0Y6M3D</v>
      </c>
      <c r="BA121" s="3">
        <f t="shared" si="26"/>
        <v>0.50958904109589043</v>
      </c>
      <c r="BB121" s="2">
        <v>5</v>
      </c>
      <c r="BC121" s="23">
        <v>44554</v>
      </c>
      <c r="BD121" s="3" t="str">
        <f t="shared" si="27"/>
        <v>0Y10M1D</v>
      </c>
      <c r="BE121" s="3" t="str">
        <f t="shared" si="28"/>
        <v>0Y6M5D</v>
      </c>
      <c r="BF121" s="3">
        <f t="shared" si="29"/>
        <v>0.51506849315068493</v>
      </c>
      <c r="BG121" s="2">
        <v>1</v>
      </c>
      <c r="BH121" s="2">
        <v>1</v>
      </c>
    </row>
    <row r="122" spans="1:60" s="110" customFormat="1" ht="16">
      <c r="A122" s="17" t="s">
        <v>522</v>
      </c>
      <c r="B122" s="17">
        <v>22107708</v>
      </c>
      <c r="C122" s="17" t="s">
        <v>523</v>
      </c>
      <c r="D122" s="40">
        <v>44328</v>
      </c>
      <c r="E122" s="40">
        <v>44401</v>
      </c>
      <c r="F122" s="40">
        <v>44401</v>
      </c>
      <c r="G122" s="17" t="s">
        <v>525</v>
      </c>
      <c r="H122" s="75">
        <v>44554</v>
      </c>
      <c r="I122" s="75">
        <v>44766</v>
      </c>
      <c r="J122" s="40">
        <v>44575</v>
      </c>
      <c r="K122" s="40">
        <v>44575</v>
      </c>
      <c r="L122" s="21" t="str">
        <f t="shared" si="15"/>
        <v>0Y8M2D</v>
      </c>
      <c r="M122" s="21" t="str">
        <f t="shared" si="16"/>
        <v>0Y5M21D</v>
      </c>
      <c r="N122" s="21">
        <f t="shared" si="17"/>
        <v>0.47671232876712327</v>
      </c>
      <c r="O122" s="17">
        <v>3</v>
      </c>
      <c r="P122" s="17">
        <v>4</v>
      </c>
      <c r="Q122" s="17" t="s">
        <v>1745</v>
      </c>
      <c r="R122" s="17">
        <v>3</v>
      </c>
      <c r="S122" s="17">
        <v>1</v>
      </c>
      <c r="T122" s="17">
        <v>1</v>
      </c>
      <c r="U122" s="17" t="s">
        <v>1688</v>
      </c>
      <c r="V122" s="17" t="s">
        <v>1664</v>
      </c>
      <c r="W122" s="17">
        <v>1</v>
      </c>
      <c r="X122" s="17">
        <v>1</v>
      </c>
      <c r="Y122" s="17">
        <v>2</v>
      </c>
      <c r="Z122" s="17">
        <v>1</v>
      </c>
      <c r="AA122" s="17">
        <v>2</v>
      </c>
      <c r="AB122" s="17">
        <v>1</v>
      </c>
      <c r="AC122" s="17" t="s">
        <v>1746</v>
      </c>
      <c r="AD122" s="17">
        <v>1</v>
      </c>
      <c r="AE122" s="17">
        <v>1</v>
      </c>
      <c r="AF122" s="17">
        <v>1</v>
      </c>
      <c r="AG122" s="17">
        <v>1</v>
      </c>
      <c r="AH122" s="40">
        <v>44575</v>
      </c>
      <c r="AI122" s="21" t="str">
        <f t="shared" si="18"/>
        <v>0Y8M2D</v>
      </c>
      <c r="AJ122" s="21" t="str">
        <f t="shared" si="19"/>
        <v>0Y5M21D</v>
      </c>
      <c r="AK122" s="21">
        <f t="shared" si="20"/>
        <v>0.47671232876712327</v>
      </c>
      <c r="AL122" s="17">
        <v>2</v>
      </c>
      <c r="AM122" s="17">
        <v>1</v>
      </c>
      <c r="AN122" s="17">
        <v>2</v>
      </c>
      <c r="AO122" s="17">
        <v>1</v>
      </c>
      <c r="AP122" s="17">
        <v>2</v>
      </c>
      <c r="AQ122" s="17">
        <v>3</v>
      </c>
      <c r="AR122" s="17"/>
      <c r="AS122" s="40">
        <v>44572</v>
      </c>
      <c r="AT122" s="21" t="str">
        <f t="shared" si="21"/>
        <v>0Y7M30D</v>
      </c>
      <c r="AU122" s="21" t="str">
        <f t="shared" si="22"/>
        <v>0Y5M18D</v>
      </c>
      <c r="AV122" s="21">
        <f t="shared" si="23"/>
        <v>0.46849315068493153</v>
      </c>
      <c r="AW122" s="17">
        <v>5</v>
      </c>
      <c r="AX122" s="40">
        <v>44572</v>
      </c>
      <c r="AY122" s="21" t="str">
        <f t="shared" si="24"/>
        <v>0Y7M30D</v>
      </c>
      <c r="AZ122" s="21" t="str">
        <f t="shared" si="25"/>
        <v>0Y5M18D</v>
      </c>
      <c r="BA122" s="21">
        <f t="shared" si="26"/>
        <v>0.46849315068493153</v>
      </c>
      <c r="BB122" s="17">
        <v>5</v>
      </c>
      <c r="BC122" s="17" t="s">
        <v>1714</v>
      </c>
      <c r="BD122" s="21" t="e">
        <f t="shared" si="27"/>
        <v>#VALUE!</v>
      </c>
      <c r="BE122" s="21" t="e">
        <f t="shared" si="28"/>
        <v>#VALUE!</v>
      </c>
      <c r="BF122" s="21" t="e">
        <f t="shared" si="29"/>
        <v>#VALUE!</v>
      </c>
      <c r="BG122" s="17"/>
      <c r="BH122" s="17">
        <v>1</v>
      </c>
    </row>
    <row r="123" spans="1:60" ht="16">
      <c r="A123" s="2" t="s">
        <v>527</v>
      </c>
      <c r="B123" s="2">
        <v>22107105</v>
      </c>
      <c r="C123" s="2" t="s">
        <v>528</v>
      </c>
      <c r="D123" s="23">
        <v>44265</v>
      </c>
      <c r="E123" s="23">
        <v>44370</v>
      </c>
      <c r="F123" s="23">
        <v>44370</v>
      </c>
      <c r="G123" s="2">
        <v>25</v>
      </c>
      <c r="H123" s="55">
        <v>44523</v>
      </c>
      <c r="I123" s="55">
        <v>44735</v>
      </c>
      <c r="J123" s="23">
        <v>44550</v>
      </c>
      <c r="K123" s="23">
        <v>44550</v>
      </c>
      <c r="L123" s="3" t="str">
        <f t="shared" si="15"/>
        <v>0Y9M10D</v>
      </c>
      <c r="M123" s="3" t="str">
        <f t="shared" si="16"/>
        <v>0Y5M27D</v>
      </c>
      <c r="N123" s="3">
        <f t="shared" si="17"/>
        <v>0.49315068493150682</v>
      </c>
      <c r="O123" s="2">
        <v>3</v>
      </c>
      <c r="P123" s="2">
        <v>3</v>
      </c>
      <c r="Q123" s="2" t="s">
        <v>1747</v>
      </c>
      <c r="R123" s="2">
        <v>3</v>
      </c>
      <c r="S123" s="2">
        <v>1</v>
      </c>
      <c r="T123" s="2"/>
      <c r="U123" s="2" t="s">
        <v>1711</v>
      </c>
      <c r="V123" s="2" t="s">
        <v>1661</v>
      </c>
      <c r="W123" s="2">
        <v>1</v>
      </c>
      <c r="X123" s="2">
        <v>1</v>
      </c>
      <c r="Y123" s="2">
        <v>1</v>
      </c>
      <c r="Z123" s="2">
        <v>1</v>
      </c>
      <c r="AA123" s="2">
        <v>2</v>
      </c>
      <c r="AB123" s="2">
        <v>1</v>
      </c>
      <c r="AC123" s="2" t="s">
        <v>1748</v>
      </c>
      <c r="AD123" s="2">
        <v>1</v>
      </c>
      <c r="AE123" s="2">
        <v>1</v>
      </c>
      <c r="AF123" s="2">
        <v>1</v>
      </c>
      <c r="AG123" s="2">
        <v>1</v>
      </c>
      <c r="AH123" s="23">
        <v>44550</v>
      </c>
      <c r="AI123" s="3" t="str">
        <f t="shared" si="18"/>
        <v>0Y9M10D</v>
      </c>
      <c r="AJ123" s="3" t="str">
        <f t="shared" si="19"/>
        <v>0Y5M27D</v>
      </c>
      <c r="AK123" s="3">
        <f t="shared" si="20"/>
        <v>0.49315068493150682</v>
      </c>
      <c r="AL123" s="2">
        <v>2</v>
      </c>
      <c r="AM123" s="2">
        <v>1</v>
      </c>
      <c r="AN123" s="2">
        <v>2</v>
      </c>
      <c r="AO123" s="2">
        <v>1</v>
      </c>
      <c r="AP123" s="2">
        <v>2</v>
      </c>
      <c r="AQ123" s="2">
        <v>3</v>
      </c>
      <c r="AR123" s="2"/>
      <c r="AS123" s="23">
        <v>44548</v>
      </c>
      <c r="AT123" s="3" t="str">
        <f t="shared" si="21"/>
        <v>0Y9M8D</v>
      </c>
      <c r="AU123" s="3" t="str">
        <f t="shared" si="22"/>
        <v>0Y5M25D</v>
      </c>
      <c r="AV123" s="3">
        <f t="shared" si="23"/>
        <v>0.48767123287671232</v>
      </c>
      <c r="AW123" s="2">
        <v>5</v>
      </c>
      <c r="AX123" s="2"/>
      <c r="AY123" s="3" t="e">
        <f t="shared" si="24"/>
        <v>#NUM!</v>
      </c>
      <c r="AZ123" s="3" t="e">
        <f t="shared" si="25"/>
        <v>#NUM!</v>
      </c>
      <c r="BA123" s="3">
        <f t="shared" si="26"/>
        <v>-121.56164383561644</v>
      </c>
      <c r="BB123" s="2"/>
      <c r="BC123" s="23">
        <v>44550</v>
      </c>
      <c r="BD123" s="3" t="str">
        <f t="shared" si="27"/>
        <v>0Y9M10D</v>
      </c>
      <c r="BE123" s="3" t="str">
        <f t="shared" si="28"/>
        <v>0Y5M27D</v>
      </c>
      <c r="BF123" s="3">
        <f t="shared" si="29"/>
        <v>0.49315068493150682</v>
      </c>
      <c r="BG123" s="2">
        <v>1</v>
      </c>
      <c r="BH123" s="2">
        <v>1</v>
      </c>
    </row>
    <row r="124" spans="1:60" ht="16">
      <c r="A124" s="2" t="s">
        <v>531</v>
      </c>
      <c r="B124" s="2">
        <v>22107106</v>
      </c>
      <c r="C124" s="2" t="s">
        <v>532</v>
      </c>
      <c r="D124" s="23">
        <v>44265</v>
      </c>
      <c r="E124" s="23">
        <v>44370</v>
      </c>
      <c r="F124" s="23">
        <v>44370</v>
      </c>
      <c r="G124" s="2">
        <v>25</v>
      </c>
      <c r="H124" s="55">
        <v>44523</v>
      </c>
      <c r="I124" s="55">
        <v>44735</v>
      </c>
      <c r="J124" s="23">
        <v>44606</v>
      </c>
      <c r="K124" s="23">
        <v>44550</v>
      </c>
      <c r="L124" s="3" t="str">
        <f t="shared" si="15"/>
        <v>0Y9M10D</v>
      </c>
      <c r="M124" s="3" t="str">
        <f t="shared" si="16"/>
        <v>0Y5M27D</v>
      </c>
      <c r="N124" s="3">
        <f t="shared" si="17"/>
        <v>0.49315068493150682</v>
      </c>
      <c r="O124" s="2">
        <v>4</v>
      </c>
      <c r="P124" s="2">
        <v>2</v>
      </c>
      <c r="Q124" s="2" t="s">
        <v>1665</v>
      </c>
      <c r="R124" s="2">
        <v>3</v>
      </c>
      <c r="S124" s="2">
        <v>1</v>
      </c>
      <c r="T124" s="2"/>
      <c r="U124" s="2" t="s">
        <v>1671</v>
      </c>
      <c r="V124" s="2" t="s">
        <v>1661</v>
      </c>
      <c r="W124" s="2">
        <v>1</v>
      </c>
      <c r="X124" s="2">
        <v>1</v>
      </c>
      <c r="Y124" s="2">
        <v>1</v>
      </c>
      <c r="Z124" s="2">
        <v>1</v>
      </c>
      <c r="AA124" s="2">
        <v>2</v>
      </c>
      <c r="AB124" s="2"/>
      <c r="AC124" s="2" t="s">
        <v>1682</v>
      </c>
      <c r="AD124" s="2">
        <v>1</v>
      </c>
      <c r="AE124" s="2">
        <v>1</v>
      </c>
      <c r="AF124" s="2">
        <v>1</v>
      </c>
      <c r="AG124" s="2">
        <v>1</v>
      </c>
      <c r="AH124" s="23">
        <v>44550</v>
      </c>
      <c r="AI124" s="3" t="str">
        <f t="shared" si="18"/>
        <v>0Y9M10D</v>
      </c>
      <c r="AJ124" s="3" t="str">
        <f t="shared" si="19"/>
        <v>0Y5M27D</v>
      </c>
      <c r="AK124" s="3">
        <f t="shared" si="20"/>
        <v>0.49315068493150682</v>
      </c>
      <c r="AL124" s="2">
        <v>2</v>
      </c>
      <c r="AM124" s="2">
        <v>1</v>
      </c>
      <c r="AN124" s="2">
        <v>2</v>
      </c>
      <c r="AO124" s="2">
        <v>1</v>
      </c>
      <c r="AP124" s="2">
        <v>2</v>
      </c>
      <c r="AQ124" s="2">
        <v>2</v>
      </c>
      <c r="AR124" s="2" t="s">
        <v>1700</v>
      </c>
      <c r="AS124" s="23">
        <v>44547</v>
      </c>
      <c r="AT124" s="3" t="str">
        <f t="shared" si="21"/>
        <v>0Y9M7D</v>
      </c>
      <c r="AU124" s="3" t="str">
        <f t="shared" si="22"/>
        <v>0Y5M24D</v>
      </c>
      <c r="AV124" s="3">
        <f t="shared" si="23"/>
        <v>0.48493150684931507</v>
      </c>
      <c r="AW124" s="2">
        <v>5</v>
      </c>
      <c r="AX124" s="23">
        <v>44549</v>
      </c>
      <c r="AY124" s="3" t="str">
        <f t="shared" si="24"/>
        <v>0Y9M9D</v>
      </c>
      <c r="AZ124" s="3" t="str">
        <f t="shared" si="25"/>
        <v>0Y5M26D</v>
      </c>
      <c r="BA124" s="3">
        <f t="shared" si="26"/>
        <v>0.49041095890410957</v>
      </c>
      <c r="BB124" s="2">
        <v>5</v>
      </c>
      <c r="BC124" s="23">
        <v>44550</v>
      </c>
      <c r="BD124" s="3" t="str">
        <f t="shared" si="27"/>
        <v>0Y9M10D</v>
      </c>
      <c r="BE124" s="3" t="str">
        <f t="shared" si="28"/>
        <v>0Y5M27D</v>
      </c>
      <c r="BF124" s="3">
        <f t="shared" si="29"/>
        <v>0.49315068493150682</v>
      </c>
      <c r="BG124" s="2">
        <v>1</v>
      </c>
      <c r="BH124" s="2">
        <v>1</v>
      </c>
    </row>
    <row r="125" spans="1:60" s="114" customFormat="1" ht="16">
      <c r="A125" s="16" t="s">
        <v>533</v>
      </c>
      <c r="B125" s="16">
        <v>22100078</v>
      </c>
      <c r="C125" s="16" t="s">
        <v>534</v>
      </c>
      <c r="D125" s="77">
        <v>43613</v>
      </c>
      <c r="E125" s="77">
        <v>43619</v>
      </c>
      <c r="F125" s="77">
        <v>43613</v>
      </c>
      <c r="G125" s="16" t="s">
        <v>110</v>
      </c>
      <c r="H125" s="78">
        <v>43772</v>
      </c>
      <c r="I125" s="78">
        <v>43985</v>
      </c>
      <c r="J125" s="16"/>
      <c r="K125" s="16"/>
      <c r="L125" s="68" t="e">
        <f t="shared" si="15"/>
        <v>#NUM!</v>
      </c>
      <c r="M125" s="68" t="e">
        <f t="shared" si="16"/>
        <v>#NUM!</v>
      </c>
      <c r="N125" s="68">
        <f t="shared" si="17"/>
        <v>-119.48767123287671</v>
      </c>
      <c r="O125" s="16"/>
      <c r="P125" s="16"/>
      <c r="Q125" s="16"/>
      <c r="R125" s="16"/>
      <c r="S125" s="16"/>
      <c r="T125" s="16"/>
      <c r="U125" s="16"/>
      <c r="V125" s="16"/>
      <c r="W125" s="16"/>
      <c r="X125" s="16"/>
      <c r="Y125" s="16"/>
      <c r="Z125" s="16"/>
      <c r="AA125" s="16"/>
      <c r="AB125" s="16"/>
      <c r="AC125" s="16"/>
      <c r="AD125" s="16"/>
      <c r="AE125" s="16"/>
      <c r="AF125" s="16"/>
      <c r="AG125" s="16"/>
      <c r="AH125" s="16"/>
      <c r="AI125" s="68" t="e">
        <f t="shared" si="18"/>
        <v>#NUM!</v>
      </c>
      <c r="AJ125" s="68" t="e">
        <f t="shared" si="19"/>
        <v>#NUM!</v>
      </c>
      <c r="AK125" s="68">
        <f t="shared" si="20"/>
        <v>-119.48767123287671</v>
      </c>
      <c r="AL125" s="16"/>
      <c r="AM125" s="16"/>
      <c r="AN125" s="16"/>
      <c r="AO125" s="16"/>
      <c r="AP125" s="16"/>
      <c r="AQ125" s="16"/>
      <c r="AR125" s="16"/>
      <c r="AS125" s="16"/>
      <c r="AT125" s="68" t="e">
        <f t="shared" si="21"/>
        <v>#NUM!</v>
      </c>
      <c r="AU125" s="68" t="e">
        <f t="shared" si="22"/>
        <v>#NUM!</v>
      </c>
      <c r="AV125" s="68">
        <f t="shared" si="23"/>
        <v>-119.48767123287671</v>
      </c>
      <c r="AW125" s="16"/>
      <c r="AX125" s="16"/>
      <c r="AY125" s="68" t="e">
        <f t="shared" si="24"/>
        <v>#NUM!</v>
      </c>
      <c r="AZ125" s="68" t="e">
        <f t="shared" si="25"/>
        <v>#NUM!</v>
      </c>
      <c r="BA125" s="68">
        <f t="shared" si="26"/>
        <v>-119.48767123287671</v>
      </c>
      <c r="BB125" s="16"/>
      <c r="BC125" s="16"/>
      <c r="BD125" s="68" t="e">
        <f t="shared" si="27"/>
        <v>#NUM!</v>
      </c>
      <c r="BE125" s="68" t="e">
        <f t="shared" si="28"/>
        <v>#NUM!</v>
      </c>
      <c r="BF125" s="68">
        <f t="shared" si="29"/>
        <v>-119.48767123287671</v>
      </c>
      <c r="BG125" s="16"/>
      <c r="BH125" s="16"/>
    </row>
    <row r="126" spans="1:60" ht="16">
      <c r="A126" s="2" t="s">
        <v>537</v>
      </c>
      <c r="B126" s="2">
        <v>22108137</v>
      </c>
      <c r="C126" s="2" t="s">
        <v>538</v>
      </c>
      <c r="D126" s="23">
        <v>44372</v>
      </c>
      <c r="E126" s="23">
        <v>44377</v>
      </c>
      <c r="F126" s="23">
        <v>44372</v>
      </c>
      <c r="G126" s="2" t="s">
        <v>452</v>
      </c>
      <c r="H126" s="55">
        <v>44530</v>
      </c>
      <c r="I126" s="55">
        <v>44742</v>
      </c>
      <c r="J126" s="23">
        <v>44601</v>
      </c>
      <c r="K126" s="23">
        <v>44566</v>
      </c>
      <c r="L126" s="3" t="str">
        <f t="shared" si="15"/>
        <v>0Y6M11D</v>
      </c>
      <c r="M126" s="3" t="str">
        <f t="shared" si="16"/>
        <v>0Y6M6D</v>
      </c>
      <c r="N126" s="3">
        <f t="shared" si="17"/>
        <v>0.53150684931506853</v>
      </c>
      <c r="O126" s="2">
        <v>4</v>
      </c>
      <c r="P126" s="2">
        <v>4</v>
      </c>
      <c r="Q126" s="2" t="s">
        <v>1748</v>
      </c>
      <c r="R126" s="2">
        <v>3</v>
      </c>
      <c r="S126" s="2">
        <v>1</v>
      </c>
      <c r="T126" s="2">
        <v>1</v>
      </c>
      <c r="U126" s="2" t="s">
        <v>1712</v>
      </c>
      <c r="V126" s="2" t="s">
        <v>1661</v>
      </c>
      <c r="W126" s="2">
        <v>1</v>
      </c>
      <c r="X126" s="2">
        <v>1</v>
      </c>
      <c r="Y126" s="2">
        <v>2</v>
      </c>
      <c r="Z126" s="2">
        <v>1</v>
      </c>
      <c r="AA126" s="2">
        <v>2</v>
      </c>
      <c r="AB126" s="2">
        <v>1</v>
      </c>
      <c r="AC126" s="2" t="s">
        <v>1669</v>
      </c>
      <c r="AD126" s="2">
        <v>1</v>
      </c>
      <c r="AE126" s="2">
        <v>1</v>
      </c>
      <c r="AF126" s="2">
        <v>1</v>
      </c>
      <c r="AG126" s="2">
        <v>1</v>
      </c>
      <c r="AH126" s="23">
        <v>44566</v>
      </c>
      <c r="AI126" s="3" t="str">
        <f t="shared" si="18"/>
        <v>0Y6M11D</v>
      </c>
      <c r="AJ126" s="3" t="str">
        <f t="shared" si="19"/>
        <v>0Y6M6D</v>
      </c>
      <c r="AK126" s="3">
        <f t="shared" si="20"/>
        <v>0.53150684931506853</v>
      </c>
      <c r="AL126" s="2">
        <v>2</v>
      </c>
      <c r="AM126" s="2">
        <v>1</v>
      </c>
      <c r="AN126" s="2">
        <v>2</v>
      </c>
      <c r="AO126" s="2">
        <v>1</v>
      </c>
      <c r="AP126" s="2">
        <v>2</v>
      </c>
      <c r="AQ126" s="2">
        <v>3</v>
      </c>
      <c r="AR126" s="2"/>
      <c r="AS126" s="23">
        <v>44563</v>
      </c>
      <c r="AT126" s="3" t="str">
        <f t="shared" si="21"/>
        <v>0Y6M8D</v>
      </c>
      <c r="AU126" s="3" t="str">
        <f t="shared" si="22"/>
        <v>0Y6M3D</v>
      </c>
      <c r="AV126" s="3">
        <f t="shared" si="23"/>
        <v>0.52328767123287667</v>
      </c>
      <c r="AW126" s="2">
        <v>5</v>
      </c>
      <c r="AX126" s="23">
        <v>44564</v>
      </c>
      <c r="AY126" s="3" t="str">
        <f t="shared" si="24"/>
        <v>0Y6M9D</v>
      </c>
      <c r="AZ126" s="3" t="str">
        <f t="shared" si="25"/>
        <v>0Y6M4D</v>
      </c>
      <c r="BA126" s="3">
        <f t="shared" si="26"/>
        <v>0.52602739726027392</v>
      </c>
      <c r="BB126" s="2">
        <v>5</v>
      </c>
      <c r="BC126" s="23">
        <v>44566</v>
      </c>
      <c r="BD126" s="3" t="str">
        <f t="shared" si="27"/>
        <v>0Y6M11D</v>
      </c>
      <c r="BE126" s="3" t="str">
        <f t="shared" si="28"/>
        <v>0Y6M6D</v>
      </c>
      <c r="BF126" s="3">
        <f t="shared" si="29"/>
        <v>0.53150684931506853</v>
      </c>
      <c r="BG126" s="2">
        <v>1</v>
      </c>
      <c r="BH126" s="2">
        <v>0</v>
      </c>
    </row>
    <row r="127" spans="1:60" ht="16">
      <c r="A127" s="2" t="s">
        <v>541</v>
      </c>
      <c r="B127" s="2">
        <v>22108221</v>
      </c>
      <c r="C127" s="2" t="s">
        <v>542</v>
      </c>
      <c r="D127" s="23">
        <v>44383</v>
      </c>
      <c r="E127" s="23">
        <v>44387</v>
      </c>
      <c r="F127" s="23">
        <v>44383</v>
      </c>
      <c r="G127" s="2" t="s">
        <v>19</v>
      </c>
      <c r="H127" s="55">
        <v>44540</v>
      </c>
      <c r="I127" s="55">
        <v>44752</v>
      </c>
      <c r="J127" s="23">
        <v>44585</v>
      </c>
      <c r="K127" s="23">
        <v>44575</v>
      </c>
      <c r="L127" s="3" t="str">
        <f t="shared" si="15"/>
        <v>0Y6M8D</v>
      </c>
      <c r="M127" s="3" t="str">
        <f t="shared" si="16"/>
        <v>0Y6M4D</v>
      </c>
      <c r="N127" s="3">
        <f t="shared" si="17"/>
        <v>0.52602739726027392</v>
      </c>
      <c r="O127" s="2">
        <v>4</v>
      </c>
      <c r="P127" s="2">
        <v>3</v>
      </c>
      <c r="Q127" s="2" t="s">
        <v>1749</v>
      </c>
      <c r="R127" s="2">
        <v>3</v>
      </c>
      <c r="S127" s="2">
        <v>1</v>
      </c>
      <c r="T127" s="2"/>
      <c r="U127" s="2" t="s">
        <v>1669</v>
      </c>
      <c r="V127" s="2" t="s">
        <v>1685</v>
      </c>
      <c r="W127" s="2">
        <v>1</v>
      </c>
      <c r="X127" s="2">
        <v>1</v>
      </c>
      <c r="Y127" s="2">
        <v>2</v>
      </c>
      <c r="Z127" s="2">
        <v>1</v>
      </c>
      <c r="AA127" s="2">
        <v>2</v>
      </c>
      <c r="AB127" s="2"/>
      <c r="AC127" s="2" t="s">
        <v>1750</v>
      </c>
      <c r="AD127" s="2">
        <v>1</v>
      </c>
      <c r="AE127" s="2">
        <v>1</v>
      </c>
      <c r="AF127" s="2">
        <v>1</v>
      </c>
      <c r="AG127" s="2">
        <v>1</v>
      </c>
      <c r="AH127" s="23">
        <v>44575</v>
      </c>
      <c r="AI127" s="3" t="str">
        <f t="shared" si="18"/>
        <v>0Y6M8D</v>
      </c>
      <c r="AJ127" s="3" t="str">
        <f t="shared" si="19"/>
        <v>0Y6M4D</v>
      </c>
      <c r="AK127" s="3">
        <f t="shared" si="20"/>
        <v>0.52602739726027392</v>
      </c>
      <c r="AL127" s="2">
        <v>2</v>
      </c>
      <c r="AM127" s="2">
        <v>1</v>
      </c>
      <c r="AN127" s="2">
        <v>2</v>
      </c>
      <c r="AO127" s="2">
        <v>1</v>
      </c>
      <c r="AP127" s="2">
        <v>2</v>
      </c>
      <c r="AQ127" s="2"/>
      <c r="AR127" s="2" t="s">
        <v>1658</v>
      </c>
      <c r="AS127" s="23">
        <v>44575</v>
      </c>
      <c r="AT127" s="3" t="str">
        <f t="shared" si="21"/>
        <v>0Y6M8D</v>
      </c>
      <c r="AU127" s="3" t="str">
        <f t="shared" si="22"/>
        <v>0Y6M4D</v>
      </c>
      <c r="AV127" s="3">
        <f t="shared" si="23"/>
        <v>0.52602739726027392</v>
      </c>
      <c r="AW127" s="2">
        <v>5</v>
      </c>
      <c r="AX127" s="23">
        <v>44574</v>
      </c>
      <c r="AY127" s="3" t="str">
        <f t="shared" si="24"/>
        <v>0Y6M7D</v>
      </c>
      <c r="AZ127" s="3" t="str">
        <f t="shared" si="25"/>
        <v>0Y6M3D</v>
      </c>
      <c r="BA127" s="3">
        <f t="shared" si="26"/>
        <v>0.52328767123287667</v>
      </c>
      <c r="BB127" s="2">
        <v>5</v>
      </c>
      <c r="BC127" s="23">
        <v>44575</v>
      </c>
      <c r="BD127" s="3" t="str">
        <f t="shared" si="27"/>
        <v>0Y6M8D</v>
      </c>
      <c r="BE127" s="3" t="str">
        <f t="shared" si="28"/>
        <v>0Y6M4D</v>
      </c>
      <c r="BF127" s="3">
        <f t="shared" si="29"/>
        <v>0.52602739726027392</v>
      </c>
      <c r="BG127" s="2">
        <v>1</v>
      </c>
      <c r="BH127" s="2">
        <v>0</v>
      </c>
    </row>
    <row r="128" spans="1:60" s="114" customFormat="1" ht="16">
      <c r="A128" s="16" t="s">
        <v>544</v>
      </c>
      <c r="B128" s="16">
        <v>22100560</v>
      </c>
      <c r="C128" s="16" t="s">
        <v>545</v>
      </c>
      <c r="D128" s="77">
        <v>43657</v>
      </c>
      <c r="E128" s="77">
        <v>43728</v>
      </c>
      <c r="F128" s="77">
        <v>43728</v>
      </c>
      <c r="G128" s="16" t="s">
        <v>289</v>
      </c>
      <c r="H128" s="78">
        <v>43881</v>
      </c>
      <c r="I128" s="78">
        <v>44094</v>
      </c>
      <c r="J128" s="16"/>
      <c r="K128" s="16"/>
      <c r="L128" s="68" t="e">
        <f t="shared" si="15"/>
        <v>#NUM!</v>
      </c>
      <c r="M128" s="68" t="e">
        <f t="shared" si="16"/>
        <v>#NUM!</v>
      </c>
      <c r="N128" s="68">
        <f t="shared" si="17"/>
        <v>-119.8027397260274</v>
      </c>
      <c r="O128" s="16"/>
      <c r="P128" s="16"/>
      <c r="Q128" s="16"/>
      <c r="R128" s="16"/>
      <c r="S128" s="16"/>
      <c r="T128" s="16"/>
      <c r="U128" s="16"/>
      <c r="V128" s="16"/>
      <c r="W128" s="16"/>
      <c r="X128" s="16"/>
      <c r="Y128" s="16"/>
      <c r="Z128" s="16"/>
      <c r="AA128" s="16"/>
      <c r="AB128" s="16"/>
      <c r="AC128" s="16"/>
      <c r="AD128" s="16"/>
      <c r="AE128" s="16"/>
      <c r="AF128" s="16"/>
      <c r="AG128" s="16"/>
      <c r="AH128" s="16"/>
      <c r="AI128" s="68" t="e">
        <f t="shared" si="18"/>
        <v>#NUM!</v>
      </c>
      <c r="AJ128" s="68" t="e">
        <f t="shared" si="19"/>
        <v>#NUM!</v>
      </c>
      <c r="AK128" s="68">
        <f t="shared" si="20"/>
        <v>-119.8027397260274</v>
      </c>
      <c r="AL128" s="16"/>
      <c r="AM128" s="16"/>
      <c r="AN128" s="16"/>
      <c r="AO128" s="16"/>
      <c r="AP128" s="16"/>
      <c r="AQ128" s="16"/>
      <c r="AR128" s="16"/>
      <c r="AS128" s="16"/>
      <c r="AT128" s="68" t="e">
        <f t="shared" si="21"/>
        <v>#NUM!</v>
      </c>
      <c r="AU128" s="68" t="e">
        <f t="shared" si="22"/>
        <v>#NUM!</v>
      </c>
      <c r="AV128" s="68">
        <f t="shared" si="23"/>
        <v>-119.8027397260274</v>
      </c>
      <c r="AW128" s="16"/>
      <c r="AX128" s="16"/>
      <c r="AY128" s="68" t="e">
        <f t="shared" si="24"/>
        <v>#NUM!</v>
      </c>
      <c r="AZ128" s="68" t="e">
        <f t="shared" si="25"/>
        <v>#NUM!</v>
      </c>
      <c r="BA128" s="68">
        <f t="shared" si="26"/>
        <v>-119.8027397260274</v>
      </c>
      <c r="BB128" s="16"/>
      <c r="BC128" s="16"/>
      <c r="BD128" s="68" t="e">
        <f t="shared" si="27"/>
        <v>#NUM!</v>
      </c>
      <c r="BE128" s="68" t="e">
        <f t="shared" si="28"/>
        <v>#NUM!</v>
      </c>
      <c r="BF128" s="68">
        <f t="shared" si="29"/>
        <v>-119.8027397260274</v>
      </c>
      <c r="BG128" s="16"/>
      <c r="BH128" s="16"/>
    </row>
    <row r="129" spans="1:60" ht="16">
      <c r="A129" s="2" t="s">
        <v>548</v>
      </c>
      <c r="B129" s="2">
        <v>22108557</v>
      </c>
      <c r="C129" s="2" t="s">
        <v>549</v>
      </c>
      <c r="D129" s="23">
        <v>44416</v>
      </c>
      <c r="E129" s="23">
        <v>44478</v>
      </c>
      <c r="F129" s="23">
        <v>44478</v>
      </c>
      <c r="G129" s="2" t="s">
        <v>497</v>
      </c>
      <c r="H129" s="55">
        <v>44629</v>
      </c>
      <c r="I129" s="55">
        <v>44843</v>
      </c>
      <c r="J129" s="23">
        <v>44691</v>
      </c>
      <c r="K129" s="23">
        <v>44663</v>
      </c>
      <c r="L129" s="3" t="str">
        <f t="shared" si="15"/>
        <v>0Y8M4D</v>
      </c>
      <c r="M129" s="3" t="str">
        <f t="shared" si="16"/>
        <v>0Y6M3D</v>
      </c>
      <c r="N129" s="3">
        <f t="shared" si="17"/>
        <v>0.50684931506849318</v>
      </c>
      <c r="O129" s="2">
        <v>4</v>
      </c>
      <c r="P129" s="2">
        <v>3</v>
      </c>
      <c r="Q129" s="2" t="s">
        <v>1684</v>
      </c>
      <c r="R129" s="2">
        <v>3</v>
      </c>
      <c r="S129" s="2">
        <v>1</v>
      </c>
      <c r="T129" s="2">
        <v>2</v>
      </c>
      <c r="U129" s="2" t="s">
        <v>1669</v>
      </c>
      <c r="V129" s="2" t="s">
        <v>1664</v>
      </c>
      <c r="W129" s="2">
        <v>1</v>
      </c>
      <c r="X129" s="2">
        <v>1</v>
      </c>
      <c r="Y129" s="2">
        <v>2</v>
      </c>
      <c r="Z129" s="2">
        <v>1</v>
      </c>
      <c r="AA129" s="2">
        <v>2</v>
      </c>
      <c r="AB129" s="2">
        <v>1</v>
      </c>
      <c r="AC129" s="2" t="s">
        <v>1701</v>
      </c>
      <c r="AD129" s="2">
        <v>1</v>
      </c>
      <c r="AE129" s="2">
        <v>1</v>
      </c>
      <c r="AF129" s="2">
        <v>1</v>
      </c>
      <c r="AG129" s="2">
        <v>1</v>
      </c>
      <c r="AH129" s="23">
        <v>44663</v>
      </c>
      <c r="AI129" s="3" t="str">
        <f t="shared" si="18"/>
        <v>0Y8M4D</v>
      </c>
      <c r="AJ129" s="3" t="str">
        <f t="shared" si="19"/>
        <v>0Y6M3D</v>
      </c>
      <c r="AK129" s="3">
        <f t="shared" si="20"/>
        <v>0.50684931506849318</v>
      </c>
      <c r="AL129" s="2">
        <v>2</v>
      </c>
      <c r="AM129" s="2">
        <v>1</v>
      </c>
      <c r="AN129" s="2">
        <v>2</v>
      </c>
      <c r="AO129" s="2">
        <v>1</v>
      </c>
      <c r="AP129" s="2">
        <v>2</v>
      </c>
      <c r="AQ129" s="2">
        <v>1</v>
      </c>
      <c r="AR129" s="2" t="s">
        <v>1751</v>
      </c>
      <c r="AS129" s="23">
        <v>44659</v>
      </c>
      <c r="AT129" s="3" t="str">
        <f t="shared" si="21"/>
        <v>0Y8M0D</v>
      </c>
      <c r="AU129" s="3" t="str">
        <f t="shared" si="22"/>
        <v>0Y5M30D</v>
      </c>
      <c r="AV129" s="3">
        <f t="shared" si="23"/>
        <v>0.49589041095890413</v>
      </c>
      <c r="AW129" s="2">
        <v>5</v>
      </c>
      <c r="AX129" s="23">
        <v>44661</v>
      </c>
      <c r="AY129" s="3" t="str">
        <f t="shared" si="24"/>
        <v>0Y8M2D</v>
      </c>
      <c r="AZ129" s="3" t="str">
        <f t="shared" si="25"/>
        <v>0Y6M1D</v>
      </c>
      <c r="BA129" s="3">
        <f t="shared" si="26"/>
        <v>0.50136986301369868</v>
      </c>
      <c r="BB129" s="2">
        <v>5</v>
      </c>
      <c r="BC129" s="23">
        <v>44663</v>
      </c>
      <c r="BD129" s="3" t="str">
        <f t="shared" si="27"/>
        <v>0Y8M4D</v>
      </c>
      <c r="BE129" s="3" t="str">
        <f t="shared" si="28"/>
        <v>0Y6M3D</v>
      </c>
      <c r="BF129" s="3">
        <f t="shared" si="29"/>
        <v>0.50684931506849318</v>
      </c>
      <c r="BG129" s="2">
        <v>1</v>
      </c>
      <c r="BH129" s="2">
        <v>1</v>
      </c>
    </row>
    <row r="130" spans="1:60" s="127" customFormat="1" ht="16">
      <c r="A130" s="20" t="s">
        <v>551</v>
      </c>
      <c r="B130" s="20">
        <v>22103485</v>
      </c>
      <c r="C130" s="20" t="s">
        <v>552</v>
      </c>
      <c r="D130" s="45">
        <v>43909</v>
      </c>
      <c r="E130" s="45">
        <v>44009</v>
      </c>
      <c r="F130" s="45">
        <v>44009</v>
      </c>
      <c r="G130" s="20" t="s">
        <v>553</v>
      </c>
      <c r="H130" s="85">
        <v>44162</v>
      </c>
      <c r="I130" s="85">
        <v>44374</v>
      </c>
      <c r="J130" s="20"/>
      <c r="K130" s="20"/>
      <c r="L130" s="71" t="e">
        <f t="shared" ref="L130:L193" si="30">DATEDIF(D130,K130,"y")&amp;"Y"&amp;DATEDIF(D130,K130,"ym")&amp;"M"&amp;DATEDIF(D130,K130,"md")&amp;"D"</f>
        <v>#NUM!</v>
      </c>
      <c r="M130" s="71" t="e">
        <f t="shared" ref="M130:M193" si="31">DATEDIF(E130,K130,"y")&amp;"Y"&amp;DATEDIF(E130,K130,"ym")&amp;"M"&amp;DATEDIF(E130,K130,"md")&amp;"D"</f>
        <v>#NUM!</v>
      </c>
      <c r="N130" s="71">
        <f t="shared" ref="N130:N193" si="32">(K130-F130)/365</f>
        <v>-120.57260273972602</v>
      </c>
      <c r="O130" s="20"/>
      <c r="P130" s="20"/>
      <c r="Q130" s="20"/>
      <c r="R130" s="20"/>
      <c r="S130" s="20"/>
      <c r="T130" s="20"/>
      <c r="U130" s="20"/>
      <c r="V130" s="20"/>
      <c r="W130" s="20"/>
      <c r="X130" s="20"/>
      <c r="Y130" s="20"/>
      <c r="Z130" s="20"/>
      <c r="AA130" s="20"/>
      <c r="AB130" s="20"/>
      <c r="AC130" s="20"/>
      <c r="AD130" s="20"/>
      <c r="AE130" s="20"/>
      <c r="AF130" s="20"/>
      <c r="AG130" s="20"/>
      <c r="AH130" s="20"/>
      <c r="AI130" s="71" t="e">
        <f t="shared" ref="AI130:AI193" si="33">DATEDIF(D130,AH130,"y")&amp;"Y"&amp;DATEDIF(D130,AH130,"ym")&amp;"M"&amp;DATEDIF(D130,AH130,"md")&amp;"D"</f>
        <v>#NUM!</v>
      </c>
      <c r="AJ130" s="71" t="e">
        <f t="shared" ref="AJ130:AJ193" si="34">DATEDIF(E130,AH130,"y")&amp;"Y"&amp;DATEDIF(E130,AH130,"ym")&amp;"M"&amp;DATEDIF(E130,AH130,"md")&amp;"D"</f>
        <v>#NUM!</v>
      </c>
      <c r="AK130" s="71">
        <f t="shared" ref="AK130:AK193" si="35">(AH130-F130)/365</f>
        <v>-120.57260273972602</v>
      </c>
      <c r="AL130" s="20"/>
      <c r="AM130" s="20"/>
      <c r="AN130" s="20"/>
      <c r="AO130" s="20"/>
      <c r="AP130" s="20"/>
      <c r="AQ130" s="20"/>
      <c r="AR130" s="20"/>
      <c r="AS130" s="20"/>
      <c r="AT130" s="71" t="e">
        <f t="shared" ref="AT130:AT193" si="36">DATEDIF(D130,AS130,"y")&amp;"Y"&amp;DATEDIF(D130,AS130,"ym")&amp;"M"&amp;DATEDIF(D130,AS130,"md")&amp;"D"</f>
        <v>#NUM!</v>
      </c>
      <c r="AU130" s="71" t="e">
        <f t="shared" ref="AU130:AU193" si="37">DATEDIF(E130,AS130,"y")&amp;"Y"&amp;DATEDIF(E130,AS130,"ym")&amp;"M"&amp;DATEDIF(E130,AS130,"md")&amp;"D"</f>
        <v>#NUM!</v>
      </c>
      <c r="AV130" s="71">
        <f t="shared" ref="AV130:AV193" si="38">(AS130-F130)/365</f>
        <v>-120.57260273972602</v>
      </c>
      <c r="AW130" s="20"/>
      <c r="AX130" s="20"/>
      <c r="AY130" s="71" t="e">
        <f t="shared" ref="AY130:AY193" si="39">DATEDIF(D130,AX130,"y")&amp;"Y"&amp;DATEDIF(D130,AX130,"ym")&amp;"M"&amp;DATEDIF(D130,AX130,"md")&amp;"D"</f>
        <v>#NUM!</v>
      </c>
      <c r="AZ130" s="71" t="e">
        <f t="shared" ref="AZ130:AZ193" si="40">DATEDIF(E130,AX130,"y")&amp;"Y"&amp;DATEDIF(E130,AX130,"ym")&amp;"M"&amp;DATEDIF(E130,AX130,"md")&amp;"D"</f>
        <v>#NUM!</v>
      </c>
      <c r="BA130" s="71">
        <f t="shared" ref="BA130:BA193" si="41">(AX130-F130)/365</f>
        <v>-120.57260273972602</v>
      </c>
      <c r="BB130" s="20"/>
      <c r="BC130" s="20"/>
      <c r="BD130" s="71" t="e">
        <f t="shared" ref="BD130:BD193" si="42">DATEDIF(D130,BC130,"y")&amp;"Y"&amp;DATEDIF(D130,BC130,"ym")&amp;"M"&amp;DATEDIF(D130,BC130,"md")&amp;"D"</f>
        <v>#NUM!</v>
      </c>
      <c r="BE130" s="71" t="e">
        <f t="shared" ref="BE130:BE193" si="43">DATEDIF(E130,BC130,"y")&amp;"Y"&amp;DATEDIF(E130,BC130,"ym")&amp;"M"&amp;DATEDIF(E130,BC130,"md")&amp;"D"</f>
        <v>#NUM!</v>
      </c>
      <c r="BF130" s="71">
        <f t="shared" ref="BF130:BF193" si="44">(BC130-F130)/365</f>
        <v>-120.57260273972602</v>
      </c>
      <c r="BG130" s="20"/>
      <c r="BH130" s="20">
        <v>1</v>
      </c>
    </row>
    <row r="131" spans="1:60" s="110" customFormat="1" ht="16">
      <c r="A131" s="17" t="s">
        <v>555</v>
      </c>
      <c r="B131" s="17">
        <v>22282241</v>
      </c>
      <c r="C131" s="17" t="s">
        <v>556</v>
      </c>
      <c r="D131" s="40">
        <v>44173</v>
      </c>
      <c r="E131" s="40">
        <v>44255</v>
      </c>
      <c r="F131" s="40">
        <v>44255</v>
      </c>
      <c r="G131" s="17">
        <v>28</v>
      </c>
      <c r="H131" s="75">
        <v>44405</v>
      </c>
      <c r="I131" s="75">
        <v>44620</v>
      </c>
      <c r="J131" s="40">
        <v>44583</v>
      </c>
      <c r="K131" s="40">
        <v>44559</v>
      </c>
      <c r="L131" s="21" t="str">
        <f t="shared" si="30"/>
        <v>1Y0M21D</v>
      </c>
      <c r="M131" s="21" t="str">
        <f t="shared" si="31"/>
        <v>0Y10M1D</v>
      </c>
      <c r="N131" s="21">
        <f t="shared" si="32"/>
        <v>0.83287671232876714</v>
      </c>
      <c r="O131" s="17">
        <v>4</v>
      </c>
      <c r="P131" s="17">
        <v>4</v>
      </c>
      <c r="Q131" s="17"/>
      <c r="R131" s="17">
        <v>3</v>
      </c>
      <c r="S131" s="17">
        <v>1</v>
      </c>
      <c r="T131" s="17">
        <v>1</v>
      </c>
      <c r="U131" s="17" t="s">
        <v>1707</v>
      </c>
      <c r="V131" s="17" t="s">
        <v>1661</v>
      </c>
      <c r="W131" s="17">
        <v>1</v>
      </c>
      <c r="X131" s="17">
        <v>1</v>
      </c>
      <c r="Y131" s="17">
        <v>1</v>
      </c>
      <c r="Z131" s="17">
        <v>1</v>
      </c>
      <c r="AA131" s="17">
        <v>2</v>
      </c>
      <c r="AB131" s="17">
        <v>1</v>
      </c>
      <c r="AC131" s="17" t="s">
        <v>1704</v>
      </c>
      <c r="AD131" s="17">
        <v>1</v>
      </c>
      <c r="AE131" s="17">
        <v>1</v>
      </c>
      <c r="AF131" s="17">
        <v>1</v>
      </c>
      <c r="AG131" s="17">
        <v>1</v>
      </c>
      <c r="AH131" s="40">
        <v>44559</v>
      </c>
      <c r="AI131" s="21" t="str">
        <f t="shared" si="33"/>
        <v>1Y0M21D</v>
      </c>
      <c r="AJ131" s="21" t="str">
        <f t="shared" si="34"/>
        <v>0Y10M1D</v>
      </c>
      <c r="AK131" s="21">
        <f t="shared" si="35"/>
        <v>0.83287671232876714</v>
      </c>
      <c r="AL131" s="17">
        <v>2</v>
      </c>
      <c r="AM131" s="17">
        <v>1</v>
      </c>
      <c r="AN131" s="17">
        <v>2</v>
      </c>
      <c r="AO131" s="17">
        <v>1</v>
      </c>
      <c r="AP131" s="17">
        <v>2</v>
      </c>
      <c r="AQ131" s="17">
        <v>3</v>
      </c>
      <c r="AR131" s="17"/>
      <c r="AS131" s="40">
        <v>44566</v>
      </c>
      <c r="AT131" s="21" t="str">
        <f t="shared" si="36"/>
        <v>1Y0M28D</v>
      </c>
      <c r="AU131" s="21" t="str">
        <f t="shared" si="37"/>
        <v>0Y10M8D</v>
      </c>
      <c r="AV131" s="21">
        <f t="shared" si="38"/>
        <v>0.852054794520548</v>
      </c>
      <c r="AW131" s="17">
        <v>5</v>
      </c>
      <c r="AX131" s="40">
        <v>44566</v>
      </c>
      <c r="AY131" s="21" t="str">
        <f t="shared" si="39"/>
        <v>1Y0M28D</v>
      </c>
      <c r="AZ131" s="21" t="str">
        <f t="shared" si="40"/>
        <v>0Y10M8D</v>
      </c>
      <c r="BA131" s="21">
        <f t="shared" si="41"/>
        <v>0.852054794520548</v>
      </c>
      <c r="BB131" s="17">
        <v>5</v>
      </c>
      <c r="BC131" s="40" t="s">
        <v>1714</v>
      </c>
      <c r="BD131" s="21" t="e">
        <f t="shared" si="42"/>
        <v>#VALUE!</v>
      </c>
      <c r="BE131" s="21" t="e">
        <f t="shared" si="43"/>
        <v>#VALUE!</v>
      </c>
      <c r="BF131" s="21" t="e">
        <f t="shared" si="44"/>
        <v>#VALUE!</v>
      </c>
      <c r="BG131" s="17"/>
      <c r="BH131" s="17">
        <v>1</v>
      </c>
    </row>
    <row r="132" spans="1:60" ht="16">
      <c r="A132" s="2" t="s">
        <v>558</v>
      </c>
      <c r="B132" s="2">
        <v>22108320</v>
      </c>
      <c r="C132" s="2" t="s">
        <v>559</v>
      </c>
      <c r="D132" s="23">
        <v>44392</v>
      </c>
      <c r="E132" s="23">
        <v>44395</v>
      </c>
      <c r="F132" s="23">
        <v>44392</v>
      </c>
      <c r="G132" s="2" t="s">
        <v>560</v>
      </c>
      <c r="H132" s="55">
        <v>44548</v>
      </c>
      <c r="I132" s="55">
        <v>44760</v>
      </c>
      <c r="J132" s="23">
        <v>44579</v>
      </c>
      <c r="K132" s="23">
        <v>44579</v>
      </c>
      <c r="L132" s="3" t="str">
        <f t="shared" si="30"/>
        <v>0Y6M3D</v>
      </c>
      <c r="M132" s="3" t="str">
        <f t="shared" si="31"/>
        <v>0Y6M0D</v>
      </c>
      <c r="N132" s="3">
        <f t="shared" si="32"/>
        <v>0.51232876712328768</v>
      </c>
      <c r="O132" s="2">
        <v>5</v>
      </c>
      <c r="P132" s="2">
        <v>3</v>
      </c>
      <c r="Q132" s="2" t="s">
        <v>1665</v>
      </c>
      <c r="R132" s="2">
        <v>3</v>
      </c>
      <c r="S132" s="2">
        <v>1</v>
      </c>
      <c r="T132" s="2"/>
      <c r="U132" s="2" t="s">
        <v>1752</v>
      </c>
      <c r="V132" s="2" t="s">
        <v>1661</v>
      </c>
      <c r="W132" s="2">
        <v>1</v>
      </c>
      <c r="X132" s="2">
        <v>1</v>
      </c>
      <c r="Y132" s="2">
        <v>1</v>
      </c>
      <c r="Z132" s="2">
        <v>1</v>
      </c>
      <c r="AA132" s="2">
        <v>2</v>
      </c>
      <c r="AB132" s="2">
        <v>1</v>
      </c>
      <c r="AC132" s="2" t="s">
        <v>1708</v>
      </c>
      <c r="AD132" s="2">
        <v>1</v>
      </c>
      <c r="AE132" s="2">
        <v>1</v>
      </c>
      <c r="AF132" s="2">
        <v>1</v>
      </c>
      <c r="AG132" s="2">
        <v>1</v>
      </c>
      <c r="AH132" s="23">
        <v>44579</v>
      </c>
      <c r="AI132" s="3" t="str">
        <f t="shared" si="33"/>
        <v>0Y6M3D</v>
      </c>
      <c r="AJ132" s="3" t="str">
        <f t="shared" si="34"/>
        <v>0Y6M0D</v>
      </c>
      <c r="AK132" s="3">
        <f t="shared" si="35"/>
        <v>0.51232876712328768</v>
      </c>
      <c r="AL132" s="2">
        <v>2</v>
      </c>
      <c r="AM132" s="2">
        <v>1</v>
      </c>
      <c r="AN132" s="2">
        <v>2</v>
      </c>
      <c r="AO132" s="2">
        <v>1</v>
      </c>
      <c r="AP132" s="2">
        <v>3</v>
      </c>
      <c r="AQ132" s="2"/>
      <c r="AR132" s="2" t="s">
        <v>1662</v>
      </c>
      <c r="AS132" s="23">
        <v>44577</v>
      </c>
      <c r="AT132" s="3" t="str">
        <f t="shared" si="36"/>
        <v>0Y6M1D</v>
      </c>
      <c r="AU132" s="3" t="str">
        <f t="shared" si="37"/>
        <v>0Y5M29D</v>
      </c>
      <c r="AV132" s="3">
        <f t="shared" si="38"/>
        <v>0.50684931506849318</v>
      </c>
      <c r="AW132" s="2">
        <v>5</v>
      </c>
      <c r="AX132" s="2"/>
      <c r="AY132" s="3" t="e">
        <f t="shared" si="39"/>
        <v>#NUM!</v>
      </c>
      <c r="AZ132" s="3" t="e">
        <f t="shared" si="40"/>
        <v>#NUM!</v>
      </c>
      <c r="BA132" s="3">
        <f t="shared" si="41"/>
        <v>-121.62191780821918</v>
      </c>
      <c r="BB132" s="2"/>
      <c r="BC132" s="23">
        <v>44579</v>
      </c>
      <c r="BD132" s="3" t="str">
        <f t="shared" si="42"/>
        <v>0Y6M3D</v>
      </c>
      <c r="BE132" s="3" t="str">
        <f t="shared" si="43"/>
        <v>0Y6M0D</v>
      </c>
      <c r="BF132" s="3">
        <f t="shared" si="44"/>
        <v>0.51232876712328768</v>
      </c>
      <c r="BG132" s="2">
        <v>1</v>
      </c>
      <c r="BH132" s="2">
        <v>1</v>
      </c>
    </row>
    <row r="133" spans="1:60" ht="16">
      <c r="A133" s="2" t="s">
        <v>562</v>
      </c>
      <c r="B133" s="2">
        <v>22108974</v>
      </c>
      <c r="C133" s="2" t="s">
        <v>563</v>
      </c>
      <c r="D133" s="23">
        <v>44467</v>
      </c>
      <c r="E133" s="23">
        <v>44526</v>
      </c>
      <c r="F133" s="23">
        <v>44526</v>
      </c>
      <c r="G133" s="2" t="s">
        <v>85</v>
      </c>
      <c r="H133" s="23">
        <v>44677</v>
      </c>
      <c r="I133" s="23">
        <v>44891</v>
      </c>
      <c r="J133" s="23">
        <v>44704</v>
      </c>
      <c r="K133" s="23">
        <v>44704</v>
      </c>
      <c r="L133" s="3" t="str">
        <f t="shared" si="30"/>
        <v>0Y7M25D</v>
      </c>
      <c r="M133" s="3" t="str">
        <f t="shared" si="31"/>
        <v>0Y5M27D</v>
      </c>
      <c r="N133" s="3">
        <f t="shared" si="32"/>
        <v>0.48767123287671232</v>
      </c>
      <c r="O133" s="2">
        <v>4</v>
      </c>
      <c r="P133" s="2">
        <v>2</v>
      </c>
      <c r="Q133" s="2" t="s">
        <v>1665</v>
      </c>
      <c r="R133" s="2">
        <v>3</v>
      </c>
      <c r="S133" s="2">
        <v>1</v>
      </c>
      <c r="T133" s="2">
        <v>1</v>
      </c>
      <c r="U133" s="2" t="s">
        <v>1673</v>
      </c>
      <c r="V133" s="2" t="s">
        <v>1661</v>
      </c>
      <c r="W133" s="2">
        <v>1</v>
      </c>
      <c r="X133" s="2">
        <v>1</v>
      </c>
      <c r="Y133" s="2">
        <v>2</v>
      </c>
      <c r="Z133" s="2">
        <v>1</v>
      </c>
      <c r="AA133" s="2">
        <v>2</v>
      </c>
      <c r="AB133" s="2">
        <v>1</v>
      </c>
      <c r="AC133" s="2" t="s">
        <v>1669</v>
      </c>
      <c r="AD133" s="2">
        <v>1</v>
      </c>
      <c r="AE133" s="2">
        <v>1</v>
      </c>
      <c r="AF133" s="2">
        <v>1</v>
      </c>
      <c r="AG133" s="2">
        <v>1</v>
      </c>
      <c r="AH133" s="23">
        <v>44730</v>
      </c>
      <c r="AI133" s="3" t="str">
        <f t="shared" si="33"/>
        <v>0Y8M21D</v>
      </c>
      <c r="AJ133" s="3" t="str">
        <f t="shared" si="34"/>
        <v>0Y6M23D</v>
      </c>
      <c r="AK133" s="3">
        <f t="shared" si="35"/>
        <v>0.55890410958904113</v>
      </c>
      <c r="AL133" s="2">
        <v>2</v>
      </c>
      <c r="AM133" s="2">
        <v>1</v>
      </c>
      <c r="AN133" s="2">
        <v>2</v>
      </c>
      <c r="AO133" s="2">
        <v>1</v>
      </c>
      <c r="AP133" s="2">
        <v>3</v>
      </c>
      <c r="AQ133" s="2">
        <v>3</v>
      </c>
      <c r="AR133" s="2"/>
      <c r="AS133" s="23">
        <v>44729</v>
      </c>
      <c r="AT133" s="3" t="str">
        <f t="shared" si="36"/>
        <v>0Y8M20D</v>
      </c>
      <c r="AU133" s="3" t="str">
        <f t="shared" si="37"/>
        <v>0Y6M22D</v>
      </c>
      <c r="AV133" s="3">
        <f t="shared" si="38"/>
        <v>0.55616438356164388</v>
      </c>
      <c r="AW133" s="2">
        <v>6</v>
      </c>
      <c r="AX133" s="23">
        <v>44729</v>
      </c>
      <c r="AY133" s="3" t="str">
        <f t="shared" si="39"/>
        <v>0Y8M20D</v>
      </c>
      <c r="AZ133" s="3" t="str">
        <f t="shared" si="40"/>
        <v>0Y6M22D</v>
      </c>
      <c r="BA133" s="3">
        <f t="shared" si="41"/>
        <v>0.55616438356164388</v>
      </c>
      <c r="BB133" s="2">
        <v>6</v>
      </c>
      <c r="BC133" s="23">
        <v>44704</v>
      </c>
      <c r="BD133" s="3" t="str">
        <f t="shared" si="42"/>
        <v>0Y7M25D</v>
      </c>
      <c r="BE133" s="3" t="str">
        <f t="shared" si="43"/>
        <v>0Y5M27D</v>
      </c>
      <c r="BF133" s="3">
        <f t="shared" si="44"/>
        <v>0.48767123287671232</v>
      </c>
      <c r="BG133" s="2">
        <v>1</v>
      </c>
      <c r="BH133" s="2">
        <v>1</v>
      </c>
    </row>
    <row r="134" spans="1:60" ht="16">
      <c r="A134" s="2" t="s">
        <v>566</v>
      </c>
      <c r="B134" s="2">
        <v>22107651</v>
      </c>
      <c r="C134" s="2" t="s">
        <v>567</v>
      </c>
      <c r="D134" s="23">
        <v>44322</v>
      </c>
      <c r="E134" s="23">
        <v>44331</v>
      </c>
      <c r="F134" s="23">
        <v>44322</v>
      </c>
      <c r="G134" s="2" t="s">
        <v>155</v>
      </c>
      <c r="H134" s="55">
        <v>44484</v>
      </c>
      <c r="I134" s="55">
        <v>44696</v>
      </c>
      <c r="J134" s="23">
        <v>44540</v>
      </c>
      <c r="K134" s="23">
        <v>44540</v>
      </c>
      <c r="L134" s="3" t="str">
        <f t="shared" si="30"/>
        <v>0Y7M4D</v>
      </c>
      <c r="M134" s="3" t="str">
        <f t="shared" si="31"/>
        <v>0Y6M25D</v>
      </c>
      <c r="N134" s="3">
        <f t="shared" si="32"/>
        <v>0.59726027397260273</v>
      </c>
      <c r="O134" s="2">
        <v>4</v>
      </c>
      <c r="P134" s="2">
        <v>5</v>
      </c>
      <c r="Q134" s="2"/>
      <c r="R134" s="2">
        <v>3</v>
      </c>
      <c r="S134" s="2">
        <v>1</v>
      </c>
      <c r="T134" s="2">
        <v>1</v>
      </c>
      <c r="U134" s="2" t="s">
        <v>1682</v>
      </c>
      <c r="V134" s="2" t="s">
        <v>1664</v>
      </c>
      <c r="W134" s="2">
        <v>1</v>
      </c>
      <c r="X134" s="2">
        <v>1</v>
      </c>
      <c r="Y134" s="2">
        <v>1</v>
      </c>
      <c r="Z134" s="2">
        <v>1</v>
      </c>
      <c r="AA134" s="2">
        <v>2</v>
      </c>
      <c r="AB134" s="2">
        <v>1</v>
      </c>
      <c r="AC134" s="2" t="s">
        <v>1688</v>
      </c>
      <c r="AD134" s="2">
        <v>1</v>
      </c>
      <c r="AE134" s="2">
        <v>1</v>
      </c>
      <c r="AF134" s="2">
        <v>1</v>
      </c>
      <c r="AG134" s="2">
        <v>1</v>
      </c>
      <c r="AH134" s="23">
        <v>44540</v>
      </c>
      <c r="AI134" s="3" t="str">
        <f t="shared" si="33"/>
        <v>0Y7M4D</v>
      </c>
      <c r="AJ134" s="3" t="str">
        <f t="shared" si="34"/>
        <v>0Y6M25D</v>
      </c>
      <c r="AK134" s="3">
        <f t="shared" si="35"/>
        <v>0.59726027397260273</v>
      </c>
      <c r="AL134" s="2">
        <v>2</v>
      </c>
      <c r="AM134" s="2">
        <v>1</v>
      </c>
      <c r="AN134" s="2">
        <v>2</v>
      </c>
      <c r="AO134" s="2">
        <v>1</v>
      </c>
      <c r="AP134" s="2">
        <v>3</v>
      </c>
      <c r="AQ134" s="2">
        <v>3</v>
      </c>
      <c r="AR134" s="2"/>
      <c r="AS134" s="23">
        <v>44540</v>
      </c>
      <c r="AT134" s="3" t="str">
        <f t="shared" si="36"/>
        <v>0Y7M4D</v>
      </c>
      <c r="AU134" s="3" t="str">
        <f t="shared" si="37"/>
        <v>0Y6M25D</v>
      </c>
      <c r="AV134" s="3">
        <f t="shared" si="38"/>
        <v>0.59726027397260273</v>
      </c>
      <c r="AW134" s="2">
        <v>6</v>
      </c>
      <c r="AX134" s="23">
        <v>44540</v>
      </c>
      <c r="AY134" s="3" t="str">
        <f t="shared" si="39"/>
        <v>0Y7M4D</v>
      </c>
      <c r="AZ134" s="3" t="str">
        <f t="shared" si="40"/>
        <v>0Y6M25D</v>
      </c>
      <c r="BA134" s="3">
        <f t="shared" si="41"/>
        <v>0.59726027397260273</v>
      </c>
      <c r="BB134" s="2">
        <v>6</v>
      </c>
      <c r="BC134" s="23">
        <v>44540</v>
      </c>
      <c r="BD134" s="3" t="str">
        <f t="shared" si="42"/>
        <v>0Y7M4D</v>
      </c>
      <c r="BE134" s="3" t="str">
        <f t="shared" si="43"/>
        <v>0Y6M25D</v>
      </c>
      <c r="BF134" s="3">
        <f t="shared" si="44"/>
        <v>0.59726027397260273</v>
      </c>
      <c r="BG134" s="2">
        <v>1</v>
      </c>
      <c r="BH134" s="2">
        <v>1</v>
      </c>
    </row>
    <row r="135" spans="1:60" ht="16">
      <c r="A135" s="2" t="s">
        <v>570</v>
      </c>
      <c r="B135" s="2">
        <v>22108335</v>
      </c>
      <c r="C135" s="2" t="s">
        <v>571</v>
      </c>
      <c r="D135" s="23">
        <v>44393</v>
      </c>
      <c r="E135" s="23">
        <v>44398</v>
      </c>
      <c r="F135" s="23">
        <v>44393</v>
      </c>
      <c r="G135" s="2" t="s">
        <v>452</v>
      </c>
      <c r="H135" s="55">
        <v>44551</v>
      </c>
      <c r="I135" s="55">
        <v>44763</v>
      </c>
      <c r="J135" s="23">
        <v>44586</v>
      </c>
      <c r="K135" s="23">
        <v>44586</v>
      </c>
      <c r="L135" s="3" t="str">
        <f t="shared" si="30"/>
        <v>0Y6M9D</v>
      </c>
      <c r="M135" s="3" t="str">
        <f t="shared" si="31"/>
        <v>0Y6M4D</v>
      </c>
      <c r="N135" s="3">
        <f t="shared" si="32"/>
        <v>0.52876712328767128</v>
      </c>
      <c r="O135" s="2">
        <v>4</v>
      </c>
      <c r="P135" s="2">
        <v>3</v>
      </c>
      <c r="Q135" s="2" t="s">
        <v>1703</v>
      </c>
      <c r="R135" s="2">
        <v>3</v>
      </c>
      <c r="S135" s="2">
        <v>1</v>
      </c>
      <c r="T135" s="2"/>
      <c r="U135" s="2" t="s">
        <v>1738</v>
      </c>
      <c r="V135" s="2" t="s">
        <v>1664</v>
      </c>
      <c r="W135" s="2">
        <v>1</v>
      </c>
      <c r="X135" s="2">
        <v>1</v>
      </c>
      <c r="Y135" s="2">
        <v>2</v>
      </c>
      <c r="Z135" s="2">
        <v>1</v>
      </c>
      <c r="AA135" s="2">
        <v>2</v>
      </c>
      <c r="AB135" s="2"/>
      <c r="AC135" s="2" t="s">
        <v>1682</v>
      </c>
      <c r="AD135" s="2">
        <v>1</v>
      </c>
      <c r="AE135" s="2">
        <v>1</v>
      </c>
      <c r="AF135" s="2">
        <v>1</v>
      </c>
      <c r="AG135" s="2">
        <v>1</v>
      </c>
      <c r="AH135" s="23">
        <v>44586</v>
      </c>
      <c r="AI135" s="3" t="str">
        <f t="shared" si="33"/>
        <v>0Y6M9D</v>
      </c>
      <c r="AJ135" s="3" t="str">
        <f t="shared" si="34"/>
        <v>0Y6M4D</v>
      </c>
      <c r="AK135" s="3">
        <f t="shared" si="35"/>
        <v>0.52876712328767128</v>
      </c>
      <c r="AL135" s="2">
        <v>2</v>
      </c>
      <c r="AM135" s="2">
        <v>1</v>
      </c>
      <c r="AN135" s="2">
        <v>2</v>
      </c>
      <c r="AO135" s="2">
        <v>1</v>
      </c>
      <c r="AP135" s="2">
        <v>3</v>
      </c>
      <c r="AQ135" s="2">
        <v>3</v>
      </c>
      <c r="AR135" s="2"/>
      <c r="AS135" s="23">
        <v>44584</v>
      </c>
      <c r="AT135" s="3" t="str">
        <f t="shared" si="36"/>
        <v>0Y6M7D</v>
      </c>
      <c r="AU135" s="3" t="str">
        <f t="shared" si="37"/>
        <v>0Y6M2D</v>
      </c>
      <c r="AV135" s="3">
        <f t="shared" si="38"/>
        <v>0.52328767123287667</v>
      </c>
      <c r="AW135" s="2">
        <v>6</v>
      </c>
      <c r="AX135" s="2"/>
      <c r="AY135" s="3" t="e">
        <f t="shared" si="39"/>
        <v>#NUM!</v>
      </c>
      <c r="AZ135" s="3" t="e">
        <f t="shared" si="40"/>
        <v>#NUM!</v>
      </c>
      <c r="BA135" s="3">
        <f t="shared" si="41"/>
        <v>-121.62465753424658</v>
      </c>
      <c r="BB135" s="2"/>
      <c r="BC135" s="23">
        <v>44586</v>
      </c>
      <c r="BD135" s="3" t="str">
        <f t="shared" si="42"/>
        <v>0Y6M9D</v>
      </c>
      <c r="BE135" s="3" t="str">
        <f t="shared" si="43"/>
        <v>0Y6M4D</v>
      </c>
      <c r="BF135" s="3">
        <f t="shared" si="44"/>
        <v>0.52876712328767128</v>
      </c>
      <c r="BG135" s="2">
        <v>1</v>
      </c>
      <c r="BH135" s="2">
        <v>0</v>
      </c>
    </row>
    <row r="136" spans="1:60" ht="16">
      <c r="A136" s="2" t="s">
        <v>573</v>
      </c>
      <c r="B136" s="2">
        <v>22107996</v>
      </c>
      <c r="C136" s="2" t="s">
        <v>574</v>
      </c>
      <c r="D136" s="23">
        <v>44357</v>
      </c>
      <c r="E136" s="23">
        <v>44357</v>
      </c>
      <c r="F136" s="23">
        <v>44357</v>
      </c>
      <c r="G136" s="2">
        <v>40</v>
      </c>
      <c r="H136" s="55">
        <v>44510</v>
      </c>
      <c r="I136" s="55">
        <v>44722</v>
      </c>
      <c r="J136" s="23">
        <v>44579</v>
      </c>
      <c r="K136" s="23">
        <v>44579</v>
      </c>
      <c r="L136" s="3" t="str">
        <f t="shared" si="30"/>
        <v>0Y7M8D</v>
      </c>
      <c r="M136" s="3" t="str">
        <f t="shared" si="31"/>
        <v>0Y7M8D</v>
      </c>
      <c r="N136" s="3">
        <f t="shared" si="32"/>
        <v>0.60821917808219184</v>
      </c>
      <c r="O136" s="2">
        <v>4</v>
      </c>
      <c r="P136" s="2">
        <v>2</v>
      </c>
      <c r="Q136" s="2"/>
      <c r="R136" s="2">
        <v>3</v>
      </c>
      <c r="S136" s="2">
        <v>1</v>
      </c>
      <c r="T136" s="2"/>
      <c r="U136" s="2" t="s">
        <v>1753</v>
      </c>
      <c r="V136" s="2" t="s">
        <v>1664</v>
      </c>
      <c r="W136" s="2">
        <v>2</v>
      </c>
      <c r="X136" s="2">
        <v>1</v>
      </c>
      <c r="Y136" s="2">
        <v>2</v>
      </c>
      <c r="Z136" s="2">
        <v>1</v>
      </c>
      <c r="AA136" s="2">
        <v>2</v>
      </c>
      <c r="AB136" s="2"/>
      <c r="AC136" s="2" t="s">
        <v>1673</v>
      </c>
      <c r="AD136" s="2">
        <v>2</v>
      </c>
      <c r="AE136" s="2">
        <v>1</v>
      </c>
      <c r="AF136" s="2">
        <v>2</v>
      </c>
      <c r="AG136" s="2">
        <v>1</v>
      </c>
      <c r="AH136" s="23">
        <v>44551</v>
      </c>
      <c r="AI136" s="3" t="str">
        <f t="shared" si="33"/>
        <v>0Y6M11D</v>
      </c>
      <c r="AJ136" s="3" t="str">
        <f t="shared" si="34"/>
        <v>0Y6M11D</v>
      </c>
      <c r="AK136" s="3">
        <f t="shared" si="35"/>
        <v>0.53150684931506853</v>
      </c>
      <c r="AL136" s="2">
        <v>2</v>
      </c>
      <c r="AM136" s="2">
        <v>1</v>
      </c>
      <c r="AN136" s="2">
        <v>2</v>
      </c>
      <c r="AO136" s="2">
        <v>1</v>
      </c>
      <c r="AP136" s="2">
        <v>3</v>
      </c>
      <c r="AQ136" s="2">
        <v>3</v>
      </c>
      <c r="AR136" s="2"/>
      <c r="AS136" s="23">
        <v>44546</v>
      </c>
      <c r="AT136" s="3" t="str">
        <f t="shared" si="36"/>
        <v>0Y6M6D</v>
      </c>
      <c r="AU136" s="3" t="str">
        <f t="shared" si="37"/>
        <v>0Y6M6D</v>
      </c>
      <c r="AV136" s="3">
        <f t="shared" si="38"/>
        <v>0.51780821917808217</v>
      </c>
      <c r="AW136" s="2">
        <v>6</v>
      </c>
      <c r="AX136" s="23">
        <v>44547</v>
      </c>
      <c r="AY136" s="3" t="str">
        <f t="shared" si="39"/>
        <v>0Y6M7D</v>
      </c>
      <c r="AZ136" s="3" t="str">
        <f t="shared" si="40"/>
        <v>0Y6M7D</v>
      </c>
      <c r="BA136" s="3">
        <f t="shared" si="41"/>
        <v>0.52054794520547942</v>
      </c>
      <c r="BB136" s="2">
        <v>6</v>
      </c>
      <c r="BC136" s="23">
        <v>44551</v>
      </c>
      <c r="BD136" s="3" t="str">
        <f t="shared" si="42"/>
        <v>0Y6M11D</v>
      </c>
      <c r="BE136" s="3" t="str">
        <f t="shared" si="43"/>
        <v>0Y6M11D</v>
      </c>
      <c r="BF136" s="3">
        <f t="shared" si="44"/>
        <v>0.53150684931506853</v>
      </c>
      <c r="BG136" s="2">
        <v>1</v>
      </c>
      <c r="BH136" s="2">
        <v>0</v>
      </c>
    </row>
    <row r="137" spans="1:60" ht="16">
      <c r="A137" s="2" t="s">
        <v>576</v>
      </c>
      <c r="B137" s="2">
        <v>22108333</v>
      </c>
      <c r="C137" s="2" t="s">
        <v>577</v>
      </c>
      <c r="D137" s="23">
        <v>44393</v>
      </c>
      <c r="E137" s="23">
        <v>44393</v>
      </c>
      <c r="F137" s="23">
        <v>44393</v>
      </c>
      <c r="G137" s="2">
        <v>40</v>
      </c>
      <c r="H137" s="55">
        <v>44546</v>
      </c>
      <c r="I137" s="55">
        <v>44758</v>
      </c>
      <c r="J137" s="23">
        <v>44586</v>
      </c>
      <c r="K137" s="23">
        <v>44586</v>
      </c>
      <c r="L137" s="3" t="str">
        <f t="shared" si="30"/>
        <v>0Y6M9D</v>
      </c>
      <c r="M137" s="3" t="str">
        <f t="shared" si="31"/>
        <v>0Y6M9D</v>
      </c>
      <c r="N137" s="3">
        <f t="shared" si="32"/>
        <v>0.52876712328767128</v>
      </c>
      <c r="O137" s="2">
        <v>4</v>
      </c>
      <c r="P137" s="2">
        <v>3</v>
      </c>
      <c r="Q137" s="2" t="s">
        <v>1665</v>
      </c>
      <c r="R137" s="2">
        <v>3</v>
      </c>
      <c r="S137" s="2">
        <v>1</v>
      </c>
      <c r="T137" s="2">
        <v>1</v>
      </c>
      <c r="U137" s="2" t="s">
        <v>1725</v>
      </c>
      <c r="V137" s="2" t="s">
        <v>1664</v>
      </c>
      <c r="W137" s="2">
        <v>2</v>
      </c>
      <c r="X137" s="2">
        <v>1</v>
      </c>
      <c r="Y137" s="2">
        <v>2</v>
      </c>
      <c r="Z137" s="2">
        <v>1</v>
      </c>
      <c r="AA137" s="2">
        <v>2</v>
      </c>
      <c r="AB137" s="2"/>
      <c r="AC137" s="2" t="s">
        <v>1677</v>
      </c>
      <c r="AD137" s="2">
        <v>2</v>
      </c>
      <c r="AE137" s="2">
        <v>1</v>
      </c>
      <c r="AF137" s="2">
        <v>2</v>
      </c>
      <c r="AG137" s="2">
        <v>1</v>
      </c>
      <c r="AH137" s="23">
        <v>44586</v>
      </c>
      <c r="AI137" s="3" t="str">
        <f t="shared" si="33"/>
        <v>0Y6M9D</v>
      </c>
      <c r="AJ137" s="3" t="str">
        <f t="shared" si="34"/>
        <v>0Y6M9D</v>
      </c>
      <c r="AK137" s="3">
        <f t="shared" si="35"/>
        <v>0.52876712328767128</v>
      </c>
      <c r="AL137" s="2">
        <v>2</v>
      </c>
      <c r="AM137" s="2">
        <v>1</v>
      </c>
      <c r="AN137" s="2">
        <v>2</v>
      </c>
      <c r="AO137" s="2">
        <v>1</v>
      </c>
      <c r="AP137" s="2">
        <v>3</v>
      </c>
      <c r="AQ137" s="2">
        <v>3</v>
      </c>
      <c r="AR137" s="2"/>
      <c r="AS137" s="23">
        <v>44584</v>
      </c>
      <c r="AT137" s="3" t="str">
        <f t="shared" si="36"/>
        <v>0Y6M7D</v>
      </c>
      <c r="AU137" s="3" t="str">
        <f t="shared" si="37"/>
        <v>0Y6M7D</v>
      </c>
      <c r="AV137" s="3">
        <f t="shared" si="38"/>
        <v>0.52328767123287667</v>
      </c>
      <c r="AW137" s="2">
        <v>6</v>
      </c>
      <c r="AX137" s="2"/>
      <c r="AY137" s="3" t="e">
        <f t="shared" si="39"/>
        <v>#NUM!</v>
      </c>
      <c r="AZ137" s="3" t="e">
        <f t="shared" si="40"/>
        <v>#NUM!</v>
      </c>
      <c r="BA137" s="3">
        <f t="shared" si="41"/>
        <v>-121.62465753424658</v>
      </c>
      <c r="BB137" s="2"/>
      <c r="BC137" s="23">
        <v>44586</v>
      </c>
      <c r="BD137" s="3" t="str">
        <f t="shared" si="42"/>
        <v>0Y6M9D</v>
      </c>
      <c r="BE137" s="3" t="str">
        <f t="shared" si="43"/>
        <v>0Y6M9D</v>
      </c>
      <c r="BF137" s="3">
        <f t="shared" si="44"/>
        <v>0.52876712328767128</v>
      </c>
      <c r="BG137" s="2">
        <v>1</v>
      </c>
      <c r="BH137" s="2">
        <v>1</v>
      </c>
    </row>
    <row r="138" spans="1:60" s="110" customFormat="1" ht="16">
      <c r="A138" s="17" t="s">
        <v>580</v>
      </c>
      <c r="B138" s="17">
        <v>22107506</v>
      </c>
      <c r="C138" s="17" t="s">
        <v>581</v>
      </c>
      <c r="D138" s="40">
        <v>44306</v>
      </c>
      <c r="E138" s="40">
        <v>44304</v>
      </c>
      <c r="F138" s="40">
        <v>44306</v>
      </c>
      <c r="G138" s="17" t="s">
        <v>29</v>
      </c>
      <c r="H138" s="75">
        <v>44457</v>
      </c>
      <c r="I138" s="75">
        <v>44669</v>
      </c>
      <c r="J138" s="40">
        <v>44684</v>
      </c>
      <c r="K138" s="40">
        <v>44558</v>
      </c>
      <c r="L138" s="21" t="str">
        <f t="shared" si="30"/>
        <v>0Y8M8D</v>
      </c>
      <c r="M138" s="21" t="str">
        <f t="shared" si="31"/>
        <v>0Y8M10D</v>
      </c>
      <c r="N138" s="21">
        <f t="shared" si="32"/>
        <v>0.69041095890410964</v>
      </c>
      <c r="O138" s="17">
        <v>4</v>
      </c>
      <c r="P138" s="17">
        <v>4</v>
      </c>
      <c r="Q138" s="17" t="s">
        <v>1739</v>
      </c>
      <c r="R138" s="17">
        <v>3</v>
      </c>
      <c r="S138" s="17">
        <v>1</v>
      </c>
      <c r="T138" s="17">
        <v>2</v>
      </c>
      <c r="U138" s="17"/>
      <c r="V138" s="17" t="s">
        <v>1740</v>
      </c>
      <c r="W138" s="17">
        <v>2</v>
      </c>
      <c r="X138" s="17">
        <v>1</v>
      </c>
      <c r="Y138" s="17">
        <v>1</v>
      </c>
      <c r="Z138" s="17">
        <v>1</v>
      </c>
      <c r="AA138" s="17">
        <v>2</v>
      </c>
      <c r="AB138" s="17">
        <v>2</v>
      </c>
      <c r="AC138" s="17" t="s">
        <v>1709</v>
      </c>
      <c r="AD138" s="17">
        <v>2</v>
      </c>
      <c r="AE138" s="17">
        <v>1</v>
      </c>
      <c r="AF138" s="17">
        <v>2</v>
      </c>
      <c r="AG138" s="17">
        <v>1</v>
      </c>
      <c r="AH138" s="17" t="s">
        <v>1714</v>
      </c>
      <c r="AI138" s="21" t="e">
        <f t="shared" si="33"/>
        <v>#VALUE!</v>
      </c>
      <c r="AJ138" s="21" t="e">
        <f t="shared" si="34"/>
        <v>#VALUE!</v>
      </c>
      <c r="AK138" s="21" t="e">
        <f t="shared" si="35"/>
        <v>#VALUE!</v>
      </c>
      <c r="AL138" s="17"/>
      <c r="AM138" s="17"/>
      <c r="AN138" s="17"/>
      <c r="AO138" s="17"/>
      <c r="AP138" s="17"/>
      <c r="AQ138" s="17"/>
      <c r="AR138" s="17"/>
      <c r="AS138" s="40">
        <v>44562</v>
      </c>
      <c r="AT138" s="21" t="str">
        <f t="shared" si="36"/>
        <v>0Y8M12D</v>
      </c>
      <c r="AU138" s="21" t="str">
        <f t="shared" si="37"/>
        <v>0Y8M14D</v>
      </c>
      <c r="AV138" s="21">
        <f t="shared" si="38"/>
        <v>0.70136986301369864</v>
      </c>
      <c r="AW138" s="17">
        <v>6</v>
      </c>
      <c r="AX138" s="40">
        <v>44563</v>
      </c>
      <c r="AY138" s="21" t="str">
        <f t="shared" si="39"/>
        <v>0Y8M13D</v>
      </c>
      <c r="AZ138" s="21" t="str">
        <f t="shared" si="40"/>
        <v>0Y8M15D</v>
      </c>
      <c r="BA138" s="21">
        <f t="shared" si="41"/>
        <v>0.70410958904109588</v>
      </c>
      <c r="BB138" s="17">
        <v>6</v>
      </c>
      <c r="BC138" s="40">
        <v>44558</v>
      </c>
      <c r="BD138" s="21" t="str">
        <f t="shared" si="42"/>
        <v>0Y8M8D</v>
      </c>
      <c r="BE138" s="21" t="str">
        <f t="shared" si="43"/>
        <v>0Y8M10D</v>
      </c>
      <c r="BF138" s="21">
        <f t="shared" si="44"/>
        <v>0.69041095890410964</v>
      </c>
      <c r="BG138" s="17">
        <v>1</v>
      </c>
      <c r="BH138" s="17">
        <v>0</v>
      </c>
    </row>
    <row r="139" spans="1:60" s="127" customFormat="1" ht="16">
      <c r="A139" s="20" t="s">
        <v>584</v>
      </c>
      <c r="B139" s="20">
        <v>22106433</v>
      </c>
      <c r="C139" s="20" t="s">
        <v>585</v>
      </c>
      <c r="D139" s="45">
        <v>44202</v>
      </c>
      <c r="E139" s="45">
        <v>44305</v>
      </c>
      <c r="F139" s="45">
        <v>44305</v>
      </c>
      <c r="G139" s="20" t="s">
        <v>587</v>
      </c>
      <c r="H139" s="85">
        <v>44458</v>
      </c>
      <c r="I139" s="85">
        <v>44670</v>
      </c>
      <c r="J139" s="20"/>
      <c r="K139" s="20" t="s">
        <v>18</v>
      </c>
      <c r="L139" s="71" t="e">
        <f t="shared" si="30"/>
        <v>#VALUE!</v>
      </c>
      <c r="M139" s="71" t="e">
        <f t="shared" si="31"/>
        <v>#VALUE!</v>
      </c>
      <c r="N139" s="71" t="e">
        <f t="shared" si="32"/>
        <v>#VALUE!</v>
      </c>
      <c r="O139" s="20"/>
      <c r="P139" s="20"/>
      <c r="Q139" s="20"/>
      <c r="R139" s="20"/>
      <c r="S139" s="20"/>
      <c r="T139" s="20"/>
      <c r="U139" s="20"/>
      <c r="V139" s="20"/>
      <c r="W139" s="20"/>
      <c r="X139" s="20"/>
      <c r="Y139" s="20"/>
      <c r="Z139" s="20"/>
      <c r="AA139" s="20"/>
      <c r="AB139" s="20"/>
      <c r="AC139" s="20"/>
      <c r="AD139" s="20"/>
      <c r="AE139" s="20"/>
      <c r="AF139" s="20"/>
      <c r="AG139" s="20"/>
      <c r="AH139" s="20"/>
      <c r="AI139" s="71" t="e">
        <f t="shared" si="33"/>
        <v>#NUM!</v>
      </c>
      <c r="AJ139" s="71" t="e">
        <f t="shared" si="34"/>
        <v>#NUM!</v>
      </c>
      <c r="AK139" s="71">
        <f t="shared" si="35"/>
        <v>-121.38356164383562</v>
      </c>
      <c r="AL139" s="20"/>
      <c r="AM139" s="20"/>
      <c r="AN139" s="20"/>
      <c r="AO139" s="20"/>
      <c r="AP139" s="20"/>
      <c r="AQ139" s="20"/>
      <c r="AR139" s="20"/>
      <c r="AS139" s="20"/>
      <c r="AT139" s="71" t="e">
        <f t="shared" si="36"/>
        <v>#NUM!</v>
      </c>
      <c r="AU139" s="71" t="e">
        <f t="shared" si="37"/>
        <v>#NUM!</v>
      </c>
      <c r="AV139" s="71">
        <f t="shared" si="38"/>
        <v>-121.38356164383562</v>
      </c>
      <c r="AW139" s="20"/>
      <c r="AX139" s="20"/>
      <c r="AY139" s="71" t="e">
        <f t="shared" si="39"/>
        <v>#NUM!</v>
      </c>
      <c r="AZ139" s="71" t="e">
        <f t="shared" si="40"/>
        <v>#NUM!</v>
      </c>
      <c r="BA139" s="71">
        <f t="shared" si="41"/>
        <v>-121.38356164383562</v>
      </c>
      <c r="BB139" s="20"/>
      <c r="BC139" s="20"/>
      <c r="BD139" s="71" t="e">
        <f t="shared" si="42"/>
        <v>#NUM!</v>
      </c>
      <c r="BE139" s="71" t="e">
        <f t="shared" si="43"/>
        <v>#NUM!</v>
      </c>
      <c r="BF139" s="71">
        <f t="shared" si="44"/>
        <v>-121.38356164383562</v>
      </c>
      <c r="BG139" s="20"/>
      <c r="BH139" s="20">
        <v>1</v>
      </c>
    </row>
    <row r="140" spans="1:60" s="110" customFormat="1" ht="16">
      <c r="A140" s="17" t="s">
        <v>589</v>
      </c>
      <c r="B140" s="17">
        <v>22108915</v>
      </c>
      <c r="C140" s="17" t="s">
        <v>590</v>
      </c>
      <c r="D140" s="40">
        <v>44458</v>
      </c>
      <c r="E140" s="40">
        <v>44465</v>
      </c>
      <c r="F140" s="40">
        <v>44458</v>
      </c>
      <c r="G140" s="17" t="s">
        <v>90</v>
      </c>
      <c r="H140" s="75">
        <v>44618</v>
      </c>
      <c r="I140" s="75">
        <v>44830</v>
      </c>
      <c r="J140" s="17"/>
      <c r="K140" s="22" t="s">
        <v>1718</v>
      </c>
      <c r="L140" s="70" t="e">
        <f t="shared" si="30"/>
        <v>#VALUE!</v>
      </c>
      <c r="M140" s="21" t="e">
        <f t="shared" si="31"/>
        <v>#VALUE!</v>
      </c>
      <c r="N140" s="21" t="e">
        <f t="shared" si="32"/>
        <v>#VALUE!</v>
      </c>
      <c r="O140" s="17"/>
      <c r="P140" s="17"/>
      <c r="Q140" s="17"/>
      <c r="R140" s="17"/>
      <c r="S140" s="17"/>
      <c r="T140" s="17"/>
      <c r="U140" s="17"/>
      <c r="V140" s="17"/>
      <c r="W140" s="17"/>
      <c r="X140" s="17"/>
      <c r="Y140" s="17"/>
      <c r="Z140" s="17"/>
      <c r="AA140" s="17"/>
      <c r="AB140" s="17"/>
      <c r="AC140" s="17"/>
      <c r="AD140" s="17"/>
      <c r="AE140" s="17"/>
      <c r="AF140" s="17"/>
      <c r="AG140" s="17"/>
      <c r="AH140" s="40">
        <v>44645</v>
      </c>
      <c r="AI140" s="21" t="str">
        <f t="shared" si="33"/>
        <v>0Y6M6D</v>
      </c>
      <c r="AJ140" s="21" t="str">
        <f t="shared" si="34"/>
        <v>0Y5M27D</v>
      </c>
      <c r="AK140" s="21">
        <f t="shared" si="35"/>
        <v>0.51232876712328768</v>
      </c>
      <c r="AL140" s="17">
        <v>2</v>
      </c>
      <c r="AM140" s="17">
        <v>1</v>
      </c>
      <c r="AN140" s="17">
        <v>2</v>
      </c>
      <c r="AO140" s="17">
        <v>1</v>
      </c>
      <c r="AP140" s="17">
        <v>3</v>
      </c>
      <c r="AQ140" s="17">
        <v>3</v>
      </c>
      <c r="AR140" s="17"/>
      <c r="AS140" s="40">
        <v>44644</v>
      </c>
      <c r="AT140" s="21" t="str">
        <f t="shared" si="36"/>
        <v>0Y6M5D</v>
      </c>
      <c r="AU140" s="21" t="str">
        <f t="shared" si="37"/>
        <v>0Y5M26D</v>
      </c>
      <c r="AV140" s="21">
        <f t="shared" si="38"/>
        <v>0.50958904109589043</v>
      </c>
      <c r="AW140" s="17">
        <v>6</v>
      </c>
      <c r="AX140" s="17"/>
      <c r="AY140" s="21" t="e">
        <f t="shared" si="39"/>
        <v>#NUM!</v>
      </c>
      <c r="AZ140" s="21" t="e">
        <f t="shared" si="40"/>
        <v>#NUM!</v>
      </c>
      <c r="BA140" s="21">
        <f t="shared" si="41"/>
        <v>-121.8027397260274</v>
      </c>
      <c r="BB140" s="17"/>
      <c r="BC140" s="22" t="s">
        <v>1720</v>
      </c>
      <c r="BD140" s="70" t="e">
        <f t="shared" si="42"/>
        <v>#VALUE!</v>
      </c>
      <c r="BE140" s="21" t="e">
        <f t="shared" si="43"/>
        <v>#VALUE!</v>
      </c>
      <c r="BF140" s="21" t="e">
        <f t="shared" si="44"/>
        <v>#VALUE!</v>
      </c>
      <c r="BG140" s="17"/>
      <c r="BH140" s="17">
        <v>0</v>
      </c>
    </row>
    <row r="141" spans="1:60" ht="16">
      <c r="A141" s="2" t="s">
        <v>593</v>
      </c>
      <c r="B141" s="2">
        <v>16902223</v>
      </c>
      <c r="C141" s="2" t="s">
        <v>594</v>
      </c>
      <c r="D141" s="23">
        <v>44314</v>
      </c>
      <c r="E141" s="23">
        <v>44412</v>
      </c>
      <c r="F141" s="23">
        <v>44412</v>
      </c>
      <c r="G141" s="2">
        <v>26</v>
      </c>
      <c r="H141" s="55">
        <v>44565</v>
      </c>
      <c r="I141" s="55">
        <v>44777</v>
      </c>
      <c r="J141" s="23">
        <v>44630</v>
      </c>
      <c r="K141" s="23">
        <v>44630</v>
      </c>
      <c r="L141" s="3" t="str">
        <f t="shared" si="30"/>
        <v>0Y10M10D</v>
      </c>
      <c r="M141" s="3" t="str">
        <f t="shared" si="31"/>
        <v>0Y7M6D</v>
      </c>
      <c r="N141" s="3">
        <f t="shared" si="32"/>
        <v>0.59726027397260273</v>
      </c>
      <c r="O141" s="2">
        <v>4</v>
      </c>
      <c r="P141" s="2">
        <v>2</v>
      </c>
      <c r="Q141" s="2"/>
      <c r="R141" s="2">
        <v>3</v>
      </c>
      <c r="S141" s="2">
        <v>1</v>
      </c>
      <c r="T141" s="2"/>
      <c r="U141" s="2" t="s">
        <v>1754</v>
      </c>
      <c r="V141" s="2" t="s">
        <v>1661</v>
      </c>
      <c r="W141" s="2">
        <v>2</v>
      </c>
      <c r="X141" s="2">
        <v>1</v>
      </c>
      <c r="Y141" s="2">
        <v>2</v>
      </c>
      <c r="Z141" s="2">
        <v>1</v>
      </c>
      <c r="AA141" s="2">
        <v>2</v>
      </c>
      <c r="AB141" s="2"/>
      <c r="AC141" s="2" t="s">
        <v>1755</v>
      </c>
      <c r="AD141" s="2">
        <v>2</v>
      </c>
      <c r="AE141" s="2">
        <v>1</v>
      </c>
      <c r="AF141" s="2">
        <v>2</v>
      </c>
      <c r="AG141" s="2">
        <v>1</v>
      </c>
      <c r="AH141" s="23">
        <v>44630</v>
      </c>
      <c r="AI141" s="3" t="str">
        <f t="shared" si="33"/>
        <v>0Y10M10D</v>
      </c>
      <c r="AJ141" s="3" t="str">
        <f t="shared" si="34"/>
        <v>0Y7M6D</v>
      </c>
      <c r="AK141" s="3">
        <f t="shared" si="35"/>
        <v>0.59726027397260273</v>
      </c>
      <c r="AL141" s="2">
        <v>2</v>
      </c>
      <c r="AM141" s="2">
        <v>1</v>
      </c>
      <c r="AN141" s="2">
        <v>2</v>
      </c>
      <c r="AO141" s="2">
        <v>1</v>
      </c>
      <c r="AP141" s="2">
        <v>3</v>
      </c>
      <c r="AQ141" s="2" t="s">
        <v>849</v>
      </c>
      <c r="AR141" s="2" t="s">
        <v>1756</v>
      </c>
      <c r="AS141" s="23">
        <v>44627</v>
      </c>
      <c r="AT141" s="3" t="str">
        <f t="shared" si="36"/>
        <v>0Y10M7D</v>
      </c>
      <c r="AU141" s="3" t="str">
        <f t="shared" si="37"/>
        <v>0Y7M3D</v>
      </c>
      <c r="AV141" s="3">
        <f t="shared" si="38"/>
        <v>0.58904109589041098</v>
      </c>
      <c r="AW141" s="2">
        <v>6</v>
      </c>
      <c r="AX141" s="23">
        <v>44628</v>
      </c>
      <c r="AY141" s="3" t="str">
        <f t="shared" si="39"/>
        <v>0Y10M8D</v>
      </c>
      <c r="AZ141" s="3" t="str">
        <f t="shared" si="40"/>
        <v>0Y7M4D</v>
      </c>
      <c r="BA141" s="3">
        <f t="shared" si="41"/>
        <v>0.59178082191780823</v>
      </c>
      <c r="BB141" s="2">
        <v>6</v>
      </c>
      <c r="BC141" s="23">
        <v>44630</v>
      </c>
      <c r="BD141" s="3" t="str">
        <f t="shared" si="42"/>
        <v>0Y10M10D</v>
      </c>
      <c r="BE141" s="3" t="str">
        <f t="shared" si="43"/>
        <v>0Y7M6D</v>
      </c>
      <c r="BF141" s="3">
        <f t="shared" si="44"/>
        <v>0.59726027397260273</v>
      </c>
      <c r="BG141" s="2">
        <v>1</v>
      </c>
      <c r="BH141" s="2">
        <v>1</v>
      </c>
    </row>
    <row r="142" spans="1:60" ht="16">
      <c r="A142" s="2" t="s">
        <v>597</v>
      </c>
      <c r="B142" s="2">
        <v>22108084</v>
      </c>
      <c r="C142" s="2" t="s">
        <v>598</v>
      </c>
      <c r="D142" s="23">
        <v>44367</v>
      </c>
      <c r="E142" s="23">
        <v>44367</v>
      </c>
      <c r="F142" s="23">
        <v>44367</v>
      </c>
      <c r="G142" s="2" t="s">
        <v>75</v>
      </c>
      <c r="H142" s="55">
        <v>44520</v>
      </c>
      <c r="I142" s="55">
        <v>44732</v>
      </c>
      <c r="J142" s="23">
        <v>44642</v>
      </c>
      <c r="K142" s="23">
        <v>44558</v>
      </c>
      <c r="L142" s="3" t="str">
        <f t="shared" si="30"/>
        <v>0Y6M8D</v>
      </c>
      <c r="M142" s="3" t="str">
        <f t="shared" si="31"/>
        <v>0Y6M8D</v>
      </c>
      <c r="N142" s="3">
        <f t="shared" si="32"/>
        <v>0.52328767123287667</v>
      </c>
      <c r="O142" s="2">
        <v>4</v>
      </c>
      <c r="P142" s="2">
        <v>4</v>
      </c>
      <c r="Q142" s="2" t="s">
        <v>1684</v>
      </c>
      <c r="R142" s="2">
        <v>3</v>
      </c>
      <c r="S142" s="2">
        <v>1</v>
      </c>
      <c r="T142" s="2">
        <v>1</v>
      </c>
      <c r="U142" s="2" t="s">
        <v>1677</v>
      </c>
      <c r="V142" s="2" t="s">
        <v>1664</v>
      </c>
      <c r="W142" s="2">
        <v>2</v>
      </c>
      <c r="X142" s="2">
        <v>1</v>
      </c>
      <c r="Y142" s="2">
        <v>1</v>
      </c>
      <c r="Z142" s="2">
        <v>1</v>
      </c>
      <c r="AA142" s="2">
        <v>2</v>
      </c>
      <c r="AB142" s="2">
        <v>2</v>
      </c>
      <c r="AC142" s="2"/>
      <c r="AD142" s="2">
        <v>2</v>
      </c>
      <c r="AE142" s="2">
        <v>1</v>
      </c>
      <c r="AF142" s="2">
        <v>2</v>
      </c>
      <c r="AG142" s="2">
        <v>1</v>
      </c>
      <c r="AH142" s="23">
        <v>44558</v>
      </c>
      <c r="AI142" s="3" t="str">
        <f t="shared" si="33"/>
        <v>0Y6M8D</v>
      </c>
      <c r="AJ142" s="3" t="str">
        <f t="shared" si="34"/>
        <v>0Y6M8D</v>
      </c>
      <c r="AK142" s="3">
        <f t="shared" si="35"/>
        <v>0.52328767123287667</v>
      </c>
      <c r="AL142" s="2">
        <v>2</v>
      </c>
      <c r="AM142" s="2">
        <v>1</v>
      </c>
      <c r="AN142" s="2">
        <v>2</v>
      </c>
      <c r="AO142" s="2">
        <v>1</v>
      </c>
      <c r="AP142" s="2">
        <v>3</v>
      </c>
      <c r="AQ142" s="2">
        <v>1</v>
      </c>
      <c r="AR142" s="2" t="s">
        <v>1711</v>
      </c>
      <c r="AS142" s="23">
        <v>44554</v>
      </c>
      <c r="AT142" s="3" t="str">
        <f t="shared" si="36"/>
        <v>0Y6M4D</v>
      </c>
      <c r="AU142" s="3" t="str">
        <f t="shared" si="37"/>
        <v>0Y6M4D</v>
      </c>
      <c r="AV142" s="3">
        <f t="shared" si="38"/>
        <v>0.51232876712328768</v>
      </c>
      <c r="AW142" s="2">
        <v>6</v>
      </c>
      <c r="AX142" s="23">
        <v>44554</v>
      </c>
      <c r="AY142" s="3" t="str">
        <f t="shared" si="39"/>
        <v>0Y6M4D</v>
      </c>
      <c r="AZ142" s="3" t="str">
        <f t="shared" si="40"/>
        <v>0Y6M4D</v>
      </c>
      <c r="BA142" s="3">
        <f t="shared" si="41"/>
        <v>0.51232876712328768</v>
      </c>
      <c r="BB142" s="2">
        <v>6</v>
      </c>
      <c r="BC142" s="23">
        <v>44558</v>
      </c>
      <c r="BD142" s="3" t="str">
        <f t="shared" si="42"/>
        <v>0Y6M8D</v>
      </c>
      <c r="BE142" s="3" t="str">
        <f t="shared" si="43"/>
        <v>0Y6M8D</v>
      </c>
      <c r="BF142" s="3">
        <f t="shared" si="44"/>
        <v>0.52328767123287667</v>
      </c>
      <c r="BG142" s="2">
        <v>1</v>
      </c>
      <c r="BH142" s="2">
        <v>1</v>
      </c>
    </row>
    <row r="143" spans="1:60" ht="16">
      <c r="A143" s="2" t="s">
        <v>601</v>
      </c>
      <c r="B143" s="2">
        <v>22107115</v>
      </c>
      <c r="C143" s="2" t="s">
        <v>602</v>
      </c>
      <c r="D143" s="23">
        <v>44266</v>
      </c>
      <c r="E143" s="23">
        <v>44377</v>
      </c>
      <c r="F143" s="23">
        <v>44377</v>
      </c>
      <c r="G143" s="2" t="s">
        <v>34</v>
      </c>
      <c r="H143" s="55">
        <v>44530</v>
      </c>
      <c r="I143" s="55">
        <v>44742</v>
      </c>
      <c r="J143" s="23">
        <v>44579</v>
      </c>
      <c r="K143" s="23">
        <v>44551</v>
      </c>
      <c r="L143" s="3" t="str">
        <f t="shared" si="30"/>
        <v>0Y9M10D</v>
      </c>
      <c r="M143" s="3" t="str">
        <f t="shared" si="31"/>
        <v>0Y5M21D</v>
      </c>
      <c r="N143" s="3">
        <f t="shared" si="32"/>
        <v>0.47671232876712327</v>
      </c>
      <c r="O143" s="2">
        <v>4</v>
      </c>
      <c r="P143" s="2">
        <v>2</v>
      </c>
      <c r="Q143" s="2" t="s">
        <v>1665</v>
      </c>
      <c r="R143" s="2">
        <v>3</v>
      </c>
      <c r="S143" s="2">
        <v>1</v>
      </c>
      <c r="T143" s="2"/>
      <c r="U143" s="2" t="s">
        <v>1681</v>
      </c>
      <c r="V143" s="2" t="s">
        <v>1661</v>
      </c>
      <c r="W143" s="2">
        <v>2</v>
      </c>
      <c r="X143" s="2">
        <v>1</v>
      </c>
      <c r="Y143" s="2">
        <v>1</v>
      </c>
      <c r="Z143" s="2">
        <v>1</v>
      </c>
      <c r="AA143" s="2">
        <v>2</v>
      </c>
      <c r="AB143" s="2"/>
      <c r="AC143" s="2" t="s">
        <v>1743</v>
      </c>
      <c r="AD143" s="2">
        <v>2</v>
      </c>
      <c r="AE143" s="2">
        <v>1</v>
      </c>
      <c r="AF143" s="2">
        <v>2</v>
      </c>
      <c r="AG143" s="2">
        <v>1</v>
      </c>
      <c r="AH143" s="23">
        <v>44551</v>
      </c>
      <c r="AI143" s="3" t="str">
        <f t="shared" si="33"/>
        <v>0Y9M10D</v>
      </c>
      <c r="AJ143" s="3" t="str">
        <f t="shared" si="34"/>
        <v>0Y5M21D</v>
      </c>
      <c r="AK143" s="3">
        <f t="shared" si="35"/>
        <v>0.47671232876712327</v>
      </c>
      <c r="AL143" s="2">
        <v>2</v>
      </c>
      <c r="AM143" s="2">
        <v>1</v>
      </c>
      <c r="AN143" s="2">
        <v>2</v>
      </c>
      <c r="AO143" s="2">
        <v>1</v>
      </c>
      <c r="AP143" s="2">
        <v>3</v>
      </c>
      <c r="AQ143" s="2">
        <v>3</v>
      </c>
      <c r="AR143" s="2"/>
      <c r="AS143" s="23">
        <v>44548</v>
      </c>
      <c r="AT143" s="3" t="str">
        <f t="shared" si="36"/>
        <v>0Y9M7D</v>
      </c>
      <c r="AU143" s="3" t="str">
        <f t="shared" si="37"/>
        <v>0Y5M18D</v>
      </c>
      <c r="AV143" s="3">
        <f t="shared" si="38"/>
        <v>0.46849315068493153</v>
      </c>
      <c r="AW143" s="2">
        <v>6</v>
      </c>
      <c r="AX143" s="23">
        <v>44549</v>
      </c>
      <c r="AY143" s="3" t="str">
        <f t="shared" si="39"/>
        <v>0Y9M8D</v>
      </c>
      <c r="AZ143" s="3" t="str">
        <f t="shared" si="40"/>
        <v>0Y5M19D</v>
      </c>
      <c r="BA143" s="3">
        <f t="shared" si="41"/>
        <v>0.47123287671232877</v>
      </c>
      <c r="BB143" s="2">
        <v>6</v>
      </c>
      <c r="BC143" s="23">
        <v>44551</v>
      </c>
      <c r="BD143" s="3" t="str">
        <f t="shared" si="42"/>
        <v>0Y9M10D</v>
      </c>
      <c r="BE143" s="3" t="str">
        <f t="shared" si="43"/>
        <v>0Y5M21D</v>
      </c>
      <c r="BF143" s="3">
        <f t="shared" si="44"/>
        <v>0.47671232876712327</v>
      </c>
      <c r="BG143" s="2">
        <v>1</v>
      </c>
      <c r="BH143" s="2">
        <v>1</v>
      </c>
    </row>
    <row r="144" spans="1:60" ht="16">
      <c r="A144" s="2" t="s">
        <v>604</v>
      </c>
      <c r="B144" s="2">
        <v>22106626</v>
      </c>
      <c r="C144" s="2" t="s">
        <v>605</v>
      </c>
      <c r="D144" s="23">
        <v>44221</v>
      </c>
      <c r="E144" s="23">
        <v>44324</v>
      </c>
      <c r="F144" s="23">
        <v>44324</v>
      </c>
      <c r="G144" s="2" t="s">
        <v>587</v>
      </c>
      <c r="H144" s="55">
        <v>44477</v>
      </c>
      <c r="I144" s="55">
        <v>44689</v>
      </c>
      <c r="J144" s="23">
        <v>44587</v>
      </c>
      <c r="K144" s="23">
        <v>44559</v>
      </c>
      <c r="L144" s="3" t="str">
        <f t="shared" si="30"/>
        <v>0Y11M4D</v>
      </c>
      <c r="M144" s="3" t="str">
        <f t="shared" si="31"/>
        <v>0Y7M21D</v>
      </c>
      <c r="N144" s="3">
        <f t="shared" si="32"/>
        <v>0.64383561643835618</v>
      </c>
      <c r="O144" s="2">
        <v>4</v>
      </c>
      <c r="P144" s="2">
        <v>2</v>
      </c>
      <c r="Q144" s="2" t="s">
        <v>1726</v>
      </c>
      <c r="R144" s="2">
        <v>3</v>
      </c>
      <c r="S144" s="2">
        <v>1</v>
      </c>
      <c r="T144" s="2"/>
      <c r="U144" s="2" t="s">
        <v>1757</v>
      </c>
      <c r="V144" s="2" t="s">
        <v>1661</v>
      </c>
      <c r="W144" s="2">
        <v>2</v>
      </c>
      <c r="X144" s="2">
        <v>1</v>
      </c>
      <c r="Y144" s="2">
        <v>1</v>
      </c>
      <c r="Z144" s="2">
        <v>1</v>
      </c>
      <c r="AA144" s="2">
        <v>2</v>
      </c>
      <c r="AB144" s="2"/>
      <c r="AC144" s="2" t="s">
        <v>1746</v>
      </c>
      <c r="AD144" s="2">
        <v>2</v>
      </c>
      <c r="AE144" s="2">
        <v>1</v>
      </c>
      <c r="AF144" s="2">
        <v>2</v>
      </c>
      <c r="AG144" s="2">
        <v>1</v>
      </c>
      <c r="AH144" s="23">
        <v>44525</v>
      </c>
      <c r="AI144" s="3" t="str">
        <f t="shared" si="33"/>
        <v>0Y10M0D</v>
      </c>
      <c r="AJ144" s="3" t="str">
        <f t="shared" si="34"/>
        <v>0Y6M17D</v>
      </c>
      <c r="AK144" s="3">
        <f t="shared" si="35"/>
        <v>0.55068493150684927</v>
      </c>
      <c r="AL144" s="2">
        <v>2</v>
      </c>
      <c r="AM144" s="2">
        <v>1</v>
      </c>
      <c r="AN144" s="2">
        <v>2</v>
      </c>
      <c r="AO144" s="2">
        <v>1</v>
      </c>
      <c r="AP144" s="2">
        <v>3</v>
      </c>
      <c r="AQ144" s="2">
        <v>3</v>
      </c>
      <c r="AR144" s="2"/>
      <c r="AS144" s="23">
        <v>44525</v>
      </c>
      <c r="AT144" s="3" t="str">
        <f t="shared" si="36"/>
        <v>0Y10M0D</v>
      </c>
      <c r="AU144" s="3" t="str">
        <f t="shared" si="37"/>
        <v>0Y6M17D</v>
      </c>
      <c r="AV144" s="3">
        <f t="shared" si="38"/>
        <v>0.55068493150684927</v>
      </c>
      <c r="AW144" s="2">
        <v>6</v>
      </c>
      <c r="AX144" s="23">
        <v>44525</v>
      </c>
      <c r="AY144" s="3" t="str">
        <f t="shared" si="39"/>
        <v>0Y10M0D</v>
      </c>
      <c r="AZ144" s="3" t="str">
        <f t="shared" si="40"/>
        <v>0Y6M17D</v>
      </c>
      <c r="BA144" s="3">
        <f t="shared" si="41"/>
        <v>0.55068493150684927</v>
      </c>
      <c r="BB144" s="2">
        <v>6</v>
      </c>
      <c r="BC144" s="23">
        <v>44559</v>
      </c>
      <c r="BD144" s="3" t="str">
        <f t="shared" si="42"/>
        <v>0Y11M4D</v>
      </c>
      <c r="BE144" s="3" t="str">
        <f t="shared" si="43"/>
        <v>0Y7M21D</v>
      </c>
      <c r="BF144" s="3">
        <f t="shared" si="44"/>
        <v>0.64383561643835618</v>
      </c>
      <c r="BG144" s="2">
        <v>1</v>
      </c>
      <c r="BH144" s="2">
        <v>1</v>
      </c>
    </row>
    <row r="145" spans="1:60" ht="16">
      <c r="A145" s="2" t="s">
        <v>608</v>
      </c>
      <c r="B145" s="2">
        <v>22109189</v>
      </c>
      <c r="C145" s="2" t="s">
        <v>609</v>
      </c>
      <c r="D145" s="23">
        <v>44490</v>
      </c>
      <c r="E145" s="23">
        <v>44496</v>
      </c>
      <c r="F145" s="23">
        <v>44490</v>
      </c>
      <c r="G145" s="2" t="s">
        <v>110</v>
      </c>
      <c r="H145" s="55">
        <v>44647</v>
      </c>
      <c r="I145" s="55">
        <v>44861</v>
      </c>
      <c r="J145" s="23">
        <v>44678</v>
      </c>
      <c r="K145" s="23">
        <v>44677</v>
      </c>
      <c r="L145" s="3" t="str">
        <f t="shared" si="30"/>
        <v>0Y6M5D</v>
      </c>
      <c r="M145" s="3" t="str">
        <f t="shared" si="31"/>
        <v>0Y5M30D</v>
      </c>
      <c r="N145" s="3">
        <f t="shared" si="32"/>
        <v>0.51232876712328768</v>
      </c>
      <c r="O145" s="2">
        <v>4</v>
      </c>
      <c r="P145" s="2">
        <v>4</v>
      </c>
      <c r="Q145" s="2" t="s">
        <v>1665</v>
      </c>
      <c r="R145" s="2">
        <v>3</v>
      </c>
      <c r="S145" s="2">
        <v>1</v>
      </c>
      <c r="T145" s="2">
        <v>1</v>
      </c>
      <c r="U145" s="2" t="s">
        <v>1681</v>
      </c>
      <c r="V145" s="2" t="s">
        <v>1664</v>
      </c>
      <c r="W145" s="2">
        <v>2</v>
      </c>
      <c r="X145" s="2">
        <v>1</v>
      </c>
      <c r="Y145" s="2">
        <v>2</v>
      </c>
      <c r="Z145" s="2">
        <v>1</v>
      </c>
      <c r="AA145" s="2">
        <v>2</v>
      </c>
      <c r="AB145" s="2">
        <v>1</v>
      </c>
      <c r="AC145" s="2" t="s">
        <v>1701</v>
      </c>
      <c r="AD145" s="2">
        <v>2</v>
      </c>
      <c r="AE145" s="2">
        <v>1</v>
      </c>
      <c r="AF145" s="2">
        <v>2</v>
      </c>
      <c r="AG145" s="2">
        <v>1</v>
      </c>
      <c r="AH145" s="23">
        <v>44677</v>
      </c>
      <c r="AI145" s="3" t="str">
        <f t="shared" si="33"/>
        <v>0Y6M5D</v>
      </c>
      <c r="AJ145" s="3" t="str">
        <f t="shared" si="34"/>
        <v>0Y5M30D</v>
      </c>
      <c r="AK145" s="3">
        <f t="shared" si="35"/>
        <v>0.51232876712328768</v>
      </c>
      <c r="AL145" s="2">
        <v>2</v>
      </c>
      <c r="AM145" s="2">
        <v>1</v>
      </c>
      <c r="AN145" s="2">
        <v>2</v>
      </c>
      <c r="AO145" s="2">
        <v>1</v>
      </c>
      <c r="AP145" s="2">
        <v>3</v>
      </c>
      <c r="AQ145" s="2"/>
      <c r="AR145" s="2" t="s">
        <v>1673</v>
      </c>
      <c r="AS145" s="23">
        <v>44674</v>
      </c>
      <c r="AT145" s="3" t="str">
        <f t="shared" si="36"/>
        <v>0Y6M2D</v>
      </c>
      <c r="AU145" s="3" t="str">
        <f t="shared" si="37"/>
        <v>0Y5M27D</v>
      </c>
      <c r="AV145" s="3">
        <f t="shared" si="38"/>
        <v>0.50410958904109593</v>
      </c>
      <c r="AW145" s="2">
        <v>6</v>
      </c>
      <c r="AX145" s="23">
        <v>44674</v>
      </c>
      <c r="AY145" s="3" t="str">
        <f t="shared" si="39"/>
        <v>0Y6M2D</v>
      </c>
      <c r="AZ145" s="3" t="str">
        <f t="shared" si="40"/>
        <v>0Y5M27D</v>
      </c>
      <c r="BA145" s="3">
        <f t="shared" si="41"/>
        <v>0.50410958904109593</v>
      </c>
      <c r="BB145" s="2">
        <v>6</v>
      </c>
      <c r="BC145" s="23">
        <v>44677</v>
      </c>
      <c r="BD145" s="3" t="str">
        <f t="shared" si="42"/>
        <v>0Y6M5D</v>
      </c>
      <c r="BE145" s="3" t="str">
        <f t="shared" si="43"/>
        <v>0Y5M30D</v>
      </c>
      <c r="BF145" s="3">
        <f t="shared" si="44"/>
        <v>0.51232876712328768</v>
      </c>
      <c r="BG145" s="2">
        <v>1</v>
      </c>
      <c r="BH145" s="2">
        <v>0</v>
      </c>
    </row>
    <row r="146" spans="1:60" ht="16">
      <c r="A146" s="2" t="s">
        <v>611</v>
      </c>
      <c r="B146" s="2">
        <v>22109134</v>
      </c>
      <c r="C146" s="2" t="s">
        <v>612</v>
      </c>
      <c r="D146" s="23">
        <v>44484</v>
      </c>
      <c r="E146" s="23">
        <v>44543</v>
      </c>
      <c r="F146" s="23">
        <v>44543</v>
      </c>
      <c r="G146" s="2" t="s">
        <v>105</v>
      </c>
      <c r="H146" s="55">
        <v>44694</v>
      </c>
      <c r="I146" s="55">
        <v>44908</v>
      </c>
      <c r="J146" s="23">
        <v>44740</v>
      </c>
      <c r="K146" s="23">
        <v>44740</v>
      </c>
      <c r="L146" s="3" t="str">
        <f t="shared" si="30"/>
        <v>0Y8M13D</v>
      </c>
      <c r="M146" s="3" t="str">
        <f t="shared" si="31"/>
        <v>0Y6M15D</v>
      </c>
      <c r="N146" s="3">
        <f t="shared" si="32"/>
        <v>0.53972602739726028</v>
      </c>
      <c r="O146" s="2">
        <v>4</v>
      </c>
      <c r="P146" s="2">
        <v>4</v>
      </c>
      <c r="Q146" s="2" t="s">
        <v>1707</v>
      </c>
      <c r="R146" s="2">
        <v>3</v>
      </c>
      <c r="S146" s="2">
        <v>1</v>
      </c>
      <c r="T146" s="2">
        <v>1</v>
      </c>
      <c r="U146" s="2" t="s">
        <v>1663</v>
      </c>
      <c r="V146" s="2" t="s">
        <v>1661</v>
      </c>
      <c r="W146" s="2">
        <v>2</v>
      </c>
      <c r="X146" s="2">
        <v>1</v>
      </c>
      <c r="Y146" s="2">
        <v>2</v>
      </c>
      <c r="Z146" s="2">
        <v>1</v>
      </c>
      <c r="AA146" s="2">
        <v>2</v>
      </c>
      <c r="AB146" s="2">
        <v>1</v>
      </c>
      <c r="AC146" s="2" t="s">
        <v>1678</v>
      </c>
      <c r="AD146" s="2">
        <v>2</v>
      </c>
      <c r="AE146" s="2">
        <v>1</v>
      </c>
      <c r="AF146" s="2">
        <v>2</v>
      </c>
      <c r="AG146" s="2">
        <v>1</v>
      </c>
      <c r="AH146" s="23">
        <v>44740</v>
      </c>
      <c r="AI146" s="3" t="str">
        <f t="shared" si="33"/>
        <v>0Y8M13D</v>
      </c>
      <c r="AJ146" s="3" t="str">
        <f t="shared" si="34"/>
        <v>0Y6M15D</v>
      </c>
      <c r="AK146" s="3">
        <f t="shared" si="35"/>
        <v>0.53972602739726028</v>
      </c>
      <c r="AL146" s="2">
        <v>2</v>
      </c>
      <c r="AM146" s="2">
        <v>1</v>
      </c>
      <c r="AN146" s="2">
        <v>2</v>
      </c>
      <c r="AO146" s="2">
        <v>1</v>
      </c>
      <c r="AP146" s="2">
        <v>3</v>
      </c>
      <c r="AQ146" s="2">
        <v>3</v>
      </c>
      <c r="AR146" s="2"/>
      <c r="AS146" s="23">
        <v>44740</v>
      </c>
      <c r="AT146" s="3" t="str">
        <f t="shared" si="36"/>
        <v>0Y8M13D</v>
      </c>
      <c r="AU146" s="3" t="str">
        <f t="shared" si="37"/>
        <v>0Y6M15D</v>
      </c>
      <c r="AV146" s="3">
        <f t="shared" si="38"/>
        <v>0.53972602739726028</v>
      </c>
      <c r="AW146" s="2">
        <v>6</v>
      </c>
      <c r="AX146" s="23">
        <v>44740</v>
      </c>
      <c r="AY146" s="3" t="str">
        <f t="shared" si="39"/>
        <v>0Y8M13D</v>
      </c>
      <c r="AZ146" s="3" t="str">
        <f t="shared" si="40"/>
        <v>0Y6M15D</v>
      </c>
      <c r="BA146" s="3">
        <f t="shared" si="41"/>
        <v>0.53972602739726028</v>
      </c>
      <c r="BB146" s="2">
        <v>6</v>
      </c>
      <c r="BC146" s="23">
        <v>44740</v>
      </c>
      <c r="BD146" s="3" t="str">
        <f t="shared" si="42"/>
        <v>0Y8M13D</v>
      </c>
      <c r="BE146" s="3" t="str">
        <f t="shared" si="43"/>
        <v>0Y6M15D</v>
      </c>
      <c r="BF146" s="3">
        <f t="shared" si="44"/>
        <v>0.53972602739726028</v>
      </c>
      <c r="BG146" s="2">
        <v>1</v>
      </c>
      <c r="BH146" s="2">
        <v>1</v>
      </c>
    </row>
    <row r="147" spans="1:60" s="114" customFormat="1" ht="16">
      <c r="A147" s="16" t="s">
        <v>615</v>
      </c>
      <c r="B147" s="16">
        <v>22101864</v>
      </c>
      <c r="C147" s="16" t="s">
        <v>616</v>
      </c>
      <c r="D147" s="77">
        <v>43767</v>
      </c>
      <c r="E147" s="77">
        <v>43827</v>
      </c>
      <c r="F147" s="77">
        <v>43827</v>
      </c>
      <c r="G147" s="16" t="s">
        <v>105</v>
      </c>
      <c r="H147" s="78">
        <v>43979</v>
      </c>
      <c r="I147" s="78">
        <v>44193</v>
      </c>
      <c r="J147" s="16"/>
      <c r="K147" s="16"/>
      <c r="L147" s="68" t="e">
        <f t="shared" si="30"/>
        <v>#NUM!</v>
      </c>
      <c r="M147" s="68" t="e">
        <f t="shared" si="31"/>
        <v>#NUM!</v>
      </c>
      <c r="N147" s="68">
        <f t="shared" si="32"/>
        <v>-120.07397260273973</v>
      </c>
      <c r="O147" s="16"/>
      <c r="P147" s="16"/>
      <c r="Q147" s="16"/>
      <c r="R147" s="16"/>
      <c r="S147" s="16"/>
      <c r="T147" s="16"/>
      <c r="U147" s="16"/>
      <c r="V147" s="16"/>
      <c r="W147" s="16"/>
      <c r="X147" s="16"/>
      <c r="Y147" s="16"/>
      <c r="Z147" s="16"/>
      <c r="AA147" s="16"/>
      <c r="AB147" s="16"/>
      <c r="AC147" s="16"/>
      <c r="AD147" s="16"/>
      <c r="AE147" s="16"/>
      <c r="AF147" s="16"/>
      <c r="AG147" s="16"/>
      <c r="AH147" s="16"/>
      <c r="AI147" s="68" t="e">
        <f t="shared" si="33"/>
        <v>#NUM!</v>
      </c>
      <c r="AJ147" s="68" t="e">
        <f t="shared" si="34"/>
        <v>#NUM!</v>
      </c>
      <c r="AK147" s="68">
        <f t="shared" si="35"/>
        <v>-120.07397260273973</v>
      </c>
      <c r="AL147" s="16"/>
      <c r="AM147" s="16"/>
      <c r="AN147" s="16"/>
      <c r="AO147" s="16"/>
      <c r="AP147" s="16"/>
      <c r="AQ147" s="16"/>
      <c r="AR147" s="16"/>
      <c r="AS147" s="16"/>
      <c r="AT147" s="68" t="e">
        <f t="shared" si="36"/>
        <v>#NUM!</v>
      </c>
      <c r="AU147" s="68" t="e">
        <f t="shared" si="37"/>
        <v>#NUM!</v>
      </c>
      <c r="AV147" s="68">
        <f t="shared" si="38"/>
        <v>-120.07397260273973</v>
      </c>
      <c r="AW147" s="16"/>
      <c r="AX147" s="16"/>
      <c r="AY147" s="68" t="e">
        <f t="shared" si="39"/>
        <v>#NUM!</v>
      </c>
      <c r="AZ147" s="68" t="e">
        <f t="shared" si="40"/>
        <v>#NUM!</v>
      </c>
      <c r="BA147" s="68">
        <f t="shared" si="41"/>
        <v>-120.07397260273973</v>
      </c>
      <c r="BB147" s="16"/>
      <c r="BC147" s="16"/>
      <c r="BD147" s="68" t="e">
        <f t="shared" si="42"/>
        <v>#NUM!</v>
      </c>
      <c r="BE147" s="68" t="e">
        <f t="shared" si="43"/>
        <v>#NUM!</v>
      </c>
      <c r="BF147" s="68">
        <f t="shared" si="44"/>
        <v>-120.07397260273973</v>
      </c>
      <c r="BG147" s="16"/>
      <c r="BH147" s="16"/>
    </row>
    <row r="148" spans="1:60" s="114" customFormat="1" ht="16">
      <c r="A148" s="16" t="s">
        <v>619</v>
      </c>
      <c r="B148" s="16">
        <v>22101865</v>
      </c>
      <c r="C148" s="16" t="s">
        <v>620</v>
      </c>
      <c r="D148" s="77">
        <v>43767</v>
      </c>
      <c r="E148" s="77">
        <v>43827</v>
      </c>
      <c r="F148" s="77">
        <v>43827</v>
      </c>
      <c r="G148" s="16" t="s">
        <v>105</v>
      </c>
      <c r="H148" s="78">
        <v>43979</v>
      </c>
      <c r="I148" s="78">
        <v>44193</v>
      </c>
      <c r="J148" s="16"/>
      <c r="K148" s="16"/>
      <c r="L148" s="68" t="e">
        <f t="shared" si="30"/>
        <v>#NUM!</v>
      </c>
      <c r="M148" s="68" t="e">
        <f t="shared" si="31"/>
        <v>#NUM!</v>
      </c>
      <c r="N148" s="68">
        <f t="shared" si="32"/>
        <v>-120.07397260273973</v>
      </c>
      <c r="O148" s="16"/>
      <c r="P148" s="16"/>
      <c r="Q148" s="16"/>
      <c r="R148" s="16"/>
      <c r="S148" s="16"/>
      <c r="T148" s="16"/>
      <c r="U148" s="16"/>
      <c r="V148" s="16"/>
      <c r="W148" s="16"/>
      <c r="X148" s="16"/>
      <c r="Y148" s="16"/>
      <c r="Z148" s="16"/>
      <c r="AA148" s="16"/>
      <c r="AB148" s="16"/>
      <c r="AC148" s="16"/>
      <c r="AD148" s="16"/>
      <c r="AE148" s="16"/>
      <c r="AF148" s="16"/>
      <c r="AG148" s="16"/>
      <c r="AH148" s="16"/>
      <c r="AI148" s="68" t="e">
        <f t="shared" si="33"/>
        <v>#NUM!</v>
      </c>
      <c r="AJ148" s="68" t="e">
        <f t="shared" si="34"/>
        <v>#NUM!</v>
      </c>
      <c r="AK148" s="68">
        <f t="shared" si="35"/>
        <v>-120.07397260273973</v>
      </c>
      <c r="AL148" s="16"/>
      <c r="AM148" s="16"/>
      <c r="AN148" s="16"/>
      <c r="AO148" s="16"/>
      <c r="AP148" s="16"/>
      <c r="AQ148" s="16"/>
      <c r="AR148" s="16"/>
      <c r="AS148" s="16"/>
      <c r="AT148" s="68" t="e">
        <f t="shared" si="36"/>
        <v>#NUM!</v>
      </c>
      <c r="AU148" s="68" t="e">
        <f t="shared" si="37"/>
        <v>#NUM!</v>
      </c>
      <c r="AV148" s="68">
        <f t="shared" si="38"/>
        <v>-120.07397260273973</v>
      </c>
      <c r="AW148" s="16"/>
      <c r="AX148" s="16"/>
      <c r="AY148" s="68" t="e">
        <f t="shared" si="39"/>
        <v>#NUM!</v>
      </c>
      <c r="AZ148" s="68" t="e">
        <f t="shared" si="40"/>
        <v>#NUM!</v>
      </c>
      <c r="BA148" s="68">
        <f t="shared" si="41"/>
        <v>-120.07397260273973</v>
      </c>
      <c r="BB148" s="16"/>
      <c r="BC148" s="16"/>
      <c r="BD148" s="68" t="e">
        <f t="shared" si="42"/>
        <v>#NUM!</v>
      </c>
      <c r="BE148" s="68" t="e">
        <f t="shared" si="43"/>
        <v>#NUM!</v>
      </c>
      <c r="BF148" s="68">
        <f t="shared" si="44"/>
        <v>-120.07397260273973</v>
      </c>
      <c r="BG148" s="16"/>
      <c r="BH148" s="16"/>
    </row>
    <row r="149" spans="1:60" ht="16">
      <c r="A149" s="2" t="s">
        <v>622</v>
      </c>
      <c r="B149" s="2">
        <v>22107821</v>
      </c>
      <c r="C149" s="2" t="s">
        <v>623</v>
      </c>
      <c r="D149" s="23">
        <v>44339</v>
      </c>
      <c r="E149" s="23">
        <v>44349</v>
      </c>
      <c r="F149" s="23">
        <v>44339</v>
      </c>
      <c r="G149" s="2" t="s">
        <v>391</v>
      </c>
      <c r="H149" s="55">
        <v>44502</v>
      </c>
      <c r="I149" s="55">
        <v>44714</v>
      </c>
      <c r="J149" s="23">
        <v>44613</v>
      </c>
      <c r="K149" s="23">
        <v>44613</v>
      </c>
      <c r="L149" s="3" t="str">
        <f t="shared" si="30"/>
        <v>0Y8M29D</v>
      </c>
      <c r="M149" s="3" t="str">
        <f t="shared" si="31"/>
        <v>0Y8M19D</v>
      </c>
      <c r="N149" s="3">
        <f t="shared" si="32"/>
        <v>0.75068493150684934</v>
      </c>
      <c r="O149" s="2">
        <v>4</v>
      </c>
      <c r="P149" s="2">
        <v>2</v>
      </c>
      <c r="Q149" s="2" t="s">
        <v>1684</v>
      </c>
      <c r="R149" s="2">
        <v>3</v>
      </c>
      <c r="S149" s="2">
        <v>1</v>
      </c>
      <c r="T149" s="2"/>
      <c r="U149" s="2" t="s">
        <v>1709</v>
      </c>
      <c r="V149" s="2" t="s">
        <v>1695</v>
      </c>
      <c r="W149" s="2">
        <v>2</v>
      </c>
      <c r="X149" s="2">
        <v>1</v>
      </c>
      <c r="Y149" s="2">
        <v>2</v>
      </c>
      <c r="Z149" s="2">
        <v>1</v>
      </c>
      <c r="AA149" s="2">
        <v>2</v>
      </c>
      <c r="AB149" s="2"/>
      <c r="AC149" s="2" t="s">
        <v>1738</v>
      </c>
      <c r="AD149" s="2">
        <v>2</v>
      </c>
      <c r="AE149" s="2">
        <v>1</v>
      </c>
      <c r="AF149" s="2">
        <v>2</v>
      </c>
      <c r="AG149" s="2">
        <v>1</v>
      </c>
      <c r="AH149" s="23">
        <v>44613</v>
      </c>
      <c r="AI149" s="3" t="str">
        <f t="shared" si="33"/>
        <v>0Y8M29D</v>
      </c>
      <c r="AJ149" s="3" t="str">
        <f t="shared" si="34"/>
        <v>0Y8M19D</v>
      </c>
      <c r="AK149" s="3">
        <f t="shared" si="35"/>
        <v>0.75068493150684934</v>
      </c>
      <c r="AL149" s="2">
        <v>2</v>
      </c>
      <c r="AM149" s="2">
        <v>1</v>
      </c>
      <c r="AN149" s="2">
        <v>2</v>
      </c>
      <c r="AO149" s="2">
        <v>1</v>
      </c>
      <c r="AP149" s="2">
        <v>3</v>
      </c>
      <c r="AQ149" s="2">
        <v>3</v>
      </c>
      <c r="AR149" s="2"/>
      <c r="AS149" s="23">
        <v>44616</v>
      </c>
      <c r="AT149" s="3" t="str">
        <f t="shared" si="36"/>
        <v>0Y9M1D</v>
      </c>
      <c r="AU149" s="3" t="str">
        <f t="shared" si="37"/>
        <v>0Y8M22D</v>
      </c>
      <c r="AV149" s="3">
        <f t="shared" si="38"/>
        <v>0.75890410958904109</v>
      </c>
      <c r="AW149" s="2">
        <v>6</v>
      </c>
      <c r="AX149" s="23">
        <v>44616</v>
      </c>
      <c r="AY149" s="3" t="str">
        <f t="shared" si="39"/>
        <v>0Y9M1D</v>
      </c>
      <c r="AZ149" s="3" t="str">
        <f t="shared" si="40"/>
        <v>0Y8M22D</v>
      </c>
      <c r="BA149" s="3">
        <f t="shared" si="41"/>
        <v>0.75890410958904109</v>
      </c>
      <c r="BB149" s="2">
        <v>6</v>
      </c>
      <c r="BC149" s="23">
        <v>44613</v>
      </c>
      <c r="BD149" s="3" t="str">
        <f t="shared" si="42"/>
        <v>0Y8M29D</v>
      </c>
      <c r="BE149" s="3" t="str">
        <f t="shared" si="43"/>
        <v>0Y8M19D</v>
      </c>
      <c r="BF149" s="3">
        <f t="shared" si="44"/>
        <v>0.75068493150684934</v>
      </c>
      <c r="BG149" s="2">
        <v>1</v>
      </c>
      <c r="BH149" s="2">
        <v>1</v>
      </c>
    </row>
    <row r="150" spans="1:60" ht="16">
      <c r="A150" s="2" t="s">
        <v>626</v>
      </c>
      <c r="B150" s="2">
        <v>22109239</v>
      </c>
      <c r="C150" s="2" t="s">
        <v>627</v>
      </c>
      <c r="D150" s="23">
        <v>44496</v>
      </c>
      <c r="E150" s="23">
        <v>44508</v>
      </c>
      <c r="F150" s="23">
        <v>44496</v>
      </c>
      <c r="G150" s="2" t="s">
        <v>75</v>
      </c>
      <c r="H150" s="55">
        <v>44659</v>
      </c>
      <c r="I150" s="55">
        <v>44873</v>
      </c>
      <c r="J150" s="23">
        <v>44685</v>
      </c>
      <c r="K150" s="23">
        <v>44685</v>
      </c>
      <c r="L150" s="3" t="str">
        <f t="shared" si="30"/>
        <v>0Y6M7D</v>
      </c>
      <c r="M150" s="3" t="str">
        <f t="shared" si="31"/>
        <v>0Y5M26D</v>
      </c>
      <c r="N150" s="3">
        <f t="shared" si="32"/>
        <v>0.51780821917808217</v>
      </c>
      <c r="O150" s="2">
        <v>4</v>
      </c>
      <c r="P150" s="2">
        <v>5</v>
      </c>
      <c r="Q150" s="2"/>
      <c r="R150" s="2">
        <v>3</v>
      </c>
      <c r="S150" s="2">
        <v>1</v>
      </c>
      <c r="T150" s="2">
        <v>2</v>
      </c>
      <c r="U150" s="2"/>
      <c r="V150" s="2" t="s">
        <v>1664</v>
      </c>
      <c r="W150" s="2">
        <v>2</v>
      </c>
      <c r="X150" s="2">
        <v>1</v>
      </c>
      <c r="Y150" s="2">
        <v>2</v>
      </c>
      <c r="Z150" s="2">
        <v>1</v>
      </c>
      <c r="AA150" s="2">
        <v>2</v>
      </c>
      <c r="AB150" s="2">
        <v>1</v>
      </c>
      <c r="AC150" s="2" t="s">
        <v>1663</v>
      </c>
      <c r="AD150" s="2">
        <v>2</v>
      </c>
      <c r="AE150" s="2">
        <v>1</v>
      </c>
      <c r="AF150" s="2">
        <v>2</v>
      </c>
      <c r="AG150" s="2">
        <v>1</v>
      </c>
      <c r="AH150" s="23">
        <v>44685</v>
      </c>
      <c r="AI150" s="3" t="str">
        <f t="shared" si="33"/>
        <v>0Y6M7D</v>
      </c>
      <c r="AJ150" s="3" t="str">
        <f t="shared" si="34"/>
        <v>0Y5M26D</v>
      </c>
      <c r="AK150" s="3">
        <f t="shared" si="35"/>
        <v>0.51780821917808217</v>
      </c>
      <c r="AL150" s="2">
        <v>2</v>
      </c>
      <c r="AM150" s="2">
        <v>1</v>
      </c>
      <c r="AN150" s="2">
        <v>2</v>
      </c>
      <c r="AO150" s="2">
        <v>1</v>
      </c>
      <c r="AP150" s="2">
        <v>3</v>
      </c>
      <c r="AQ150" s="2">
        <v>1</v>
      </c>
      <c r="AR150" s="2" t="s">
        <v>1658</v>
      </c>
      <c r="AS150" s="23">
        <v>44684</v>
      </c>
      <c r="AT150" s="3" t="str">
        <f t="shared" si="36"/>
        <v>0Y6M6D</v>
      </c>
      <c r="AU150" s="3" t="str">
        <f t="shared" si="37"/>
        <v>0Y5M25D</v>
      </c>
      <c r="AV150" s="3">
        <f t="shared" si="38"/>
        <v>0.51506849315068493</v>
      </c>
      <c r="AW150" s="2">
        <v>6</v>
      </c>
      <c r="AX150" s="2"/>
      <c r="AY150" s="3" t="e">
        <f t="shared" si="39"/>
        <v>#NUM!</v>
      </c>
      <c r="AZ150" s="3" t="e">
        <f t="shared" si="40"/>
        <v>#NUM!</v>
      </c>
      <c r="BA150" s="3">
        <f t="shared" si="41"/>
        <v>-121.9068493150685</v>
      </c>
      <c r="BB150" s="2"/>
      <c r="BC150" s="23">
        <v>44685</v>
      </c>
      <c r="BD150" s="3" t="str">
        <f t="shared" si="42"/>
        <v>0Y6M7D</v>
      </c>
      <c r="BE150" s="3" t="str">
        <f t="shared" si="43"/>
        <v>0Y5M26D</v>
      </c>
      <c r="BF150" s="3">
        <f t="shared" si="44"/>
        <v>0.51780821917808217</v>
      </c>
      <c r="BG150" s="2">
        <v>1</v>
      </c>
      <c r="BH150" s="2">
        <v>0</v>
      </c>
    </row>
    <row r="151" spans="1:60" ht="16">
      <c r="A151" s="2" t="s">
        <v>630</v>
      </c>
      <c r="B151" s="2">
        <v>22107774</v>
      </c>
      <c r="C151" s="2" t="s">
        <v>631</v>
      </c>
      <c r="D151" s="23">
        <v>44336</v>
      </c>
      <c r="E151" s="23">
        <v>44332</v>
      </c>
      <c r="F151" s="23">
        <v>44336</v>
      </c>
      <c r="G151" s="2" t="s">
        <v>294</v>
      </c>
      <c r="H151" s="55">
        <v>44485</v>
      </c>
      <c r="I151" s="55">
        <v>44697</v>
      </c>
      <c r="J151" s="23">
        <v>44621</v>
      </c>
      <c r="K151" s="23">
        <v>44565</v>
      </c>
      <c r="L151" s="3" t="str">
        <f t="shared" si="30"/>
        <v>0Y7M15D</v>
      </c>
      <c r="M151" s="3" t="str">
        <f t="shared" si="31"/>
        <v>0Y7M19D</v>
      </c>
      <c r="N151" s="3">
        <f t="shared" si="32"/>
        <v>0.62739726027397258</v>
      </c>
      <c r="O151" s="2">
        <v>4</v>
      </c>
      <c r="P151" s="2">
        <v>3</v>
      </c>
      <c r="Q151" s="2"/>
      <c r="R151" s="2">
        <v>3</v>
      </c>
      <c r="S151" s="2">
        <v>1</v>
      </c>
      <c r="T151" s="2"/>
      <c r="U151" s="2" t="s">
        <v>1709</v>
      </c>
      <c r="V151" s="2" t="s">
        <v>1685</v>
      </c>
      <c r="W151" s="2">
        <v>2</v>
      </c>
      <c r="X151" s="2">
        <v>1</v>
      </c>
      <c r="Y151" s="2">
        <v>1</v>
      </c>
      <c r="Z151" s="2">
        <v>1</v>
      </c>
      <c r="AA151" s="2">
        <v>2</v>
      </c>
      <c r="AB151" s="2"/>
      <c r="AC151" s="2" t="s">
        <v>1679</v>
      </c>
      <c r="AD151" s="2">
        <v>2</v>
      </c>
      <c r="AE151" s="2">
        <v>1</v>
      </c>
      <c r="AF151" s="2">
        <v>2</v>
      </c>
      <c r="AG151" s="2">
        <v>1</v>
      </c>
      <c r="AH151" s="23">
        <v>44565</v>
      </c>
      <c r="AI151" s="3" t="str">
        <f t="shared" si="33"/>
        <v>0Y7M15D</v>
      </c>
      <c r="AJ151" s="3" t="str">
        <f t="shared" si="34"/>
        <v>0Y7M19D</v>
      </c>
      <c r="AK151" s="3">
        <f t="shared" si="35"/>
        <v>0.62739726027397258</v>
      </c>
      <c r="AL151" s="2">
        <v>2</v>
      </c>
      <c r="AM151" s="2">
        <v>1</v>
      </c>
      <c r="AN151" s="2">
        <v>2</v>
      </c>
      <c r="AO151" s="2">
        <v>1</v>
      </c>
      <c r="AP151" s="2">
        <v>3</v>
      </c>
      <c r="AQ151" s="2">
        <v>3</v>
      </c>
      <c r="AR151" s="2"/>
      <c r="AS151" s="23">
        <v>44563</v>
      </c>
      <c r="AT151" s="3" t="str">
        <f t="shared" si="36"/>
        <v>0Y7M13D</v>
      </c>
      <c r="AU151" s="3" t="str">
        <f t="shared" si="37"/>
        <v>0Y7M17D</v>
      </c>
      <c r="AV151" s="3">
        <f t="shared" si="38"/>
        <v>0.62191780821917808</v>
      </c>
      <c r="AW151" s="2">
        <v>6</v>
      </c>
      <c r="AX151" s="23">
        <v>44564</v>
      </c>
      <c r="AY151" s="3" t="str">
        <f t="shared" si="39"/>
        <v>0Y7M14D</v>
      </c>
      <c r="AZ151" s="3" t="str">
        <f t="shared" si="40"/>
        <v>0Y7M18D</v>
      </c>
      <c r="BA151" s="3">
        <f t="shared" si="41"/>
        <v>0.62465753424657533</v>
      </c>
      <c r="BB151" s="2">
        <v>6</v>
      </c>
      <c r="BC151" s="23">
        <v>44565</v>
      </c>
      <c r="BD151" s="3" t="str">
        <f t="shared" si="42"/>
        <v>0Y7M15D</v>
      </c>
      <c r="BE151" s="3" t="str">
        <f t="shared" si="43"/>
        <v>0Y7M19D</v>
      </c>
      <c r="BF151" s="3">
        <f t="shared" si="44"/>
        <v>0.62739726027397258</v>
      </c>
      <c r="BG151" s="2">
        <v>1</v>
      </c>
      <c r="BH151" s="2">
        <v>0</v>
      </c>
    </row>
    <row r="152" spans="1:60" ht="16">
      <c r="A152" s="2" t="s">
        <v>633</v>
      </c>
      <c r="B152" s="2">
        <v>22109051</v>
      </c>
      <c r="C152" s="2" t="s">
        <v>634</v>
      </c>
      <c r="D152" s="23">
        <v>44476</v>
      </c>
      <c r="E152" s="23">
        <v>44532</v>
      </c>
      <c r="F152" s="23">
        <v>44476</v>
      </c>
      <c r="G152" s="2">
        <v>32</v>
      </c>
      <c r="H152" s="55">
        <v>44683</v>
      </c>
      <c r="I152" s="55">
        <v>44897</v>
      </c>
      <c r="J152" s="23">
        <v>44722</v>
      </c>
      <c r="K152" s="23">
        <v>44722</v>
      </c>
      <c r="L152" s="3" t="str">
        <f t="shared" si="30"/>
        <v>0Y8M3D</v>
      </c>
      <c r="M152" s="3" t="str">
        <f t="shared" si="31"/>
        <v>0Y6M8D</v>
      </c>
      <c r="N152" s="3">
        <f t="shared" si="32"/>
        <v>0.67397260273972603</v>
      </c>
      <c r="O152" s="2">
        <v>5</v>
      </c>
      <c r="P152" s="2">
        <v>3</v>
      </c>
      <c r="Q152" s="2"/>
      <c r="R152" s="2">
        <v>3</v>
      </c>
      <c r="S152" s="2">
        <v>1</v>
      </c>
      <c r="T152" s="2">
        <v>1</v>
      </c>
      <c r="U152" s="2" t="s">
        <v>1689</v>
      </c>
      <c r="V152" s="2" t="s">
        <v>1664</v>
      </c>
      <c r="W152" s="2">
        <v>2</v>
      </c>
      <c r="X152" s="2">
        <v>1</v>
      </c>
      <c r="Y152" s="2">
        <v>2</v>
      </c>
      <c r="Z152" s="2">
        <v>1</v>
      </c>
      <c r="AA152" s="2">
        <v>2</v>
      </c>
      <c r="AB152" s="2">
        <v>1</v>
      </c>
      <c r="AC152" s="2" t="s">
        <v>1679</v>
      </c>
      <c r="AD152" s="2">
        <v>2</v>
      </c>
      <c r="AE152" s="2">
        <v>1</v>
      </c>
      <c r="AF152" s="2">
        <v>2</v>
      </c>
      <c r="AG152" s="2">
        <v>1</v>
      </c>
      <c r="AH152" s="23">
        <v>44741</v>
      </c>
      <c r="AI152" s="3" t="str">
        <f t="shared" si="33"/>
        <v>0Y8M22D</v>
      </c>
      <c r="AJ152" s="3" t="str">
        <f t="shared" si="34"/>
        <v>0Y6M27D</v>
      </c>
      <c r="AK152" s="3">
        <f t="shared" si="35"/>
        <v>0.72602739726027399</v>
      </c>
      <c r="AL152" s="2">
        <v>2</v>
      </c>
      <c r="AM152" s="2">
        <v>1</v>
      </c>
      <c r="AN152" s="2">
        <v>2</v>
      </c>
      <c r="AO152" s="2">
        <v>1</v>
      </c>
      <c r="AP152" s="2">
        <v>3</v>
      </c>
      <c r="AQ152" s="2"/>
      <c r="AR152" s="2" t="s">
        <v>1672</v>
      </c>
      <c r="AS152" s="23">
        <v>44719</v>
      </c>
      <c r="AT152" s="3" t="str">
        <f t="shared" si="36"/>
        <v>0Y8M0D</v>
      </c>
      <c r="AU152" s="3" t="str">
        <f t="shared" si="37"/>
        <v>0Y6M5D</v>
      </c>
      <c r="AV152" s="3">
        <f t="shared" si="38"/>
        <v>0.66575342465753429</v>
      </c>
      <c r="AW152" s="2">
        <v>6</v>
      </c>
      <c r="AX152" s="23">
        <v>44720</v>
      </c>
      <c r="AY152" s="3" t="str">
        <f t="shared" si="39"/>
        <v>0Y8M1D</v>
      </c>
      <c r="AZ152" s="3" t="str">
        <f t="shared" si="40"/>
        <v>0Y6M6D</v>
      </c>
      <c r="BA152" s="3">
        <f t="shared" si="41"/>
        <v>0.66849315068493154</v>
      </c>
      <c r="BB152" s="2">
        <v>6</v>
      </c>
      <c r="BC152" s="23">
        <v>44722</v>
      </c>
      <c r="BD152" s="3" t="str">
        <f t="shared" si="42"/>
        <v>0Y8M3D</v>
      </c>
      <c r="BE152" s="3" t="str">
        <f t="shared" si="43"/>
        <v>0Y6M8D</v>
      </c>
      <c r="BF152" s="3">
        <f t="shared" si="44"/>
        <v>0.67397260273972603</v>
      </c>
      <c r="BG152" s="2">
        <v>1</v>
      </c>
      <c r="BH152" s="2">
        <v>1</v>
      </c>
    </row>
    <row r="153" spans="1:60" ht="16">
      <c r="A153" s="2" t="s">
        <v>636</v>
      </c>
      <c r="B153" s="2">
        <v>22109052</v>
      </c>
      <c r="C153" s="2" t="s">
        <v>637</v>
      </c>
      <c r="D153" s="23">
        <v>44476</v>
      </c>
      <c r="E153" s="23">
        <v>44532</v>
      </c>
      <c r="F153" s="23">
        <v>44476</v>
      </c>
      <c r="G153" s="2">
        <v>32</v>
      </c>
      <c r="H153" s="55">
        <v>44683</v>
      </c>
      <c r="I153" s="55">
        <v>44897</v>
      </c>
      <c r="J153" s="23">
        <v>44722</v>
      </c>
      <c r="K153" s="23">
        <v>44722</v>
      </c>
      <c r="L153" s="3" t="str">
        <f t="shared" si="30"/>
        <v>0Y8M3D</v>
      </c>
      <c r="M153" s="3" t="str">
        <f t="shared" si="31"/>
        <v>0Y6M8D</v>
      </c>
      <c r="N153" s="3">
        <f t="shared" si="32"/>
        <v>0.67397260273972603</v>
      </c>
      <c r="O153" s="2">
        <v>5</v>
      </c>
      <c r="P153" s="2">
        <v>3</v>
      </c>
      <c r="Q153" s="2"/>
      <c r="R153" s="2">
        <v>3</v>
      </c>
      <c r="S153" s="2">
        <v>1</v>
      </c>
      <c r="T153" s="2">
        <v>1</v>
      </c>
      <c r="U153" s="2" t="s">
        <v>1674</v>
      </c>
      <c r="V153" s="2" t="s">
        <v>1695</v>
      </c>
      <c r="W153" s="2">
        <v>2</v>
      </c>
      <c r="X153" s="2">
        <v>1</v>
      </c>
      <c r="Y153" s="2">
        <v>2</v>
      </c>
      <c r="Z153" s="2">
        <v>1</v>
      </c>
      <c r="AA153" s="2">
        <v>2</v>
      </c>
      <c r="AB153" s="2">
        <v>1</v>
      </c>
      <c r="AC153" s="2" t="s">
        <v>1711</v>
      </c>
      <c r="AD153" s="2">
        <v>2</v>
      </c>
      <c r="AE153" s="2">
        <v>1</v>
      </c>
      <c r="AF153" s="2">
        <v>2</v>
      </c>
      <c r="AG153" s="2">
        <v>1</v>
      </c>
      <c r="AH153" s="23">
        <v>44722</v>
      </c>
      <c r="AI153" s="3" t="str">
        <f t="shared" si="33"/>
        <v>0Y8M3D</v>
      </c>
      <c r="AJ153" s="3" t="str">
        <f t="shared" si="34"/>
        <v>0Y6M8D</v>
      </c>
      <c r="AK153" s="3">
        <f t="shared" si="35"/>
        <v>0.67397260273972603</v>
      </c>
      <c r="AL153" s="2">
        <v>2</v>
      </c>
      <c r="AM153" s="2">
        <v>1</v>
      </c>
      <c r="AN153" s="2">
        <v>2</v>
      </c>
      <c r="AO153" s="2">
        <v>1</v>
      </c>
      <c r="AP153" s="2">
        <v>3</v>
      </c>
      <c r="AQ153" s="2">
        <v>3</v>
      </c>
      <c r="AR153" s="2"/>
      <c r="AS153" s="23">
        <v>44719</v>
      </c>
      <c r="AT153" s="3" t="str">
        <f t="shared" si="36"/>
        <v>0Y8M0D</v>
      </c>
      <c r="AU153" s="3" t="str">
        <f t="shared" si="37"/>
        <v>0Y6M5D</v>
      </c>
      <c r="AV153" s="3">
        <f t="shared" si="38"/>
        <v>0.66575342465753429</v>
      </c>
      <c r="AW153" s="2">
        <v>7</v>
      </c>
      <c r="AX153" s="23">
        <v>44720</v>
      </c>
      <c r="AY153" s="3" t="str">
        <f t="shared" si="39"/>
        <v>0Y8M1D</v>
      </c>
      <c r="AZ153" s="3" t="str">
        <f t="shared" si="40"/>
        <v>0Y6M6D</v>
      </c>
      <c r="BA153" s="3">
        <f t="shared" si="41"/>
        <v>0.66849315068493154</v>
      </c>
      <c r="BB153" s="2">
        <v>7</v>
      </c>
      <c r="BC153" s="23">
        <v>44722</v>
      </c>
      <c r="BD153" s="3" t="str">
        <f t="shared" si="42"/>
        <v>0Y8M3D</v>
      </c>
      <c r="BE153" s="3" t="str">
        <f t="shared" si="43"/>
        <v>0Y6M8D</v>
      </c>
      <c r="BF153" s="3">
        <f t="shared" si="44"/>
        <v>0.67397260273972603</v>
      </c>
      <c r="BG153" s="2">
        <v>1</v>
      </c>
      <c r="BH153" s="2">
        <v>1</v>
      </c>
    </row>
    <row r="154" spans="1:60" s="114" customFormat="1" ht="16">
      <c r="A154" s="16" t="s">
        <v>638</v>
      </c>
      <c r="B154" s="16">
        <v>22100387</v>
      </c>
      <c r="C154" s="16" t="s">
        <v>639</v>
      </c>
      <c r="D154" s="77">
        <v>43640</v>
      </c>
      <c r="E154" s="77">
        <v>43747</v>
      </c>
      <c r="F154" s="77">
        <v>43747</v>
      </c>
      <c r="G154" s="16" t="s">
        <v>640</v>
      </c>
      <c r="H154" s="78">
        <v>43899</v>
      </c>
      <c r="I154" s="78">
        <v>44113</v>
      </c>
      <c r="J154" s="16"/>
      <c r="K154" s="16"/>
      <c r="L154" s="68" t="e">
        <f t="shared" si="30"/>
        <v>#NUM!</v>
      </c>
      <c r="M154" s="68" t="e">
        <f t="shared" si="31"/>
        <v>#NUM!</v>
      </c>
      <c r="N154" s="68">
        <f t="shared" si="32"/>
        <v>-119.85479452054794</v>
      </c>
      <c r="O154" s="16"/>
      <c r="P154" s="16"/>
      <c r="Q154" s="16"/>
      <c r="R154" s="16"/>
      <c r="S154" s="16"/>
      <c r="T154" s="16"/>
      <c r="U154" s="16"/>
      <c r="V154" s="16"/>
      <c r="W154" s="16"/>
      <c r="X154" s="16"/>
      <c r="Y154" s="16"/>
      <c r="Z154" s="16"/>
      <c r="AA154" s="16"/>
      <c r="AB154" s="16"/>
      <c r="AC154" s="16"/>
      <c r="AD154" s="16"/>
      <c r="AE154" s="16"/>
      <c r="AF154" s="16"/>
      <c r="AG154" s="16"/>
      <c r="AH154" s="16"/>
      <c r="AI154" s="68" t="e">
        <f t="shared" si="33"/>
        <v>#NUM!</v>
      </c>
      <c r="AJ154" s="68" t="e">
        <f t="shared" si="34"/>
        <v>#NUM!</v>
      </c>
      <c r="AK154" s="68">
        <f t="shared" si="35"/>
        <v>-119.85479452054794</v>
      </c>
      <c r="AL154" s="16"/>
      <c r="AM154" s="16"/>
      <c r="AN154" s="16"/>
      <c r="AO154" s="16"/>
      <c r="AP154" s="16"/>
      <c r="AQ154" s="16"/>
      <c r="AR154" s="16"/>
      <c r="AS154" s="16"/>
      <c r="AT154" s="68" t="e">
        <f t="shared" si="36"/>
        <v>#NUM!</v>
      </c>
      <c r="AU154" s="68" t="e">
        <f t="shared" si="37"/>
        <v>#NUM!</v>
      </c>
      <c r="AV154" s="68">
        <f t="shared" si="38"/>
        <v>-119.85479452054794</v>
      </c>
      <c r="AW154" s="16"/>
      <c r="AX154" s="16"/>
      <c r="AY154" s="68" t="e">
        <f t="shared" si="39"/>
        <v>#NUM!</v>
      </c>
      <c r="AZ154" s="68" t="e">
        <f t="shared" si="40"/>
        <v>#NUM!</v>
      </c>
      <c r="BA154" s="68">
        <f t="shared" si="41"/>
        <v>-119.85479452054794</v>
      </c>
      <c r="BB154" s="16"/>
      <c r="BC154" s="16"/>
      <c r="BD154" s="68" t="e">
        <f t="shared" si="42"/>
        <v>#NUM!</v>
      </c>
      <c r="BE154" s="68" t="e">
        <f t="shared" si="43"/>
        <v>#NUM!</v>
      </c>
      <c r="BF154" s="68">
        <f t="shared" si="44"/>
        <v>-119.85479452054794</v>
      </c>
      <c r="BG154" s="16"/>
      <c r="BH154" s="16"/>
    </row>
    <row r="155" spans="1:60" ht="16">
      <c r="A155" s="2" t="s">
        <v>642</v>
      </c>
      <c r="B155" s="2">
        <v>22108829</v>
      </c>
      <c r="C155" s="2" t="s">
        <v>643</v>
      </c>
      <c r="D155" s="23">
        <v>44449</v>
      </c>
      <c r="E155" s="23">
        <v>44523</v>
      </c>
      <c r="F155" s="23">
        <v>44523</v>
      </c>
      <c r="G155" s="2" t="s">
        <v>180</v>
      </c>
      <c r="H155" s="55">
        <v>44674</v>
      </c>
      <c r="I155" s="55">
        <v>44888</v>
      </c>
      <c r="J155" s="23">
        <v>44693</v>
      </c>
      <c r="K155" s="23">
        <v>44693</v>
      </c>
      <c r="L155" s="3" t="str">
        <f t="shared" si="30"/>
        <v>0Y8M2D</v>
      </c>
      <c r="M155" s="3" t="str">
        <f t="shared" si="31"/>
        <v>0Y5M19D</v>
      </c>
      <c r="N155" s="3">
        <f t="shared" si="32"/>
        <v>0.46575342465753422</v>
      </c>
      <c r="O155" s="2">
        <v>5</v>
      </c>
      <c r="P155" s="2">
        <v>2</v>
      </c>
      <c r="Q155" s="2" t="s">
        <v>1684</v>
      </c>
      <c r="R155" s="2">
        <v>3</v>
      </c>
      <c r="S155" s="2">
        <v>1</v>
      </c>
      <c r="T155" s="2">
        <v>1</v>
      </c>
      <c r="U155" s="2" t="s">
        <v>1660</v>
      </c>
      <c r="V155" s="2" t="s">
        <v>1661</v>
      </c>
      <c r="W155" s="2">
        <v>2</v>
      </c>
      <c r="X155" s="2">
        <v>1</v>
      </c>
      <c r="Y155" s="2">
        <v>2</v>
      </c>
      <c r="Z155" s="2">
        <v>1</v>
      </c>
      <c r="AA155" s="2">
        <v>2</v>
      </c>
      <c r="AB155" s="2"/>
      <c r="AC155" s="2" t="s">
        <v>1670</v>
      </c>
      <c r="AD155" s="2">
        <v>2</v>
      </c>
      <c r="AE155" s="2">
        <v>1</v>
      </c>
      <c r="AF155" s="2">
        <v>2</v>
      </c>
      <c r="AG155" s="2">
        <v>1</v>
      </c>
      <c r="AH155" s="23">
        <v>44693</v>
      </c>
      <c r="AI155" s="3" t="str">
        <f t="shared" si="33"/>
        <v>0Y8M2D</v>
      </c>
      <c r="AJ155" s="3" t="str">
        <f t="shared" si="34"/>
        <v>0Y5M19D</v>
      </c>
      <c r="AK155" s="3">
        <f t="shared" si="35"/>
        <v>0.46575342465753422</v>
      </c>
      <c r="AL155" s="2">
        <v>2</v>
      </c>
      <c r="AM155" s="2">
        <v>1</v>
      </c>
      <c r="AN155" s="2">
        <v>2</v>
      </c>
      <c r="AO155" s="2">
        <v>1</v>
      </c>
      <c r="AP155" s="2">
        <v>3</v>
      </c>
      <c r="AQ155" s="2">
        <v>3</v>
      </c>
      <c r="AR155" s="2"/>
      <c r="AS155" s="23">
        <v>44690</v>
      </c>
      <c r="AT155" s="3" t="str">
        <f t="shared" si="36"/>
        <v>0Y7M29D</v>
      </c>
      <c r="AU155" s="3" t="str">
        <f t="shared" si="37"/>
        <v>0Y5M16D</v>
      </c>
      <c r="AV155" s="3">
        <f t="shared" si="38"/>
        <v>0.45753424657534247</v>
      </c>
      <c r="AW155" s="2">
        <v>7</v>
      </c>
      <c r="AX155" s="23">
        <v>44691</v>
      </c>
      <c r="AY155" s="3" t="str">
        <f t="shared" si="39"/>
        <v>0Y8M0D</v>
      </c>
      <c r="AZ155" s="3" t="str">
        <f t="shared" si="40"/>
        <v>0Y5M17D</v>
      </c>
      <c r="BA155" s="3">
        <f t="shared" si="41"/>
        <v>0.46027397260273972</v>
      </c>
      <c r="BB155" s="2">
        <v>7</v>
      </c>
      <c r="BC155" s="23">
        <v>44693</v>
      </c>
      <c r="BD155" s="3" t="str">
        <f t="shared" si="42"/>
        <v>0Y8M2D</v>
      </c>
      <c r="BE155" s="3" t="str">
        <f t="shared" si="43"/>
        <v>0Y5M19D</v>
      </c>
      <c r="BF155" s="3">
        <f t="shared" si="44"/>
        <v>0.46575342465753422</v>
      </c>
      <c r="BG155" s="2">
        <v>1</v>
      </c>
      <c r="BH155" s="2">
        <v>1</v>
      </c>
    </row>
    <row r="156" spans="1:60" s="127" customFormat="1" ht="16">
      <c r="A156" s="131" t="s">
        <v>645</v>
      </c>
      <c r="B156" s="131">
        <v>4998631</v>
      </c>
      <c r="C156" s="131" t="s">
        <v>646</v>
      </c>
      <c r="D156" s="132">
        <v>44421</v>
      </c>
      <c r="E156" s="132">
        <v>44490</v>
      </c>
      <c r="F156" s="132">
        <v>44490</v>
      </c>
      <c r="G156" s="131" t="s">
        <v>100</v>
      </c>
      <c r="H156" s="85">
        <v>44641</v>
      </c>
      <c r="I156" s="85">
        <v>44855</v>
      </c>
      <c r="J156" s="131"/>
      <c r="K156" s="131" t="s">
        <v>18</v>
      </c>
      <c r="L156" s="133" t="e">
        <f t="shared" si="30"/>
        <v>#VALUE!</v>
      </c>
      <c r="M156" s="133" t="e">
        <f t="shared" si="31"/>
        <v>#VALUE!</v>
      </c>
      <c r="N156" s="133" t="e">
        <f t="shared" si="32"/>
        <v>#VALUE!</v>
      </c>
      <c r="O156" s="20"/>
      <c r="P156" s="20"/>
      <c r="Q156" s="20"/>
      <c r="R156" s="20"/>
      <c r="S156" s="20"/>
      <c r="T156" s="20"/>
      <c r="U156" s="20"/>
      <c r="V156" s="20"/>
      <c r="W156" s="20"/>
      <c r="X156" s="20"/>
      <c r="Y156" s="20"/>
      <c r="Z156" s="20"/>
      <c r="AA156" s="20"/>
      <c r="AB156" s="20"/>
      <c r="AC156" s="20"/>
      <c r="AD156" s="20"/>
      <c r="AE156" s="20"/>
      <c r="AF156" s="20"/>
      <c r="AG156" s="20"/>
      <c r="AH156" s="131"/>
      <c r="AI156" s="133" t="e">
        <f t="shared" si="33"/>
        <v>#NUM!</v>
      </c>
      <c r="AJ156" s="133" t="e">
        <f t="shared" si="34"/>
        <v>#NUM!</v>
      </c>
      <c r="AK156" s="133">
        <f t="shared" si="35"/>
        <v>-121.89041095890411</v>
      </c>
      <c r="AL156" s="20"/>
      <c r="AM156" s="20"/>
      <c r="AN156" s="20"/>
      <c r="AO156" s="20"/>
      <c r="AP156" s="20"/>
      <c r="AQ156" s="20"/>
      <c r="AR156" s="20"/>
      <c r="AS156" s="131"/>
      <c r="AT156" s="133" t="e">
        <f t="shared" si="36"/>
        <v>#NUM!</v>
      </c>
      <c r="AU156" s="133" t="e">
        <f t="shared" si="37"/>
        <v>#NUM!</v>
      </c>
      <c r="AV156" s="133">
        <f t="shared" si="38"/>
        <v>-121.89041095890411</v>
      </c>
      <c r="AW156" s="20"/>
      <c r="AX156" s="131"/>
      <c r="AY156" s="133" t="e">
        <f t="shared" si="39"/>
        <v>#NUM!</v>
      </c>
      <c r="AZ156" s="133" t="e">
        <f t="shared" si="40"/>
        <v>#NUM!</v>
      </c>
      <c r="BA156" s="133">
        <f t="shared" si="41"/>
        <v>-121.89041095890411</v>
      </c>
      <c r="BB156" s="20"/>
      <c r="BC156" s="131"/>
      <c r="BD156" s="133" t="e">
        <f t="shared" si="42"/>
        <v>#NUM!</v>
      </c>
      <c r="BE156" s="133" t="e">
        <f t="shared" si="43"/>
        <v>#NUM!</v>
      </c>
      <c r="BF156" s="133">
        <f t="shared" si="44"/>
        <v>-121.89041095890411</v>
      </c>
      <c r="BG156" s="131"/>
      <c r="BH156" s="131">
        <v>1</v>
      </c>
    </row>
    <row r="157" spans="1:60" ht="16">
      <c r="A157" s="2" t="s">
        <v>649</v>
      </c>
      <c r="B157" s="2">
        <v>22106106</v>
      </c>
      <c r="C157" s="2" t="s">
        <v>650</v>
      </c>
      <c r="D157" s="23">
        <v>44174</v>
      </c>
      <c r="E157" s="23">
        <v>44245</v>
      </c>
      <c r="F157" s="23">
        <v>44245</v>
      </c>
      <c r="G157" s="2" t="s">
        <v>289</v>
      </c>
      <c r="H157" s="55">
        <v>44395</v>
      </c>
      <c r="I157" s="55">
        <v>44610</v>
      </c>
      <c r="J157" s="23">
        <v>44579</v>
      </c>
      <c r="K157" s="23">
        <v>44579</v>
      </c>
      <c r="L157" s="3" t="str">
        <f t="shared" si="30"/>
        <v>1Y1M9D</v>
      </c>
      <c r="M157" s="3" t="str">
        <f t="shared" si="31"/>
        <v>0Y11M0D</v>
      </c>
      <c r="N157" s="3">
        <f t="shared" si="32"/>
        <v>0.91506849315068495</v>
      </c>
      <c r="O157" s="2">
        <v>5</v>
      </c>
      <c r="P157" s="2">
        <v>5</v>
      </c>
      <c r="Q157" s="2"/>
      <c r="R157" s="2">
        <v>3.4</v>
      </c>
      <c r="S157" s="2">
        <v>1</v>
      </c>
      <c r="T157" s="2">
        <v>1</v>
      </c>
      <c r="U157" s="2" t="s">
        <v>1704</v>
      </c>
      <c r="V157" s="2" t="s">
        <v>1664</v>
      </c>
      <c r="W157" s="2">
        <v>2</v>
      </c>
      <c r="X157" s="2">
        <v>1</v>
      </c>
      <c r="Y157" s="2">
        <v>2</v>
      </c>
      <c r="Z157" s="2">
        <v>1</v>
      </c>
      <c r="AA157" s="2">
        <v>2</v>
      </c>
      <c r="AB157" s="2">
        <v>1</v>
      </c>
      <c r="AC157" s="2"/>
      <c r="AD157" s="2">
        <v>2</v>
      </c>
      <c r="AE157" s="2">
        <v>1</v>
      </c>
      <c r="AF157" s="2">
        <v>2</v>
      </c>
      <c r="AG157" s="2">
        <v>1</v>
      </c>
      <c r="AH157" s="23">
        <v>44630</v>
      </c>
      <c r="AI157" s="3" t="str">
        <f t="shared" si="33"/>
        <v>1Y3M1D</v>
      </c>
      <c r="AJ157" s="3" t="str">
        <f t="shared" si="34"/>
        <v>1Y0M20D</v>
      </c>
      <c r="AK157" s="3">
        <f t="shared" si="35"/>
        <v>1.0547945205479452</v>
      </c>
      <c r="AL157" s="2">
        <v>2</v>
      </c>
      <c r="AM157" s="2" t="s">
        <v>1758</v>
      </c>
      <c r="AN157" s="13">
        <v>2</v>
      </c>
      <c r="AO157" s="13" t="s">
        <v>1759</v>
      </c>
      <c r="AP157" s="2">
        <v>3</v>
      </c>
      <c r="AQ157" s="2"/>
      <c r="AR157" s="2"/>
      <c r="AS157" s="23">
        <v>44578</v>
      </c>
      <c r="AT157" s="3" t="str">
        <f t="shared" si="36"/>
        <v>1Y1M8D</v>
      </c>
      <c r="AU157" s="3" t="str">
        <f t="shared" si="37"/>
        <v>0Y10M30D</v>
      </c>
      <c r="AV157" s="3">
        <f t="shared" si="38"/>
        <v>0.9123287671232877</v>
      </c>
      <c r="AW157" s="2">
        <v>7</v>
      </c>
      <c r="AX157" s="23">
        <v>44578</v>
      </c>
      <c r="AY157" s="3" t="str">
        <f t="shared" si="39"/>
        <v>1Y1M8D</v>
      </c>
      <c r="AZ157" s="3" t="str">
        <f t="shared" si="40"/>
        <v>0Y10M30D</v>
      </c>
      <c r="BA157" s="3">
        <f t="shared" si="41"/>
        <v>0.9123287671232877</v>
      </c>
      <c r="BB157" s="2">
        <v>7</v>
      </c>
      <c r="BC157" s="23">
        <v>44579</v>
      </c>
      <c r="BD157" s="3" t="str">
        <f t="shared" si="42"/>
        <v>1Y1M9D</v>
      </c>
      <c r="BE157" s="3" t="str">
        <f t="shared" si="43"/>
        <v>0Y11M0D</v>
      </c>
      <c r="BF157" s="3">
        <f t="shared" si="44"/>
        <v>0.91506849315068495</v>
      </c>
      <c r="BG157" s="2">
        <v>1</v>
      </c>
      <c r="BH157" s="2">
        <v>1</v>
      </c>
    </row>
    <row r="158" spans="1:60" ht="16">
      <c r="A158" s="2" t="s">
        <v>652</v>
      </c>
      <c r="B158" s="2">
        <v>22106107</v>
      </c>
      <c r="C158" s="2" t="s">
        <v>653</v>
      </c>
      <c r="D158" s="23">
        <v>44174</v>
      </c>
      <c r="E158" s="23">
        <v>44245</v>
      </c>
      <c r="F158" s="23">
        <v>44245</v>
      </c>
      <c r="G158" s="2" t="s">
        <v>289</v>
      </c>
      <c r="H158" s="55">
        <v>44395</v>
      </c>
      <c r="I158" s="55">
        <v>44610</v>
      </c>
      <c r="J158" s="23">
        <v>44579</v>
      </c>
      <c r="K158" s="23">
        <v>44579</v>
      </c>
      <c r="L158" s="3" t="str">
        <f t="shared" si="30"/>
        <v>1Y1M9D</v>
      </c>
      <c r="M158" s="3" t="str">
        <f t="shared" si="31"/>
        <v>0Y11M0D</v>
      </c>
      <c r="N158" s="3">
        <f t="shared" si="32"/>
        <v>0.91506849315068495</v>
      </c>
      <c r="O158" s="2">
        <v>5</v>
      </c>
      <c r="P158" s="2">
        <v>2</v>
      </c>
      <c r="Q158" s="2" t="s">
        <v>1697</v>
      </c>
      <c r="R158" s="2">
        <v>4</v>
      </c>
      <c r="S158" s="2">
        <v>1</v>
      </c>
      <c r="T158" s="2"/>
      <c r="U158" s="2" t="s">
        <v>1760</v>
      </c>
      <c r="V158" s="2" t="s">
        <v>1695</v>
      </c>
      <c r="W158" s="2">
        <v>2</v>
      </c>
      <c r="X158" s="2">
        <v>1</v>
      </c>
      <c r="Y158" s="2">
        <v>2</v>
      </c>
      <c r="Z158" s="2">
        <v>1</v>
      </c>
      <c r="AA158" s="2">
        <v>2</v>
      </c>
      <c r="AB158" s="2"/>
      <c r="AC158" s="2" t="s">
        <v>1707</v>
      </c>
      <c r="AD158" s="2">
        <v>2</v>
      </c>
      <c r="AE158" s="2">
        <v>1</v>
      </c>
      <c r="AF158" s="2">
        <v>2</v>
      </c>
      <c r="AG158" s="2">
        <v>1</v>
      </c>
      <c r="AH158" s="23">
        <v>44579</v>
      </c>
      <c r="AI158" s="3" t="str">
        <f t="shared" si="33"/>
        <v>1Y1M9D</v>
      </c>
      <c r="AJ158" s="3" t="str">
        <f t="shared" si="34"/>
        <v>0Y11M0D</v>
      </c>
      <c r="AK158" s="3">
        <f t="shared" si="35"/>
        <v>0.91506849315068495</v>
      </c>
      <c r="AL158" s="2">
        <v>2</v>
      </c>
      <c r="AM158" s="2">
        <v>1</v>
      </c>
      <c r="AN158" s="2">
        <v>2</v>
      </c>
      <c r="AO158" s="2">
        <v>1</v>
      </c>
      <c r="AP158" s="2">
        <v>3</v>
      </c>
      <c r="AQ158" s="2"/>
      <c r="AR158" s="2" t="s">
        <v>1696</v>
      </c>
      <c r="AS158" s="23">
        <v>44579</v>
      </c>
      <c r="AT158" s="3" t="str">
        <f t="shared" si="36"/>
        <v>1Y1M9D</v>
      </c>
      <c r="AU158" s="3" t="str">
        <f t="shared" si="37"/>
        <v>0Y11M0D</v>
      </c>
      <c r="AV158" s="3">
        <f t="shared" si="38"/>
        <v>0.91506849315068495</v>
      </c>
      <c r="AW158" s="2" t="s">
        <v>2209</v>
      </c>
      <c r="AX158" s="23">
        <v>44628</v>
      </c>
      <c r="AY158" s="3" t="str">
        <f t="shared" si="39"/>
        <v>1Y2M27D</v>
      </c>
      <c r="AZ158" s="3" t="str">
        <f t="shared" si="40"/>
        <v>1Y0M18D</v>
      </c>
      <c r="BA158" s="3">
        <f t="shared" si="41"/>
        <v>1.0493150684931507</v>
      </c>
      <c r="BB158" s="2">
        <v>7</v>
      </c>
      <c r="BC158" s="23">
        <v>44579</v>
      </c>
      <c r="BD158" s="3" t="str">
        <f t="shared" si="42"/>
        <v>1Y1M9D</v>
      </c>
      <c r="BE158" s="3" t="str">
        <f t="shared" si="43"/>
        <v>0Y11M0D</v>
      </c>
      <c r="BF158" s="3">
        <f t="shared" si="44"/>
        <v>0.91506849315068495</v>
      </c>
      <c r="BG158" s="2">
        <v>1</v>
      </c>
      <c r="BH158" s="2">
        <v>1</v>
      </c>
    </row>
    <row r="159" spans="1:60" ht="16">
      <c r="A159" s="2" t="s">
        <v>655</v>
      </c>
      <c r="B159" s="2">
        <v>22107905</v>
      </c>
      <c r="C159" s="2" t="s">
        <v>656</v>
      </c>
      <c r="D159" s="23">
        <v>44349</v>
      </c>
      <c r="E159" s="23">
        <v>44360</v>
      </c>
      <c r="F159" s="23">
        <v>44349</v>
      </c>
      <c r="G159" s="2" t="s">
        <v>658</v>
      </c>
      <c r="H159" s="55">
        <v>44513</v>
      </c>
      <c r="I159" s="55">
        <v>44725</v>
      </c>
      <c r="J159" s="23">
        <v>44579</v>
      </c>
      <c r="K159" s="23">
        <v>44579</v>
      </c>
      <c r="L159" s="3" t="str">
        <f t="shared" si="30"/>
        <v>0Y7M16D</v>
      </c>
      <c r="M159" s="3" t="str">
        <f t="shared" si="31"/>
        <v>0Y7M5D</v>
      </c>
      <c r="N159" s="3">
        <f t="shared" si="32"/>
        <v>0.63013698630136983</v>
      </c>
      <c r="O159" s="2">
        <v>5</v>
      </c>
      <c r="P159" s="2">
        <v>2</v>
      </c>
      <c r="Q159" s="2"/>
      <c r="R159" s="2">
        <v>4</v>
      </c>
      <c r="S159" s="2">
        <v>1</v>
      </c>
      <c r="T159" s="2"/>
      <c r="U159" s="2" t="s">
        <v>1671</v>
      </c>
      <c r="V159" s="2" t="s">
        <v>1661</v>
      </c>
      <c r="W159" s="2">
        <v>2</v>
      </c>
      <c r="X159" s="2">
        <v>1</v>
      </c>
      <c r="Y159" s="2">
        <v>2</v>
      </c>
      <c r="Z159" s="2">
        <v>1</v>
      </c>
      <c r="AA159" s="2">
        <v>2</v>
      </c>
      <c r="AB159" s="2"/>
      <c r="AC159" s="2" t="s">
        <v>1669</v>
      </c>
      <c r="AD159" s="2">
        <v>2</v>
      </c>
      <c r="AE159" s="2">
        <v>1</v>
      </c>
      <c r="AF159" s="2">
        <v>2</v>
      </c>
      <c r="AG159" s="2">
        <v>1</v>
      </c>
      <c r="AH159" s="23">
        <v>44579</v>
      </c>
      <c r="AI159" s="3" t="str">
        <f t="shared" si="33"/>
        <v>0Y7M16D</v>
      </c>
      <c r="AJ159" s="3" t="str">
        <f t="shared" si="34"/>
        <v>0Y7M5D</v>
      </c>
      <c r="AK159" s="3">
        <f t="shared" si="35"/>
        <v>0.63013698630136983</v>
      </c>
      <c r="AL159" s="2">
        <v>2</v>
      </c>
      <c r="AM159" s="2">
        <v>1</v>
      </c>
      <c r="AN159" s="2">
        <v>2</v>
      </c>
      <c r="AO159" s="2">
        <v>1</v>
      </c>
      <c r="AP159" s="2">
        <v>3</v>
      </c>
      <c r="AQ159" s="2">
        <v>3</v>
      </c>
      <c r="AR159" s="2"/>
      <c r="AS159" s="23">
        <v>44577</v>
      </c>
      <c r="AT159" s="3" t="str">
        <f t="shared" si="36"/>
        <v>0Y7M14D</v>
      </c>
      <c r="AU159" s="3" t="str">
        <f t="shared" si="37"/>
        <v>0Y7M3D</v>
      </c>
      <c r="AV159" s="3">
        <f t="shared" si="38"/>
        <v>0.62465753424657533</v>
      </c>
      <c r="AW159" s="2">
        <v>7</v>
      </c>
      <c r="AX159" s="23">
        <v>44714</v>
      </c>
      <c r="AY159" s="3" t="str">
        <f t="shared" si="39"/>
        <v>1Y0M0D</v>
      </c>
      <c r="AZ159" s="3" t="str">
        <f t="shared" si="40"/>
        <v>0Y11M20D</v>
      </c>
      <c r="BA159" s="3">
        <f t="shared" si="41"/>
        <v>1</v>
      </c>
      <c r="BB159" s="2">
        <v>7</v>
      </c>
      <c r="BC159" s="23">
        <v>44579</v>
      </c>
      <c r="BD159" s="3" t="str">
        <f t="shared" si="42"/>
        <v>0Y7M16D</v>
      </c>
      <c r="BE159" s="3" t="str">
        <f t="shared" si="43"/>
        <v>0Y7M5D</v>
      </c>
      <c r="BF159" s="3">
        <f t="shared" si="44"/>
        <v>0.63013698630136983</v>
      </c>
      <c r="BG159" s="2">
        <v>1</v>
      </c>
      <c r="BH159" s="2">
        <v>0</v>
      </c>
    </row>
    <row r="160" spans="1:60" ht="16">
      <c r="A160" s="2" t="s">
        <v>660</v>
      </c>
      <c r="B160" s="2">
        <v>22105736</v>
      </c>
      <c r="C160" s="2" t="s">
        <v>846</v>
      </c>
      <c r="D160" s="23">
        <v>44138</v>
      </c>
      <c r="E160" s="23">
        <v>44229</v>
      </c>
      <c r="F160" s="23">
        <v>44229</v>
      </c>
      <c r="G160" s="2">
        <v>27</v>
      </c>
      <c r="H160" s="55">
        <v>44379</v>
      </c>
      <c r="I160" s="55">
        <v>44594</v>
      </c>
      <c r="J160" s="23">
        <v>44586</v>
      </c>
      <c r="K160" s="23">
        <v>44586</v>
      </c>
      <c r="L160" s="3" t="str">
        <f t="shared" si="30"/>
        <v>1Y2M22D</v>
      </c>
      <c r="M160" s="3" t="str">
        <f t="shared" si="31"/>
        <v>0Y11M23D</v>
      </c>
      <c r="N160" s="3">
        <f t="shared" si="32"/>
        <v>0.9780821917808219</v>
      </c>
      <c r="O160" s="2">
        <v>5</v>
      </c>
      <c r="P160" s="2">
        <v>3</v>
      </c>
      <c r="Q160" s="2" t="s">
        <v>1761</v>
      </c>
      <c r="R160" s="2">
        <v>4</v>
      </c>
      <c r="S160" s="2">
        <v>1</v>
      </c>
      <c r="T160" s="2">
        <v>1</v>
      </c>
      <c r="U160" s="2" t="s">
        <v>1699</v>
      </c>
      <c r="V160" s="2" t="s">
        <v>1664</v>
      </c>
      <c r="W160" s="2">
        <v>2</v>
      </c>
      <c r="X160" s="2">
        <v>1</v>
      </c>
      <c r="Y160" s="2">
        <v>2</v>
      </c>
      <c r="Z160" s="2">
        <v>1</v>
      </c>
      <c r="AA160" s="2">
        <v>2</v>
      </c>
      <c r="AB160" s="2">
        <v>1</v>
      </c>
      <c r="AC160" s="2" t="s">
        <v>1689</v>
      </c>
      <c r="AD160" s="2">
        <v>2</v>
      </c>
      <c r="AE160" s="2">
        <v>1</v>
      </c>
      <c r="AF160" s="2">
        <v>2</v>
      </c>
      <c r="AG160" s="2">
        <v>1</v>
      </c>
      <c r="AH160" s="23">
        <v>44586</v>
      </c>
      <c r="AI160" s="3" t="str">
        <f t="shared" si="33"/>
        <v>1Y2M22D</v>
      </c>
      <c r="AJ160" s="3" t="str">
        <f t="shared" si="34"/>
        <v>0Y11M23D</v>
      </c>
      <c r="AK160" s="3">
        <f t="shared" si="35"/>
        <v>0.9780821917808219</v>
      </c>
      <c r="AL160" s="2">
        <v>2</v>
      </c>
      <c r="AM160" s="2">
        <v>1</v>
      </c>
      <c r="AN160" s="2">
        <v>2</v>
      </c>
      <c r="AO160" s="2">
        <v>1</v>
      </c>
      <c r="AP160" s="2">
        <v>3</v>
      </c>
      <c r="AQ160" s="2"/>
      <c r="AR160" s="2" t="s">
        <v>1691</v>
      </c>
      <c r="AS160" s="23">
        <v>44582</v>
      </c>
      <c r="AT160" s="3" t="str">
        <f t="shared" si="36"/>
        <v>1Y2M18D</v>
      </c>
      <c r="AU160" s="3" t="str">
        <f t="shared" si="37"/>
        <v>0Y11M19D</v>
      </c>
      <c r="AV160" s="3">
        <f t="shared" si="38"/>
        <v>0.9671232876712329</v>
      </c>
      <c r="AW160" s="2">
        <v>7</v>
      </c>
      <c r="AX160" s="23">
        <v>44583</v>
      </c>
      <c r="AY160" s="3" t="str">
        <f t="shared" si="39"/>
        <v>1Y2M19D</v>
      </c>
      <c r="AZ160" s="3" t="str">
        <f t="shared" si="40"/>
        <v>0Y11M20D</v>
      </c>
      <c r="BA160" s="3">
        <f t="shared" si="41"/>
        <v>0.96986301369863015</v>
      </c>
      <c r="BB160" s="2">
        <v>7</v>
      </c>
      <c r="BC160" s="23">
        <v>44586</v>
      </c>
      <c r="BD160" s="3" t="str">
        <f t="shared" si="42"/>
        <v>1Y2M22D</v>
      </c>
      <c r="BE160" s="3" t="str">
        <f t="shared" si="43"/>
        <v>0Y11M23D</v>
      </c>
      <c r="BF160" s="3">
        <f t="shared" si="44"/>
        <v>0.9780821917808219</v>
      </c>
      <c r="BG160" s="2">
        <v>1</v>
      </c>
      <c r="BH160" s="2">
        <v>1</v>
      </c>
    </row>
    <row r="161" spans="1:60" ht="16">
      <c r="A161" s="2" t="s">
        <v>664</v>
      </c>
      <c r="B161" s="2">
        <v>22105737</v>
      </c>
      <c r="C161" s="2" t="s">
        <v>665</v>
      </c>
      <c r="D161" s="23">
        <v>44138</v>
      </c>
      <c r="E161" s="23">
        <v>44229</v>
      </c>
      <c r="F161" s="23">
        <v>44229</v>
      </c>
      <c r="G161" s="2">
        <v>27</v>
      </c>
      <c r="H161" s="55">
        <v>44379</v>
      </c>
      <c r="I161" s="55">
        <v>44594</v>
      </c>
      <c r="J161" s="23">
        <v>44586</v>
      </c>
      <c r="K161" s="23">
        <v>44586</v>
      </c>
      <c r="L161" s="3" t="str">
        <f t="shared" si="30"/>
        <v>1Y2M22D</v>
      </c>
      <c r="M161" s="3" t="str">
        <f t="shared" si="31"/>
        <v>0Y11M23D</v>
      </c>
      <c r="N161" s="3">
        <f t="shared" si="32"/>
        <v>0.9780821917808219</v>
      </c>
      <c r="O161" s="2">
        <v>5</v>
      </c>
      <c r="P161" s="2">
        <v>2</v>
      </c>
      <c r="Q161" s="2" t="s">
        <v>1736</v>
      </c>
      <c r="R161" s="2">
        <v>4</v>
      </c>
      <c r="S161" s="2">
        <v>1</v>
      </c>
      <c r="T161" s="2">
        <v>1</v>
      </c>
      <c r="U161" s="2" t="s">
        <v>1762</v>
      </c>
      <c r="V161" s="2" t="s">
        <v>1661</v>
      </c>
      <c r="W161" s="2">
        <v>2</v>
      </c>
      <c r="X161" s="2">
        <v>1</v>
      </c>
      <c r="Y161" s="2">
        <v>2</v>
      </c>
      <c r="Z161" s="2">
        <v>1</v>
      </c>
      <c r="AA161" s="2">
        <v>2</v>
      </c>
      <c r="AB161" s="2"/>
      <c r="AC161" s="2" t="s">
        <v>1723</v>
      </c>
      <c r="AD161" s="2">
        <v>2</v>
      </c>
      <c r="AE161" s="2">
        <v>1</v>
      </c>
      <c r="AF161" s="2">
        <v>2</v>
      </c>
      <c r="AG161" s="2">
        <v>1</v>
      </c>
      <c r="AH161" s="23">
        <v>44586</v>
      </c>
      <c r="AI161" s="3" t="str">
        <f t="shared" si="33"/>
        <v>1Y2M22D</v>
      </c>
      <c r="AJ161" s="3" t="str">
        <f t="shared" si="34"/>
        <v>0Y11M23D</v>
      </c>
      <c r="AK161" s="3">
        <f t="shared" si="35"/>
        <v>0.9780821917808219</v>
      </c>
      <c r="AL161" s="2">
        <v>2</v>
      </c>
      <c r="AM161" s="2">
        <v>1</v>
      </c>
      <c r="AN161" s="2">
        <v>2</v>
      </c>
      <c r="AO161" s="2">
        <v>1</v>
      </c>
      <c r="AP161" s="2">
        <v>3</v>
      </c>
      <c r="AQ161" s="2"/>
      <c r="AR161" s="2" t="s">
        <v>1677</v>
      </c>
      <c r="AS161" s="23">
        <v>44582</v>
      </c>
      <c r="AT161" s="3" t="str">
        <f t="shared" si="36"/>
        <v>1Y2M18D</v>
      </c>
      <c r="AU161" s="3" t="str">
        <f t="shared" si="37"/>
        <v>0Y11M19D</v>
      </c>
      <c r="AV161" s="3">
        <f t="shared" si="38"/>
        <v>0.9671232876712329</v>
      </c>
      <c r="AW161" s="2">
        <v>7</v>
      </c>
      <c r="AX161" s="23">
        <v>44583</v>
      </c>
      <c r="AY161" s="3" t="str">
        <f t="shared" si="39"/>
        <v>1Y2M19D</v>
      </c>
      <c r="AZ161" s="3" t="str">
        <f t="shared" si="40"/>
        <v>0Y11M20D</v>
      </c>
      <c r="BA161" s="3">
        <f t="shared" si="41"/>
        <v>0.96986301369863015</v>
      </c>
      <c r="BB161" s="2">
        <v>7</v>
      </c>
      <c r="BC161" s="23">
        <v>44586</v>
      </c>
      <c r="BD161" s="3" t="str">
        <f t="shared" si="42"/>
        <v>1Y2M22D</v>
      </c>
      <c r="BE161" s="3" t="str">
        <f t="shared" si="43"/>
        <v>0Y11M23D</v>
      </c>
      <c r="BF161" s="3">
        <f t="shared" si="44"/>
        <v>0.9780821917808219</v>
      </c>
      <c r="BG161" s="2">
        <v>1</v>
      </c>
      <c r="BH161" s="2">
        <v>1</v>
      </c>
    </row>
    <row r="162" spans="1:60" s="127" customFormat="1" ht="16">
      <c r="A162" s="20" t="s">
        <v>667</v>
      </c>
      <c r="B162" s="20">
        <v>22107737</v>
      </c>
      <c r="C162" s="20" t="s">
        <v>668</v>
      </c>
      <c r="D162" s="45">
        <v>44330</v>
      </c>
      <c r="E162" s="45">
        <v>44330</v>
      </c>
      <c r="F162" s="45">
        <v>44330</v>
      </c>
      <c r="G162" s="20">
        <v>39</v>
      </c>
      <c r="H162" s="85">
        <v>44483</v>
      </c>
      <c r="I162" s="85">
        <v>44695</v>
      </c>
      <c r="J162" s="20"/>
      <c r="K162" s="20" t="s">
        <v>18</v>
      </c>
      <c r="L162" s="71" t="e">
        <f t="shared" si="30"/>
        <v>#VALUE!</v>
      </c>
      <c r="M162" s="71" t="e">
        <f t="shared" si="31"/>
        <v>#VALUE!</v>
      </c>
      <c r="N162" s="71" t="e">
        <f t="shared" si="32"/>
        <v>#VALUE!</v>
      </c>
      <c r="O162" s="20"/>
      <c r="P162" s="20"/>
      <c r="Q162" s="20"/>
      <c r="R162" s="20"/>
      <c r="S162" s="20"/>
      <c r="T162" s="20"/>
      <c r="U162" s="20"/>
      <c r="V162" s="20"/>
      <c r="W162" s="20"/>
      <c r="X162" s="20"/>
      <c r="Y162" s="20"/>
      <c r="Z162" s="20"/>
      <c r="AA162" s="20"/>
      <c r="AB162" s="20"/>
      <c r="AC162" s="20"/>
      <c r="AD162" s="20"/>
      <c r="AE162" s="20"/>
      <c r="AF162" s="20"/>
      <c r="AG162" s="20"/>
      <c r="AH162" s="20"/>
      <c r="AI162" s="71" t="e">
        <f t="shared" si="33"/>
        <v>#NUM!</v>
      </c>
      <c r="AJ162" s="71" t="e">
        <f t="shared" si="34"/>
        <v>#NUM!</v>
      </c>
      <c r="AK162" s="71">
        <f t="shared" si="35"/>
        <v>-121.45205479452055</v>
      </c>
      <c r="AL162" s="20"/>
      <c r="AM162" s="20"/>
      <c r="AN162" s="20"/>
      <c r="AO162" s="20"/>
      <c r="AP162" s="20"/>
      <c r="AQ162" s="20"/>
      <c r="AR162" s="20"/>
      <c r="AS162" s="20"/>
      <c r="AT162" s="71" t="e">
        <f t="shared" si="36"/>
        <v>#NUM!</v>
      </c>
      <c r="AU162" s="71" t="e">
        <f t="shared" si="37"/>
        <v>#NUM!</v>
      </c>
      <c r="AV162" s="71">
        <f t="shared" si="38"/>
        <v>-121.45205479452055</v>
      </c>
      <c r="AW162" s="20"/>
      <c r="AX162" s="20"/>
      <c r="AY162" s="71" t="e">
        <f t="shared" si="39"/>
        <v>#NUM!</v>
      </c>
      <c r="AZ162" s="71" t="e">
        <f t="shared" si="40"/>
        <v>#NUM!</v>
      </c>
      <c r="BA162" s="71">
        <f t="shared" si="41"/>
        <v>-121.45205479452055</v>
      </c>
      <c r="BB162" s="20"/>
      <c r="BC162" s="20"/>
      <c r="BD162" s="71" t="e">
        <f t="shared" si="42"/>
        <v>#NUM!</v>
      </c>
      <c r="BE162" s="71" t="e">
        <f t="shared" si="43"/>
        <v>#NUM!</v>
      </c>
      <c r="BF162" s="71">
        <f t="shared" si="44"/>
        <v>-121.45205479452055</v>
      </c>
      <c r="BG162" s="20"/>
      <c r="BH162" s="20">
        <v>0</v>
      </c>
    </row>
    <row r="163" spans="1:60" ht="16">
      <c r="A163" s="2" t="s">
        <v>670</v>
      </c>
      <c r="B163" s="2">
        <v>22107854</v>
      </c>
      <c r="C163" s="2" t="s">
        <v>671</v>
      </c>
      <c r="D163" s="23">
        <v>44343</v>
      </c>
      <c r="E163" s="23">
        <v>44352</v>
      </c>
      <c r="F163" s="23">
        <v>44343</v>
      </c>
      <c r="G163" s="2" t="s">
        <v>155</v>
      </c>
      <c r="H163" s="55">
        <v>44505</v>
      </c>
      <c r="I163" s="55">
        <v>44717</v>
      </c>
      <c r="J163" s="23">
        <v>44547</v>
      </c>
      <c r="K163" s="23">
        <v>44547</v>
      </c>
      <c r="L163" s="3" t="str">
        <f t="shared" si="30"/>
        <v>0Y6M20D</v>
      </c>
      <c r="M163" s="3" t="str">
        <f t="shared" si="31"/>
        <v>0Y6M12D</v>
      </c>
      <c r="N163" s="3">
        <f t="shared" si="32"/>
        <v>0.55890410958904113</v>
      </c>
      <c r="O163" s="2">
        <v>5</v>
      </c>
      <c r="P163" s="2">
        <v>3</v>
      </c>
      <c r="Q163" s="2" t="s">
        <v>1745</v>
      </c>
      <c r="R163" s="2">
        <v>4</v>
      </c>
      <c r="S163" s="2">
        <v>1</v>
      </c>
      <c r="T163" s="2">
        <v>1</v>
      </c>
      <c r="U163" s="2" t="s">
        <v>1699</v>
      </c>
      <c r="V163" s="2" t="s">
        <v>1664</v>
      </c>
      <c r="W163" s="2">
        <v>2</v>
      </c>
      <c r="X163" s="2">
        <v>1</v>
      </c>
      <c r="Y163" s="2">
        <v>1</v>
      </c>
      <c r="Z163" s="2">
        <v>1</v>
      </c>
      <c r="AA163" s="2">
        <v>2</v>
      </c>
      <c r="AB163" s="2"/>
      <c r="AC163" s="2" t="s">
        <v>1711</v>
      </c>
      <c r="AD163" s="2">
        <v>2</v>
      </c>
      <c r="AE163" s="2">
        <v>1</v>
      </c>
      <c r="AF163" s="2">
        <v>2</v>
      </c>
      <c r="AG163" s="2">
        <v>1</v>
      </c>
      <c r="AH163" s="23">
        <v>44582</v>
      </c>
      <c r="AI163" s="3" t="str">
        <f t="shared" si="33"/>
        <v>0Y7M25D</v>
      </c>
      <c r="AJ163" s="3" t="str">
        <f t="shared" si="34"/>
        <v>0Y7M16D</v>
      </c>
      <c r="AK163" s="3">
        <f t="shared" si="35"/>
        <v>0.65479452054794518</v>
      </c>
      <c r="AL163" s="2">
        <v>2</v>
      </c>
      <c r="AM163" s="2">
        <v>1</v>
      </c>
      <c r="AN163" s="2">
        <v>2</v>
      </c>
      <c r="AO163" s="2">
        <v>1</v>
      </c>
      <c r="AP163" s="2">
        <v>3</v>
      </c>
      <c r="AQ163" s="2">
        <v>3</v>
      </c>
      <c r="AR163" s="2"/>
      <c r="AS163" s="23">
        <v>44583</v>
      </c>
      <c r="AT163" s="3" t="str">
        <f t="shared" si="36"/>
        <v>0Y7M26D</v>
      </c>
      <c r="AU163" s="3" t="str">
        <f t="shared" si="37"/>
        <v>0Y7M17D</v>
      </c>
      <c r="AV163" s="3">
        <f t="shared" si="38"/>
        <v>0.65753424657534243</v>
      </c>
      <c r="AW163" s="2">
        <v>7</v>
      </c>
      <c r="AX163" s="23">
        <v>44583</v>
      </c>
      <c r="AY163" s="3" t="str">
        <f t="shared" si="39"/>
        <v>0Y7M26D</v>
      </c>
      <c r="AZ163" s="3" t="str">
        <f t="shared" si="40"/>
        <v>0Y7M17D</v>
      </c>
      <c r="BA163" s="3">
        <f t="shared" si="41"/>
        <v>0.65753424657534243</v>
      </c>
      <c r="BB163" s="2">
        <v>7</v>
      </c>
      <c r="BC163" s="23">
        <v>44547</v>
      </c>
      <c r="BD163" s="3" t="str">
        <f t="shared" si="42"/>
        <v>0Y6M20D</v>
      </c>
      <c r="BE163" s="3" t="str">
        <f t="shared" si="43"/>
        <v>0Y6M12D</v>
      </c>
      <c r="BF163" s="3">
        <f t="shared" si="44"/>
        <v>0.55890410958904113</v>
      </c>
      <c r="BG163" s="2">
        <v>1</v>
      </c>
      <c r="BH163" s="2">
        <v>0</v>
      </c>
    </row>
    <row r="164" spans="1:60" s="114" customFormat="1" ht="16">
      <c r="A164" s="16" t="s">
        <v>673</v>
      </c>
      <c r="B164" s="16">
        <v>22101304</v>
      </c>
      <c r="C164" s="16" t="s">
        <v>674</v>
      </c>
      <c r="D164" s="77">
        <v>43720</v>
      </c>
      <c r="E164" s="77">
        <v>43797</v>
      </c>
      <c r="F164" s="77">
        <v>43797</v>
      </c>
      <c r="G164" s="16">
        <v>29</v>
      </c>
      <c r="H164" s="78">
        <v>43949</v>
      </c>
      <c r="I164" s="78">
        <v>44163</v>
      </c>
      <c r="J164" s="16"/>
      <c r="K164" s="16"/>
      <c r="L164" s="68" t="e">
        <f t="shared" si="30"/>
        <v>#NUM!</v>
      </c>
      <c r="M164" s="68" t="e">
        <f t="shared" si="31"/>
        <v>#NUM!</v>
      </c>
      <c r="N164" s="68">
        <f t="shared" si="32"/>
        <v>-119.99178082191781</v>
      </c>
      <c r="O164" s="16"/>
      <c r="P164" s="16"/>
      <c r="Q164" s="16"/>
      <c r="R164" s="16"/>
      <c r="S164" s="16"/>
      <c r="T164" s="16"/>
      <c r="U164" s="16"/>
      <c r="V164" s="16"/>
      <c r="W164" s="16"/>
      <c r="X164" s="16"/>
      <c r="Y164" s="16"/>
      <c r="Z164" s="16"/>
      <c r="AA164" s="16"/>
      <c r="AB164" s="16"/>
      <c r="AC164" s="16"/>
      <c r="AD164" s="16"/>
      <c r="AE164" s="16"/>
      <c r="AF164" s="16"/>
      <c r="AG164" s="16"/>
      <c r="AH164" s="16"/>
      <c r="AI164" s="68" t="e">
        <f t="shared" si="33"/>
        <v>#NUM!</v>
      </c>
      <c r="AJ164" s="68" t="e">
        <f t="shared" si="34"/>
        <v>#NUM!</v>
      </c>
      <c r="AK164" s="68">
        <f t="shared" si="35"/>
        <v>-119.99178082191781</v>
      </c>
      <c r="AL164" s="16"/>
      <c r="AM164" s="16"/>
      <c r="AN164" s="16"/>
      <c r="AO164" s="16"/>
      <c r="AP164" s="16"/>
      <c r="AQ164" s="16"/>
      <c r="AR164" s="16"/>
      <c r="AS164" s="16"/>
      <c r="AT164" s="68" t="e">
        <f t="shared" si="36"/>
        <v>#NUM!</v>
      </c>
      <c r="AU164" s="68" t="e">
        <f t="shared" si="37"/>
        <v>#NUM!</v>
      </c>
      <c r="AV164" s="68">
        <f t="shared" si="38"/>
        <v>-119.99178082191781</v>
      </c>
      <c r="AW164" s="16"/>
      <c r="AX164" s="16"/>
      <c r="AY164" s="68" t="e">
        <f t="shared" si="39"/>
        <v>#NUM!</v>
      </c>
      <c r="AZ164" s="68" t="e">
        <f t="shared" si="40"/>
        <v>#NUM!</v>
      </c>
      <c r="BA164" s="68">
        <f t="shared" si="41"/>
        <v>-119.99178082191781</v>
      </c>
      <c r="BB164" s="16"/>
      <c r="BC164" s="16"/>
      <c r="BD164" s="68" t="e">
        <f t="shared" si="42"/>
        <v>#NUM!</v>
      </c>
      <c r="BE164" s="68" t="e">
        <f t="shared" si="43"/>
        <v>#NUM!</v>
      </c>
      <c r="BF164" s="68">
        <f t="shared" si="44"/>
        <v>-119.99178082191781</v>
      </c>
      <c r="BG164" s="16"/>
      <c r="BH164" s="16"/>
    </row>
    <row r="165" spans="1:60" s="110" customFormat="1" ht="16">
      <c r="A165" s="17" t="s">
        <v>677</v>
      </c>
      <c r="B165" s="17">
        <v>22109289</v>
      </c>
      <c r="C165" s="17" t="s">
        <v>678</v>
      </c>
      <c r="D165" s="40">
        <v>44501</v>
      </c>
      <c r="E165" s="40">
        <v>44561</v>
      </c>
      <c r="F165" s="40">
        <v>44561</v>
      </c>
      <c r="G165" s="17" t="s">
        <v>105</v>
      </c>
      <c r="H165" s="75">
        <v>44712</v>
      </c>
      <c r="I165" s="75">
        <v>44926</v>
      </c>
      <c r="J165" s="17"/>
      <c r="K165" s="17"/>
      <c r="L165" s="21" t="e">
        <f t="shared" si="30"/>
        <v>#NUM!</v>
      </c>
      <c r="M165" s="21" t="e">
        <f t="shared" si="31"/>
        <v>#NUM!</v>
      </c>
      <c r="N165" s="21">
        <f t="shared" si="32"/>
        <v>-122.08493150684932</v>
      </c>
      <c r="O165" s="17"/>
      <c r="P165" s="17"/>
      <c r="Q165" s="17"/>
      <c r="R165" s="17"/>
      <c r="S165" s="17"/>
      <c r="T165" s="17"/>
      <c r="U165" s="17"/>
      <c r="V165" s="17"/>
      <c r="W165" s="17"/>
      <c r="X165" s="17"/>
      <c r="Y165" s="17"/>
      <c r="Z165" s="17"/>
      <c r="AA165" s="17"/>
      <c r="AB165" s="17"/>
      <c r="AC165" s="17"/>
      <c r="AD165" s="17"/>
      <c r="AE165" s="17"/>
      <c r="AF165" s="17"/>
      <c r="AG165" s="17"/>
      <c r="AH165" s="40">
        <v>44733</v>
      </c>
      <c r="AI165" s="21" t="str">
        <f t="shared" si="33"/>
        <v>0Y7M20D</v>
      </c>
      <c r="AJ165" s="21" t="str">
        <f t="shared" si="34"/>
        <v>0Y5M21D</v>
      </c>
      <c r="AK165" s="21">
        <f t="shared" si="35"/>
        <v>0.47123287671232877</v>
      </c>
      <c r="AL165" s="17">
        <v>3</v>
      </c>
      <c r="AM165" s="17">
        <v>1</v>
      </c>
      <c r="AN165" s="17">
        <v>2</v>
      </c>
      <c r="AO165" s="17">
        <v>1</v>
      </c>
      <c r="AP165" s="17">
        <v>3</v>
      </c>
      <c r="AQ165" s="17">
        <v>3</v>
      </c>
      <c r="AR165" s="17"/>
      <c r="AS165" s="40">
        <v>44731</v>
      </c>
      <c r="AT165" s="21" t="str">
        <f t="shared" si="36"/>
        <v>0Y7M18D</v>
      </c>
      <c r="AU165" s="21" t="str">
        <f t="shared" si="37"/>
        <v>0Y5M19D</v>
      </c>
      <c r="AV165" s="21">
        <f t="shared" si="38"/>
        <v>0.46575342465753422</v>
      </c>
      <c r="AW165" s="17">
        <v>7</v>
      </c>
      <c r="AX165" s="40">
        <v>44732</v>
      </c>
      <c r="AY165" s="21" t="str">
        <f t="shared" si="39"/>
        <v>0Y7M19D</v>
      </c>
      <c r="AZ165" s="21" t="str">
        <f t="shared" si="40"/>
        <v>0Y5M20D</v>
      </c>
      <c r="BA165" s="21">
        <f t="shared" si="41"/>
        <v>0.46849315068493153</v>
      </c>
      <c r="BB165" s="17">
        <v>7</v>
      </c>
      <c r="BC165" s="40">
        <v>44733</v>
      </c>
      <c r="BD165" s="21" t="str">
        <f t="shared" si="42"/>
        <v>0Y7M20D</v>
      </c>
      <c r="BE165" s="21" t="str">
        <f t="shared" si="43"/>
        <v>0Y5M21D</v>
      </c>
      <c r="BF165" s="21">
        <f t="shared" si="44"/>
        <v>0.47123287671232877</v>
      </c>
      <c r="BG165" s="17">
        <v>1</v>
      </c>
      <c r="BH165" s="17">
        <v>1</v>
      </c>
    </row>
    <row r="166" spans="1:60" s="110" customFormat="1" ht="16">
      <c r="A166" s="17" t="s">
        <v>681</v>
      </c>
      <c r="B166" s="17">
        <v>22109290</v>
      </c>
      <c r="C166" s="17" t="s">
        <v>682</v>
      </c>
      <c r="D166" s="40">
        <v>44501</v>
      </c>
      <c r="E166" s="40">
        <v>44561</v>
      </c>
      <c r="F166" s="40">
        <v>44561</v>
      </c>
      <c r="G166" s="17" t="s">
        <v>105</v>
      </c>
      <c r="H166" s="75">
        <v>44712</v>
      </c>
      <c r="I166" s="75">
        <v>44926</v>
      </c>
      <c r="J166" s="17"/>
      <c r="K166" s="17"/>
      <c r="L166" s="21" t="e">
        <f t="shared" si="30"/>
        <v>#NUM!</v>
      </c>
      <c r="M166" s="21" t="e">
        <f t="shared" si="31"/>
        <v>#NUM!</v>
      </c>
      <c r="N166" s="21">
        <f t="shared" si="32"/>
        <v>-122.08493150684932</v>
      </c>
      <c r="O166" s="17"/>
      <c r="P166" s="17"/>
      <c r="Q166" s="17"/>
      <c r="R166" s="17"/>
      <c r="S166" s="17"/>
      <c r="T166" s="17"/>
      <c r="U166" s="17"/>
      <c r="V166" s="17"/>
      <c r="W166" s="17"/>
      <c r="X166" s="17"/>
      <c r="Y166" s="17"/>
      <c r="Z166" s="17"/>
      <c r="AA166" s="17"/>
      <c r="AB166" s="17"/>
      <c r="AC166" s="17"/>
      <c r="AD166" s="17"/>
      <c r="AE166" s="17"/>
      <c r="AF166" s="17"/>
      <c r="AG166" s="17"/>
      <c r="AH166" s="40">
        <v>44733</v>
      </c>
      <c r="AI166" s="21" t="str">
        <f t="shared" si="33"/>
        <v>0Y7M20D</v>
      </c>
      <c r="AJ166" s="21" t="str">
        <f t="shared" si="34"/>
        <v>0Y5M21D</v>
      </c>
      <c r="AK166" s="21">
        <f t="shared" si="35"/>
        <v>0.47123287671232877</v>
      </c>
      <c r="AL166" s="17">
        <v>3</v>
      </c>
      <c r="AM166" s="17">
        <v>1</v>
      </c>
      <c r="AN166" s="17">
        <v>2</v>
      </c>
      <c r="AO166" s="17">
        <v>1</v>
      </c>
      <c r="AP166" s="17">
        <v>3</v>
      </c>
      <c r="AQ166" s="17">
        <v>3</v>
      </c>
      <c r="AR166" s="17"/>
      <c r="AS166" s="40">
        <v>44731</v>
      </c>
      <c r="AT166" s="21" t="str">
        <f t="shared" si="36"/>
        <v>0Y7M18D</v>
      </c>
      <c r="AU166" s="21" t="str">
        <f t="shared" si="37"/>
        <v>0Y5M19D</v>
      </c>
      <c r="AV166" s="21">
        <f t="shared" si="38"/>
        <v>0.46575342465753422</v>
      </c>
      <c r="AW166" s="17">
        <v>7</v>
      </c>
      <c r="AX166" s="40">
        <v>44733</v>
      </c>
      <c r="AY166" s="21" t="str">
        <f t="shared" si="39"/>
        <v>0Y7M20D</v>
      </c>
      <c r="AZ166" s="21" t="str">
        <f t="shared" si="40"/>
        <v>0Y5M21D</v>
      </c>
      <c r="BA166" s="21">
        <f t="shared" si="41"/>
        <v>0.47123287671232877</v>
      </c>
      <c r="BB166" s="17">
        <v>7</v>
      </c>
      <c r="BC166" s="40">
        <v>44733</v>
      </c>
      <c r="BD166" s="21" t="str">
        <f t="shared" si="42"/>
        <v>0Y7M20D</v>
      </c>
      <c r="BE166" s="21" t="str">
        <f t="shared" si="43"/>
        <v>0Y5M21D</v>
      </c>
      <c r="BF166" s="21">
        <f t="shared" si="44"/>
        <v>0.47123287671232877</v>
      </c>
      <c r="BG166" s="17">
        <v>1</v>
      </c>
      <c r="BH166" s="17">
        <v>1</v>
      </c>
    </row>
    <row r="167" spans="1:60" ht="16">
      <c r="A167" s="2" t="s">
        <v>683</v>
      </c>
      <c r="B167" s="2">
        <v>22108656</v>
      </c>
      <c r="C167" s="2" t="s">
        <v>684</v>
      </c>
      <c r="D167" s="23">
        <v>44428</v>
      </c>
      <c r="E167" s="23">
        <v>44434</v>
      </c>
      <c r="F167" s="23">
        <v>44428</v>
      </c>
      <c r="G167" s="2" t="s">
        <v>110</v>
      </c>
      <c r="H167" s="55">
        <v>44587</v>
      </c>
      <c r="I167" s="55">
        <v>44799</v>
      </c>
      <c r="J167" s="23">
        <v>44603</v>
      </c>
      <c r="K167" s="23">
        <v>44603</v>
      </c>
      <c r="L167" s="3" t="str">
        <f t="shared" si="30"/>
        <v>0Y5M22D</v>
      </c>
      <c r="M167" s="3" t="str">
        <f t="shared" si="31"/>
        <v>0Y5M16D</v>
      </c>
      <c r="N167" s="3">
        <f t="shared" si="32"/>
        <v>0.47945205479452052</v>
      </c>
      <c r="O167" s="2">
        <v>5</v>
      </c>
      <c r="P167" s="2">
        <v>2</v>
      </c>
      <c r="Q167" s="2" t="s">
        <v>1763</v>
      </c>
      <c r="R167" s="2">
        <v>4</v>
      </c>
      <c r="S167" s="2">
        <v>1</v>
      </c>
      <c r="T167" s="2">
        <v>1</v>
      </c>
      <c r="U167" s="2" t="s">
        <v>1764</v>
      </c>
      <c r="V167" s="2" t="s">
        <v>1664</v>
      </c>
      <c r="W167" s="2">
        <v>2</v>
      </c>
      <c r="X167" s="2">
        <v>1</v>
      </c>
      <c r="Y167" s="2">
        <v>2</v>
      </c>
      <c r="Z167" s="2">
        <v>1</v>
      </c>
      <c r="AA167" s="2">
        <v>2</v>
      </c>
      <c r="AB167" s="2">
        <v>1</v>
      </c>
      <c r="AC167" s="2" t="s">
        <v>1678</v>
      </c>
      <c r="AD167" s="2">
        <v>2</v>
      </c>
      <c r="AE167" s="2">
        <v>1</v>
      </c>
      <c r="AF167" s="2">
        <v>2</v>
      </c>
      <c r="AG167" s="2">
        <v>1</v>
      </c>
      <c r="AH167" s="23">
        <v>44603</v>
      </c>
      <c r="AI167" s="3" t="str">
        <f t="shared" si="33"/>
        <v>0Y5M22D</v>
      </c>
      <c r="AJ167" s="3" t="str">
        <f t="shared" si="34"/>
        <v>0Y5M16D</v>
      </c>
      <c r="AK167" s="3">
        <f t="shared" si="35"/>
        <v>0.47945205479452052</v>
      </c>
      <c r="AL167" s="2">
        <v>3</v>
      </c>
      <c r="AM167" s="2">
        <v>1</v>
      </c>
      <c r="AN167" s="2">
        <v>2</v>
      </c>
      <c r="AO167" s="2">
        <v>1</v>
      </c>
      <c r="AP167" s="2">
        <v>3</v>
      </c>
      <c r="AQ167" s="2">
        <v>3</v>
      </c>
      <c r="AR167" s="2"/>
      <c r="AS167" s="23">
        <v>44599</v>
      </c>
      <c r="AT167" s="3" t="str">
        <f t="shared" si="36"/>
        <v>0Y5M18D</v>
      </c>
      <c r="AU167" s="3" t="str">
        <f t="shared" si="37"/>
        <v>0Y5M12D</v>
      </c>
      <c r="AV167" s="3">
        <f t="shared" si="38"/>
        <v>0.46849315068493153</v>
      </c>
      <c r="AW167" s="2">
        <v>7</v>
      </c>
      <c r="AX167" s="23">
        <v>44601</v>
      </c>
      <c r="AY167" s="3" t="str">
        <f t="shared" si="39"/>
        <v>0Y5M20D</v>
      </c>
      <c r="AZ167" s="3" t="str">
        <f t="shared" si="40"/>
        <v>0Y5M14D</v>
      </c>
      <c r="BA167" s="3">
        <f t="shared" si="41"/>
        <v>0.47397260273972602</v>
      </c>
      <c r="BB167" s="2">
        <v>7</v>
      </c>
      <c r="BC167" s="23">
        <v>44603</v>
      </c>
      <c r="BD167" s="3" t="str">
        <f t="shared" si="42"/>
        <v>0Y5M22D</v>
      </c>
      <c r="BE167" s="3" t="str">
        <f t="shared" si="43"/>
        <v>0Y5M16D</v>
      </c>
      <c r="BF167" s="3">
        <f t="shared" si="44"/>
        <v>0.47945205479452052</v>
      </c>
      <c r="BG167" s="2">
        <v>1</v>
      </c>
      <c r="BH167" s="2">
        <v>0</v>
      </c>
    </row>
    <row r="168" spans="1:60" ht="16">
      <c r="A168" s="2" t="s">
        <v>686</v>
      </c>
      <c r="B168" s="2">
        <v>22105237</v>
      </c>
      <c r="C168" s="2" t="s">
        <v>687</v>
      </c>
      <c r="D168" s="23">
        <v>44086</v>
      </c>
      <c r="E168" s="23">
        <v>44184</v>
      </c>
      <c r="F168" s="23">
        <v>44184</v>
      </c>
      <c r="G168" s="2">
        <v>26</v>
      </c>
      <c r="H168" s="55">
        <v>44335</v>
      </c>
      <c r="I168" s="55">
        <v>44549</v>
      </c>
      <c r="J168" s="23">
        <v>44582</v>
      </c>
      <c r="K168" s="23">
        <v>44567</v>
      </c>
      <c r="L168" s="3" t="str">
        <f t="shared" si="30"/>
        <v>1Y3M25D</v>
      </c>
      <c r="M168" s="3" t="str">
        <f t="shared" si="31"/>
        <v>1Y0M18D</v>
      </c>
      <c r="N168" s="3">
        <f t="shared" si="32"/>
        <v>1.0493150684931507</v>
      </c>
      <c r="O168" s="2">
        <v>5</v>
      </c>
      <c r="P168" s="2">
        <v>3</v>
      </c>
      <c r="Q168" s="2" t="s">
        <v>1665</v>
      </c>
      <c r="R168" s="2">
        <v>4</v>
      </c>
      <c r="S168" s="2">
        <v>1</v>
      </c>
      <c r="T168" s="2"/>
      <c r="U168" s="2" t="s">
        <v>1670</v>
      </c>
      <c r="V168" s="2" t="s">
        <v>1695</v>
      </c>
      <c r="W168" s="2">
        <v>2</v>
      </c>
      <c r="X168" s="2">
        <v>1</v>
      </c>
      <c r="Y168" s="2">
        <v>2</v>
      </c>
      <c r="Z168" s="2">
        <v>1</v>
      </c>
      <c r="AA168" s="2">
        <v>2</v>
      </c>
      <c r="AB168" s="2">
        <v>1</v>
      </c>
      <c r="AC168" s="2"/>
      <c r="AD168" s="13">
        <v>2</v>
      </c>
      <c r="AE168" s="13">
        <v>1</v>
      </c>
      <c r="AF168" s="2">
        <v>2</v>
      </c>
      <c r="AG168" s="2">
        <v>1</v>
      </c>
      <c r="AH168" s="23">
        <v>44567</v>
      </c>
      <c r="AI168" s="3" t="str">
        <f t="shared" si="33"/>
        <v>1Y3M25D</v>
      </c>
      <c r="AJ168" s="3" t="str">
        <f t="shared" si="34"/>
        <v>1Y0M18D</v>
      </c>
      <c r="AK168" s="3">
        <f t="shared" si="35"/>
        <v>1.0493150684931507</v>
      </c>
      <c r="AL168" s="2">
        <v>3</v>
      </c>
      <c r="AM168" s="2">
        <v>1</v>
      </c>
      <c r="AN168" s="2">
        <v>2</v>
      </c>
      <c r="AO168" s="2">
        <v>1</v>
      </c>
      <c r="AP168" s="2">
        <v>3</v>
      </c>
      <c r="AQ168" s="2">
        <v>1</v>
      </c>
      <c r="AR168" s="2" t="s">
        <v>1673</v>
      </c>
      <c r="AS168" s="23">
        <v>44564</v>
      </c>
      <c r="AT168" s="3" t="str">
        <f t="shared" si="36"/>
        <v>1Y3M22D</v>
      </c>
      <c r="AU168" s="3" t="str">
        <f t="shared" si="37"/>
        <v>1Y0M15D</v>
      </c>
      <c r="AV168" s="3">
        <f t="shared" si="38"/>
        <v>1.0410958904109588</v>
      </c>
      <c r="AW168" s="2">
        <v>7</v>
      </c>
      <c r="AX168" s="23">
        <v>44566</v>
      </c>
      <c r="AY168" s="3" t="str">
        <f t="shared" si="39"/>
        <v>1Y3M24D</v>
      </c>
      <c r="AZ168" s="3" t="str">
        <f t="shared" si="40"/>
        <v>1Y0M17D</v>
      </c>
      <c r="BA168" s="3">
        <f t="shared" si="41"/>
        <v>1.0465753424657533</v>
      </c>
      <c r="BB168" s="2">
        <v>7</v>
      </c>
      <c r="BC168" s="23">
        <v>44567</v>
      </c>
      <c r="BD168" s="3" t="str">
        <f t="shared" si="42"/>
        <v>1Y3M25D</v>
      </c>
      <c r="BE168" s="3" t="str">
        <f t="shared" si="43"/>
        <v>1Y0M18D</v>
      </c>
      <c r="BF168" s="3">
        <f t="shared" si="44"/>
        <v>1.0493150684931507</v>
      </c>
      <c r="BG168" s="2">
        <v>1</v>
      </c>
      <c r="BH168" s="2">
        <v>1</v>
      </c>
    </row>
    <row r="169" spans="1:60" s="127" customFormat="1" ht="16">
      <c r="A169" s="20" t="s">
        <v>690</v>
      </c>
      <c r="B169" s="20">
        <v>22108457</v>
      </c>
      <c r="C169" s="20" t="s">
        <v>691</v>
      </c>
      <c r="D169" s="45">
        <v>44406</v>
      </c>
      <c r="E169" s="45">
        <v>44406</v>
      </c>
      <c r="F169" s="45">
        <v>44406</v>
      </c>
      <c r="G169" s="20">
        <v>38</v>
      </c>
      <c r="H169" s="85">
        <v>44559</v>
      </c>
      <c r="I169" s="85">
        <v>44771</v>
      </c>
      <c r="J169" s="20"/>
      <c r="K169" s="20" t="s">
        <v>18</v>
      </c>
      <c r="L169" s="71" t="e">
        <f t="shared" si="30"/>
        <v>#VALUE!</v>
      </c>
      <c r="M169" s="71" t="e">
        <f t="shared" si="31"/>
        <v>#VALUE!</v>
      </c>
      <c r="N169" s="71" t="e">
        <f t="shared" si="32"/>
        <v>#VALUE!</v>
      </c>
      <c r="O169" s="20"/>
      <c r="P169" s="20"/>
      <c r="Q169" s="20"/>
      <c r="R169" s="20"/>
      <c r="S169" s="20"/>
      <c r="T169" s="20"/>
      <c r="U169" s="20"/>
      <c r="V169" s="20"/>
      <c r="W169" s="20"/>
      <c r="X169" s="20"/>
      <c r="Y169" s="20"/>
      <c r="Z169" s="20"/>
      <c r="AA169" s="20"/>
      <c r="AB169" s="20"/>
      <c r="AC169" s="20"/>
      <c r="AD169" s="20"/>
      <c r="AE169" s="20"/>
      <c r="AF169" s="20"/>
      <c r="AG169" s="20"/>
      <c r="AH169" s="20"/>
      <c r="AI169" s="71" t="e">
        <f t="shared" si="33"/>
        <v>#NUM!</v>
      </c>
      <c r="AJ169" s="71" t="e">
        <f t="shared" si="34"/>
        <v>#NUM!</v>
      </c>
      <c r="AK169" s="71">
        <f t="shared" si="35"/>
        <v>-121.66027397260274</v>
      </c>
      <c r="AL169" s="20"/>
      <c r="AM169" s="20"/>
      <c r="AN169" s="20"/>
      <c r="AO169" s="20"/>
      <c r="AP169" s="20"/>
      <c r="AQ169" s="20"/>
      <c r="AR169" s="20"/>
      <c r="AS169" s="20"/>
      <c r="AT169" s="71" t="e">
        <f t="shared" si="36"/>
        <v>#NUM!</v>
      </c>
      <c r="AU169" s="71" t="e">
        <f t="shared" si="37"/>
        <v>#NUM!</v>
      </c>
      <c r="AV169" s="71">
        <f t="shared" si="38"/>
        <v>-121.66027397260274</v>
      </c>
      <c r="AW169" s="20"/>
      <c r="AX169" s="20"/>
      <c r="AY169" s="71" t="e">
        <f t="shared" si="39"/>
        <v>#NUM!</v>
      </c>
      <c r="AZ169" s="71" t="e">
        <f t="shared" si="40"/>
        <v>#NUM!</v>
      </c>
      <c r="BA169" s="71">
        <f t="shared" si="41"/>
        <v>-121.66027397260274</v>
      </c>
      <c r="BB169" s="20"/>
      <c r="BC169" s="20"/>
      <c r="BD169" s="71" t="e">
        <f t="shared" si="42"/>
        <v>#NUM!</v>
      </c>
      <c r="BE169" s="71" t="e">
        <f t="shared" si="43"/>
        <v>#NUM!</v>
      </c>
      <c r="BF169" s="71">
        <f t="shared" si="44"/>
        <v>-121.66027397260274</v>
      </c>
      <c r="BG169" s="20"/>
      <c r="BH169" s="20">
        <v>0</v>
      </c>
    </row>
    <row r="170" spans="1:60" ht="16">
      <c r="A170" s="2" t="s">
        <v>694</v>
      </c>
      <c r="B170" s="2">
        <v>22109237</v>
      </c>
      <c r="C170" s="2" t="s">
        <v>695</v>
      </c>
      <c r="D170" s="23">
        <v>44496</v>
      </c>
      <c r="E170" s="23">
        <v>44509</v>
      </c>
      <c r="F170" s="23">
        <v>44496</v>
      </c>
      <c r="G170" s="2" t="s">
        <v>697</v>
      </c>
      <c r="H170" s="55">
        <v>44660</v>
      </c>
      <c r="I170" s="55">
        <v>44874</v>
      </c>
      <c r="J170" s="23">
        <v>44692</v>
      </c>
      <c r="K170" s="23">
        <v>44692</v>
      </c>
      <c r="L170" s="3" t="str">
        <f t="shared" si="30"/>
        <v>0Y6M14D</v>
      </c>
      <c r="M170" s="3" t="str">
        <f t="shared" si="31"/>
        <v>0Y6M2D</v>
      </c>
      <c r="N170" s="3">
        <f t="shared" si="32"/>
        <v>0.53698630136986303</v>
      </c>
      <c r="O170" s="2">
        <v>5</v>
      </c>
      <c r="P170" s="2">
        <v>2</v>
      </c>
      <c r="Q170" s="2" t="s">
        <v>1684</v>
      </c>
      <c r="R170" s="2">
        <v>4</v>
      </c>
      <c r="S170" s="2">
        <v>1</v>
      </c>
      <c r="T170" s="2">
        <v>1</v>
      </c>
      <c r="U170" s="2" t="s">
        <v>1666</v>
      </c>
      <c r="V170" s="2" t="s">
        <v>1664</v>
      </c>
      <c r="W170" s="2">
        <v>2</v>
      </c>
      <c r="X170" s="2">
        <v>1</v>
      </c>
      <c r="Y170" s="2">
        <v>2</v>
      </c>
      <c r="Z170" s="2">
        <v>1</v>
      </c>
      <c r="AA170" s="2">
        <v>2</v>
      </c>
      <c r="AB170" s="2"/>
      <c r="AC170" s="2" t="s">
        <v>1765</v>
      </c>
      <c r="AD170" s="2">
        <v>2</v>
      </c>
      <c r="AE170" s="2">
        <v>1</v>
      </c>
      <c r="AF170" s="2">
        <v>2</v>
      </c>
      <c r="AG170" s="2">
        <v>1</v>
      </c>
      <c r="AH170" s="23">
        <v>44692</v>
      </c>
      <c r="AI170" s="3" t="str">
        <f t="shared" si="33"/>
        <v>0Y6M14D</v>
      </c>
      <c r="AJ170" s="3" t="str">
        <f t="shared" si="34"/>
        <v>0Y6M2D</v>
      </c>
      <c r="AK170" s="3">
        <f t="shared" si="35"/>
        <v>0.53698630136986303</v>
      </c>
      <c r="AL170" s="2">
        <v>3</v>
      </c>
      <c r="AM170" s="2">
        <v>1</v>
      </c>
      <c r="AN170" s="2">
        <v>2</v>
      </c>
      <c r="AO170" s="2">
        <v>1</v>
      </c>
      <c r="AP170" s="2">
        <v>3</v>
      </c>
      <c r="AQ170" s="2">
        <v>3</v>
      </c>
      <c r="AR170" s="2"/>
      <c r="AS170" s="23">
        <v>44769</v>
      </c>
      <c r="AT170" s="3" t="str">
        <f t="shared" si="36"/>
        <v>0Y9M0D</v>
      </c>
      <c r="AU170" s="3" t="str">
        <f t="shared" si="37"/>
        <v>0Y8M18D</v>
      </c>
      <c r="AV170" s="3">
        <f t="shared" si="38"/>
        <v>0.74794520547945209</v>
      </c>
      <c r="AW170" s="2">
        <v>7</v>
      </c>
      <c r="AX170" s="23">
        <v>44793</v>
      </c>
      <c r="AY170" s="3" t="str">
        <f t="shared" si="39"/>
        <v>0Y9M24D</v>
      </c>
      <c r="AZ170" s="3" t="str">
        <f t="shared" si="40"/>
        <v>0Y9M11D</v>
      </c>
      <c r="BA170" s="3">
        <f t="shared" si="41"/>
        <v>0.81369863013698629</v>
      </c>
      <c r="BB170" s="2">
        <v>7</v>
      </c>
      <c r="BC170" s="23">
        <v>44692</v>
      </c>
      <c r="BD170" s="3" t="str">
        <f t="shared" si="42"/>
        <v>0Y6M14D</v>
      </c>
      <c r="BE170" s="3" t="str">
        <f t="shared" si="43"/>
        <v>0Y6M2D</v>
      </c>
      <c r="BF170" s="3">
        <f t="shared" si="44"/>
        <v>0.53698630136986303</v>
      </c>
      <c r="BG170" s="2">
        <v>1</v>
      </c>
      <c r="BH170" s="2">
        <v>0</v>
      </c>
    </row>
    <row r="171" spans="1:60" ht="16">
      <c r="A171" s="2" t="s">
        <v>699</v>
      </c>
      <c r="B171" s="2">
        <v>22108488</v>
      </c>
      <c r="C171" s="2" t="s">
        <v>700</v>
      </c>
      <c r="D171" s="23">
        <v>44408</v>
      </c>
      <c r="E171" s="23">
        <v>44493</v>
      </c>
      <c r="F171" s="23">
        <v>44493</v>
      </c>
      <c r="G171" s="2" t="s">
        <v>701</v>
      </c>
      <c r="H171" s="55">
        <v>44644</v>
      </c>
      <c r="I171" s="55">
        <v>44858</v>
      </c>
      <c r="J171" s="23">
        <v>44698</v>
      </c>
      <c r="K171" s="23">
        <v>44698</v>
      </c>
      <c r="L171" s="3" t="str">
        <f t="shared" si="30"/>
        <v>0Y9M16D</v>
      </c>
      <c r="M171" s="3" t="str">
        <f t="shared" si="31"/>
        <v>0Y6M23D</v>
      </c>
      <c r="N171" s="3">
        <f t="shared" si="32"/>
        <v>0.56164383561643838</v>
      </c>
      <c r="O171" s="2">
        <v>5</v>
      </c>
      <c r="P171" s="2">
        <v>3</v>
      </c>
      <c r="Q171" s="2"/>
      <c r="R171" s="2">
        <v>4</v>
      </c>
      <c r="S171" s="2">
        <v>1</v>
      </c>
      <c r="T171" s="2"/>
      <c r="U171" s="2" t="s">
        <v>1670</v>
      </c>
      <c r="V171" s="2" t="s">
        <v>1661</v>
      </c>
      <c r="W171" s="2">
        <v>2</v>
      </c>
      <c r="X171" s="2">
        <v>1</v>
      </c>
      <c r="Y171" s="2">
        <v>2</v>
      </c>
      <c r="Z171" s="2">
        <v>1</v>
      </c>
      <c r="AA171" s="2">
        <v>2</v>
      </c>
      <c r="AB171" s="2">
        <v>1</v>
      </c>
      <c r="AC171" s="2" t="s">
        <v>1709</v>
      </c>
      <c r="AD171" s="2">
        <v>2</v>
      </c>
      <c r="AE171" s="2">
        <v>1</v>
      </c>
      <c r="AF171" s="2">
        <v>2</v>
      </c>
      <c r="AG171" s="2">
        <v>1</v>
      </c>
      <c r="AH171" s="23">
        <v>44701</v>
      </c>
      <c r="AI171" s="3" t="str">
        <f t="shared" si="33"/>
        <v>0Y9M19D</v>
      </c>
      <c r="AJ171" s="3" t="str">
        <f t="shared" si="34"/>
        <v>0Y6M26D</v>
      </c>
      <c r="AK171" s="3">
        <f t="shared" si="35"/>
        <v>0.56986301369863013</v>
      </c>
      <c r="AL171" s="2">
        <v>3</v>
      </c>
      <c r="AM171" s="2">
        <v>1</v>
      </c>
      <c r="AN171" s="2">
        <v>2</v>
      </c>
      <c r="AO171" s="2">
        <v>1</v>
      </c>
      <c r="AP171" s="2">
        <v>3</v>
      </c>
      <c r="AQ171" s="2">
        <v>1</v>
      </c>
      <c r="AR171" s="2" t="s">
        <v>1766</v>
      </c>
      <c r="AS171" s="23">
        <v>44696</v>
      </c>
      <c r="AT171" s="3" t="str">
        <f t="shared" si="36"/>
        <v>0Y9M14D</v>
      </c>
      <c r="AU171" s="3" t="str">
        <f t="shared" si="37"/>
        <v>0Y6M21D</v>
      </c>
      <c r="AV171" s="3">
        <f t="shared" si="38"/>
        <v>0.55616438356164388</v>
      </c>
      <c r="AW171" s="2">
        <v>7</v>
      </c>
      <c r="AX171" s="2"/>
      <c r="AY171" s="3" t="e">
        <f t="shared" si="39"/>
        <v>#NUM!</v>
      </c>
      <c r="AZ171" s="3" t="e">
        <f t="shared" si="40"/>
        <v>#NUM!</v>
      </c>
      <c r="BA171" s="3">
        <f t="shared" si="41"/>
        <v>-121.8986301369863</v>
      </c>
      <c r="BB171" s="2"/>
      <c r="BC171" s="23">
        <v>44698</v>
      </c>
      <c r="BD171" s="3" t="str">
        <f t="shared" si="42"/>
        <v>0Y9M16D</v>
      </c>
      <c r="BE171" s="3" t="str">
        <f t="shared" si="43"/>
        <v>0Y6M23D</v>
      </c>
      <c r="BF171" s="3">
        <f t="shared" si="44"/>
        <v>0.56164383561643838</v>
      </c>
      <c r="BG171" s="2">
        <v>1</v>
      </c>
      <c r="BH171" s="2">
        <v>1</v>
      </c>
    </row>
    <row r="172" spans="1:60" s="110" customFormat="1" ht="16">
      <c r="A172" s="17" t="s">
        <v>703</v>
      </c>
      <c r="B172" s="17">
        <v>22107816</v>
      </c>
      <c r="C172" s="17" t="s">
        <v>704</v>
      </c>
      <c r="D172" s="40">
        <v>44338</v>
      </c>
      <c r="E172" s="40">
        <v>44338</v>
      </c>
      <c r="F172" s="40">
        <v>44338</v>
      </c>
      <c r="G172" s="17">
        <v>40</v>
      </c>
      <c r="H172" s="75">
        <v>44491</v>
      </c>
      <c r="I172" s="75">
        <v>44703</v>
      </c>
      <c r="J172" s="40">
        <v>44574</v>
      </c>
      <c r="K172" s="40">
        <v>44565</v>
      </c>
      <c r="L172" s="21" t="str">
        <f t="shared" si="30"/>
        <v>0Y7M13D</v>
      </c>
      <c r="M172" s="21" t="str">
        <f t="shared" si="31"/>
        <v>0Y7M13D</v>
      </c>
      <c r="N172" s="21">
        <f t="shared" si="32"/>
        <v>0.62191780821917808</v>
      </c>
      <c r="O172" s="17">
        <v>5</v>
      </c>
      <c r="P172" s="17">
        <v>3</v>
      </c>
      <c r="Q172" s="17" t="s">
        <v>1665</v>
      </c>
      <c r="R172" s="17">
        <v>4</v>
      </c>
      <c r="S172" s="17">
        <v>1</v>
      </c>
      <c r="T172" s="17">
        <v>1</v>
      </c>
      <c r="U172" s="17" t="s">
        <v>1679</v>
      </c>
      <c r="V172" s="17" t="s">
        <v>1661</v>
      </c>
      <c r="W172" s="17">
        <v>2</v>
      </c>
      <c r="X172" s="17">
        <v>1</v>
      </c>
      <c r="Y172" s="17">
        <v>2</v>
      </c>
      <c r="Z172" s="17">
        <v>1</v>
      </c>
      <c r="AA172" s="17">
        <v>2</v>
      </c>
      <c r="AB172" s="17">
        <v>1</v>
      </c>
      <c r="AC172" s="17" t="s">
        <v>1671</v>
      </c>
      <c r="AD172" s="17">
        <v>2</v>
      </c>
      <c r="AE172" s="17">
        <v>1</v>
      </c>
      <c r="AF172" s="17">
        <v>2</v>
      </c>
      <c r="AG172" s="17">
        <v>1</v>
      </c>
      <c r="AH172" s="17"/>
      <c r="AI172" s="21" t="e">
        <f t="shared" si="33"/>
        <v>#NUM!</v>
      </c>
      <c r="AJ172" s="21" t="e">
        <f t="shared" si="34"/>
        <v>#NUM!</v>
      </c>
      <c r="AK172" s="21">
        <f t="shared" si="35"/>
        <v>-121.47397260273972</v>
      </c>
      <c r="AL172" s="17"/>
      <c r="AM172" s="17"/>
      <c r="AN172" s="17"/>
      <c r="AO172" s="17"/>
      <c r="AP172" s="17"/>
      <c r="AQ172" s="17"/>
      <c r="AR172" s="17"/>
      <c r="AS172" s="40">
        <v>44573</v>
      </c>
      <c r="AT172" s="21" t="str">
        <f t="shared" si="36"/>
        <v>0Y7M21D</v>
      </c>
      <c r="AU172" s="21" t="str">
        <f t="shared" si="37"/>
        <v>0Y7M21D</v>
      </c>
      <c r="AV172" s="21">
        <f t="shared" si="38"/>
        <v>0.64383561643835618</v>
      </c>
      <c r="AW172" s="17">
        <v>8</v>
      </c>
      <c r="AX172" s="17"/>
      <c r="AY172" s="21" t="e">
        <f t="shared" si="39"/>
        <v>#NUM!</v>
      </c>
      <c r="AZ172" s="21" t="e">
        <f t="shared" si="40"/>
        <v>#NUM!</v>
      </c>
      <c r="BA172" s="21">
        <f t="shared" si="41"/>
        <v>-121.47397260273972</v>
      </c>
      <c r="BB172" s="17"/>
      <c r="BC172" s="40">
        <v>44565</v>
      </c>
      <c r="BD172" s="21" t="str">
        <f t="shared" si="42"/>
        <v>0Y7M13D</v>
      </c>
      <c r="BE172" s="21" t="str">
        <f t="shared" si="43"/>
        <v>0Y7M13D</v>
      </c>
      <c r="BF172" s="21">
        <f t="shared" si="44"/>
        <v>0.62191780821917808</v>
      </c>
      <c r="BG172" s="17">
        <v>1</v>
      </c>
      <c r="BH172" s="17">
        <v>0</v>
      </c>
    </row>
    <row r="173" spans="1:60" ht="16">
      <c r="A173" s="2" t="s">
        <v>707</v>
      </c>
      <c r="B173" s="2">
        <v>22109442</v>
      </c>
      <c r="C173" s="2" t="s">
        <v>708</v>
      </c>
      <c r="D173" s="23">
        <v>44388</v>
      </c>
      <c r="E173" s="23">
        <v>44472</v>
      </c>
      <c r="F173" s="23">
        <v>44472</v>
      </c>
      <c r="G173" s="2">
        <v>28</v>
      </c>
      <c r="H173" s="55">
        <v>44623</v>
      </c>
      <c r="I173" s="55">
        <v>44837</v>
      </c>
      <c r="J173" s="23">
        <v>44662</v>
      </c>
      <c r="K173" s="23">
        <v>44662</v>
      </c>
      <c r="L173" s="3" t="str">
        <f t="shared" si="30"/>
        <v>0Y9M0D</v>
      </c>
      <c r="M173" s="3" t="str">
        <f t="shared" si="31"/>
        <v>0Y6M8D</v>
      </c>
      <c r="N173" s="3">
        <f t="shared" si="32"/>
        <v>0.52054794520547942</v>
      </c>
      <c r="O173" s="2">
        <v>5</v>
      </c>
      <c r="P173" s="2">
        <v>3</v>
      </c>
      <c r="Q173" s="2"/>
      <c r="R173" s="2">
        <v>4</v>
      </c>
      <c r="S173" s="2">
        <v>1</v>
      </c>
      <c r="T173" s="2">
        <v>1</v>
      </c>
      <c r="U173" s="2"/>
      <c r="V173" s="2" t="s">
        <v>1661</v>
      </c>
      <c r="W173" s="2">
        <v>2</v>
      </c>
      <c r="X173" s="2">
        <v>1</v>
      </c>
      <c r="Y173" s="2">
        <v>2</v>
      </c>
      <c r="Z173" s="2">
        <v>1</v>
      </c>
      <c r="AA173" s="2">
        <v>2</v>
      </c>
      <c r="AB173" s="2">
        <v>1</v>
      </c>
      <c r="AC173" s="2" t="s">
        <v>1666</v>
      </c>
      <c r="AD173" s="2">
        <v>2</v>
      </c>
      <c r="AE173" s="2">
        <v>1</v>
      </c>
      <c r="AF173" s="2">
        <v>2</v>
      </c>
      <c r="AG173" s="2">
        <v>1</v>
      </c>
      <c r="AH173" s="23">
        <v>44662</v>
      </c>
      <c r="AI173" s="3" t="str">
        <f t="shared" si="33"/>
        <v>0Y9M0D</v>
      </c>
      <c r="AJ173" s="3" t="str">
        <f t="shared" si="34"/>
        <v>0Y6M8D</v>
      </c>
      <c r="AK173" s="3">
        <f t="shared" si="35"/>
        <v>0.52054794520547942</v>
      </c>
      <c r="AL173" s="2">
        <v>3</v>
      </c>
      <c r="AM173" s="2">
        <v>1</v>
      </c>
      <c r="AN173" s="2">
        <v>2</v>
      </c>
      <c r="AO173" s="2">
        <v>1</v>
      </c>
      <c r="AP173" s="2">
        <v>3</v>
      </c>
      <c r="AQ173" s="2"/>
      <c r="AR173" s="2" t="s">
        <v>1669</v>
      </c>
      <c r="AS173" s="23">
        <v>44659</v>
      </c>
      <c r="AT173" s="3" t="str">
        <f t="shared" si="36"/>
        <v>0Y8M28D</v>
      </c>
      <c r="AU173" s="3" t="str">
        <f t="shared" si="37"/>
        <v>0Y6M5D</v>
      </c>
      <c r="AV173" s="3">
        <f t="shared" si="38"/>
        <v>0.51232876712328768</v>
      </c>
      <c r="AW173" s="2">
        <v>8</v>
      </c>
      <c r="AX173" s="2"/>
      <c r="AY173" s="3" t="e">
        <f t="shared" si="39"/>
        <v>#NUM!</v>
      </c>
      <c r="AZ173" s="3" t="e">
        <f t="shared" si="40"/>
        <v>#NUM!</v>
      </c>
      <c r="BA173" s="3">
        <f t="shared" si="41"/>
        <v>-121.84109589041095</v>
      </c>
      <c r="BB173" s="2"/>
      <c r="BC173" s="23">
        <v>44657</v>
      </c>
      <c r="BD173" s="3" t="str">
        <f t="shared" si="42"/>
        <v>0Y8M26D</v>
      </c>
      <c r="BE173" s="3" t="str">
        <f t="shared" si="43"/>
        <v>0Y6M3D</v>
      </c>
      <c r="BF173" s="3">
        <f t="shared" si="44"/>
        <v>0.50684931506849318</v>
      </c>
      <c r="BG173" s="2">
        <v>1</v>
      </c>
      <c r="BH173" s="2">
        <v>1</v>
      </c>
    </row>
    <row r="174" spans="1:60" ht="16">
      <c r="A174" s="2" t="s">
        <v>711</v>
      </c>
      <c r="B174" s="2">
        <v>22109297</v>
      </c>
      <c r="C174" s="2" t="s">
        <v>712</v>
      </c>
      <c r="D174" s="23">
        <v>44501</v>
      </c>
      <c r="E174" s="23">
        <v>44512</v>
      </c>
      <c r="F174" s="23">
        <v>44501</v>
      </c>
      <c r="G174" s="2" t="s">
        <v>658</v>
      </c>
      <c r="H174" s="55">
        <v>44663</v>
      </c>
      <c r="I174" s="55">
        <v>44877</v>
      </c>
      <c r="J174" s="23">
        <v>44692</v>
      </c>
      <c r="K174" s="23">
        <v>44692</v>
      </c>
      <c r="L174" s="3" t="str">
        <f t="shared" si="30"/>
        <v>0Y6M10D</v>
      </c>
      <c r="M174" s="3" t="str">
        <f t="shared" si="31"/>
        <v>0Y5M29D</v>
      </c>
      <c r="N174" s="3">
        <f t="shared" si="32"/>
        <v>0.52328767123287667</v>
      </c>
      <c r="O174" s="2">
        <v>5</v>
      </c>
      <c r="P174" s="2">
        <v>4</v>
      </c>
      <c r="Q174" s="2" t="s">
        <v>1689</v>
      </c>
      <c r="R174" s="2">
        <v>4</v>
      </c>
      <c r="S174" s="2">
        <v>1</v>
      </c>
      <c r="T174" s="2">
        <v>1</v>
      </c>
      <c r="U174" s="2" t="s">
        <v>1701</v>
      </c>
      <c r="V174" s="2" t="s">
        <v>1661</v>
      </c>
      <c r="W174" s="2">
        <v>2</v>
      </c>
      <c r="X174" s="2">
        <v>1</v>
      </c>
      <c r="Y174" s="2">
        <v>2</v>
      </c>
      <c r="Z174" s="2">
        <v>1</v>
      </c>
      <c r="AA174" s="2">
        <v>2</v>
      </c>
      <c r="AB174" s="2">
        <v>1</v>
      </c>
      <c r="AC174" s="2" t="s">
        <v>1767</v>
      </c>
      <c r="AD174" s="2">
        <v>2</v>
      </c>
      <c r="AE174" s="2">
        <v>1</v>
      </c>
      <c r="AF174" s="2">
        <v>2</v>
      </c>
      <c r="AG174" s="2">
        <v>1</v>
      </c>
      <c r="AH174" s="23">
        <v>44692</v>
      </c>
      <c r="AI174" s="3" t="str">
        <f t="shared" si="33"/>
        <v>0Y6M10D</v>
      </c>
      <c r="AJ174" s="3" t="str">
        <f t="shared" si="34"/>
        <v>0Y5M29D</v>
      </c>
      <c r="AK174" s="3">
        <f t="shared" si="35"/>
        <v>0.52328767123287667</v>
      </c>
      <c r="AL174" s="2">
        <v>3</v>
      </c>
      <c r="AM174" s="2">
        <v>1</v>
      </c>
      <c r="AN174" s="2">
        <v>2</v>
      </c>
      <c r="AO174" s="2">
        <v>1</v>
      </c>
      <c r="AP174" s="2">
        <v>3</v>
      </c>
      <c r="AQ174" s="2">
        <v>3</v>
      </c>
      <c r="AR174" s="2"/>
      <c r="AS174" s="23">
        <v>44691</v>
      </c>
      <c r="AT174" s="3" t="str">
        <f t="shared" si="36"/>
        <v>0Y6M9D</v>
      </c>
      <c r="AU174" s="3" t="str">
        <f t="shared" si="37"/>
        <v>0Y5M28D</v>
      </c>
      <c r="AV174" s="3">
        <f t="shared" si="38"/>
        <v>0.52054794520547942</v>
      </c>
      <c r="AW174" s="2">
        <v>8</v>
      </c>
      <c r="AX174" s="23">
        <v>44692</v>
      </c>
      <c r="AY174" s="3" t="str">
        <f t="shared" si="39"/>
        <v>0Y6M10D</v>
      </c>
      <c r="AZ174" s="3" t="str">
        <f t="shared" si="40"/>
        <v>0Y5M29D</v>
      </c>
      <c r="BA174" s="3">
        <f t="shared" si="41"/>
        <v>0.52328767123287667</v>
      </c>
      <c r="BB174" s="2">
        <v>8</v>
      </c>
      <c r="BC174" s="23">
        <v>44692</v>
      </c>
      <c r="BD174" s="3" t="str">
        <f t="shared" si="42"/>
        <v>0Y6M10D</v>
      </c>
      <c r="BE174" s="3" t="str">
        <f t="shared" si="43"/>
        <v>0Y5M29D</v>
      </c>
      <c r="BF174" s="3">
        <f t="shared" si="44"/>
        <v>0.52328767123287667</v>
      </c>
      <c r="BG174" s="2">
        <v>1</v>
      </c>
      <c r="BH174" s="2">
        <v>0</v>
      </c>
    </row>
    <row r="175" spans="1:60" s="114" customFormat="1" ht="16">
      <c r="A175" s="16" t="s">
        <v>714</v>
      </c>
      <c r="B175" s="16">
        <v>22103382</v>
      </c>
      <c r="C175" s="16" t="s">
        <v>715</v>
      </c>
      <c r="D175" s="77">
        <v>43897</v>
      </c>
      <c r="E175" s="77">
        <v>43910</v>
      </c>
      <c r="F175" s="77">
        <v>43897</v>
      </c>
      <c r="G175" s="16" t="s">
        <v>697</v>
      </c>
      <c r="H175" s="78">
        <v>44063</v>
      </c>
      <c r="I175" s="78">
        <v>44275</v>
      </c>
      <c r="J175" s="16"/>
      <c r="K175" s="16"/>
      <c r="L175" s="68" t="e">
        <f t="shared" si="30"/>
        <v>#NUM!</v>
      </c>
      <c r="M175" s="68" t="e">
        <f t="shared" si="31"/>
        <v>#NUM!</v>
      </c>
      <c r="N175" s="68">
        <f t="shared" si="32"/>
        <v>-120.26575342465753</v>
      </c>
      <c r="O175" s="16"/>
      <c r="P175" s="16"/>
      <c r="Q175" s="16"/>
      <c r="R175" s="16"/>
      <c r="S175" s="16"/>
      <c r="T175" s="16"/>
      <c r="U175" s="16"/>
      <c r="V175" s="16"/>
      <c r="W175" s="16"/>
      <c r="X175" s="16"/>
      <c r="Y175" s="16"/>
      <c r="Z175" s="16"/>
      <c r="AA175" s="16"/>
      <c r="AB175" s="16"/>
      <c r="AC175" s="16"/>
      <c r="AD175" s="16"/>
      <c r="AE175" s="16"/>
      <c r="AF175" s="16"/>
      <c r="AG175" s="16"/>
      <c r="AH175" s="16"/>
      <c r="AI175" s="68" t="e">
        <f t="shared" si="33"/>
        <v>#NUM!</v>
      </c>
      <c r="AJ175" s="68" t="e">
        <f t="shared" si="34"/>
        <v>#NUM!</v>
      </c>
      <c r="AK175" s="68">
        <f t="shared" si="35"/>
        <v>-120.26575342465753</v>
      </c>
      <c r="AL175" s="16"/>
      <c r="AM175" s="16"/>
      <c r="AN175" s="16"/>
      <c r="AO175" s="16"/>
      <c r="AP175" s="16"/>
      <c r="AQ175" s="16"/>
      <c r="AR175" s="16"/>
      <c r="AS175" s="16"/>
      <c r="AT175" s="68" t="e">
        <f t="shared" si="36"/>
        <v>#NUM!</v>
      </c>
      <c r="AU175" s="68" t="e">
        <f t="shared" si="37"/>
        <v>#NUM!</v>
      </c>
      <c r="AV175" s="68">
        <f t="shared" si="38"/>
        <v>-120.26575342465753</v>
      </c>
      <c r="AW175" s="16"/>
      <c r="AX175" s="16"/>
      <c r="AY175" s="68" t="e">
        <f t="shared" si="39"/>
        <v>#NUM!</v>
      </c>
      <c r="AZ175" s="68" t="e">
        <f t="shared" si="40"/>
        <v>#NUM!</v>
      </c>
      <c r="BA175" s="68">
        <f t="shared" si="41"/>
        <v>-120.26575342465753</v>
      </c>
      <c r="BB175" s="16"/>
      <c r="BC175" s="16"/>
      <c r="BD175" s="68" t="e">
        <f t="shared" si="42"/>
        <v>#NUM!</v>
      </c>
      <c r="BE175" s="68" t="e">
        <f t="shared" si="43"/>
        <v>#NUM!</v>
      </c>
      <c r="BF175" s="68">
        <f t="shared" si="44"/>
        <v>-120.26575342465753</v>
      </c>
      <c r="BG175" s="16"/>
      <c r="BH175" s="16"/>
    </row>
    <row r="176" spans="1:60" s="114" customFormat="1" ht="16">
      <c r="A176" s="16" t="s">
        <v>718</v>
      </c>
      <c r="B176" s="16">
        <v>22103953</v>
      </c>
      <c r="C176" s="16" t="s">
        <v>719</v>
      </c>
      <c r="D176" s="77">
        <v>43961</v>
      </c>
      <c r="E176" s="77">
        <v>43961</v>
      </c>
      <c r="F176" s="77">
        <v>43961</v>
      </c>
      <c r="G176" s="16" t="s">
        <v>39</v>
      </c>
      <c r="H176" s="78">
        <v>44114</v>
      </c>
      <c r="I176" s="78">
        <v>44326</v>
      </c>
      <c r="J176" s="16"/>
      <c r="K176" s="16"/>
      <c r="L176" s="68" t="e">
        <f t="shared" si="30"/>
        <v>#NUM!</v>
      </c>
      <c r="M176" s="68" t="e">
        <f t="shared" si="31"/>
        <v>#NUM!</v>
      </c>
      <c r="N176" s="68">
        <f t="shared" si="32"/>
        <v>-120.44109589041096</v>
      </c>
      <c r="O176" s="16"/>
      <c r="P176" s="16"/>
      <c r="Q176" s="16"/>
      <c r="R176" s="16"/>
      <c r="S176" s="16"/>
      <c r="T176" s="16"/>
      <c r="U176" s="16"/>
      <c r="V176" s="16"/>
      <c r="W176" s="16"/>
      <c r="X176" s="16"/>
      <c r="Y176" s="16"/>
      <c r="Z176" s="16"/>
      <c r="AA176" s="16"/>
      <c r="AB176" s="16"/>
      <c r="AC176" s="16"/>
      <c r="AD176" s="16"/>
      <c r="AE176" s="16"/>
      <c r="AF176" s="16"/>
      <c r="AG176" s="16"/>
      <c r="AH176" s="16"/>
      <c r="AI176" s="68" t="e">
        <f t="shared" si="33"/>
        <v>#NUM!</v>
      </c>
      <c r="AJ176" s="68" t="e">
        <f t="shared" si="34"/>
        <v>#NUM!</v>
      </c>
      <c r="AK176" s="68">
        <f t="shared" si="35"/>
        <v>-120.44109589041096</v>
      </c>
      <c r="AL176" s="16"/>
      <c r="AM176" s="16"/>
      <c r="AN176" s="16"/>
      <c r="AO176" s="16"/>
      <c r="AP176" s="16"/>
      <c r="AQ176" s="16"/>
      <c r="AR176" s="16"/>
      <c r="AS176" s="16"/>
      <c r="AT176" s="68" t="e">
        <f t="shared" si="36"/>
        <v>#NUM!</v>
      </c>
      <c r="AU176" s="68" t="e">
        <f t="shared" si="37"/>
        <v>#NUM!</v>
      </c>
      <c r="AV176" s="68">
        <f t="shared" si="38"/>
        <v>-120.44109589041096</v>
      </c>
      <c r="AW176" s="16"/>
      <c r="AX176" s="16"/>
      <c r="AY176" s="68" t="e">
        <f t="shared" si="39"/>
        <v>#NUM!</v>
      </c>
      <c r="AZ176" s="68" t="e">
        <f t="shared" si="40"/>
        <v>#NUM!</v>
      </c>
      <c r="BA176" s="68">
        <f t="shared" si="41"/>
        <v>-120.44109589041096</v>
      </c>
      <c r="BB176" s="16"/>
      <c r="BC176" s="16"/>
      <c r="BD176" s="68" t="e">
        <f t="shared" si="42"/>
        <v>#NUM!</v>
      </c>
      <c r="BE176" s="68" t="e">
        <f t="shared" si="43"/>
        <v>#NUM!</v>
      </c>
      <c r="BF176" s="68">
        <f t="shared" si="44"/>
        <v>-120.44109589041096</v>
      </c>
      <c r="BG176" s="16"/>
      <c r="BH176" s="16"/>
    </row>
    <row r="177" spans="1:84" ht="16">
      <c r="A177" s="2" t="s">
        <v>722</v>
      </c>
      <c r="B177" s="2">
        <v>22109329</v>
      </c>
      <c r="C177" s="2" t="s">
        <v>723</v>
      </c>
      <c r="D177" s="23">
        <v>44505</v>
      </c>
      <c r="E177" s="23">
        <v>44516</v>
      </c>
      <c r="F177" s="23">
        <v>44505</v>
      </c>
      <c r="G177" s="2" t="s">
        <v>658</v>
      </c>
      <c r="H177" s="55">
        <v>44667</v>
      </c>
      <c r="I177" s="55">
        <v>44881</v>
      </c>
      <c r="J177" s="23">
        <v>44726</v>
      </c>
      <c r="K177" s="23">
        <v>44726</v>
      </c>
      <c r="L177" s="3" t="str">
        <f t="shared" si="30"/>
        <v>0Y7M9D</v>
      </c>
      <c r="M177" s="3" t="str">
        <f t="shared" si="31"/>
        <v>0Y6M29D</v>
      </c>
      <c r="N177" s="3">
        <f t="shared" si="32"/>
        <v>0.60547945205479448</v>
      </c>
      <c r="O177" s="2">
        <v>5</v>
      </c>
      <c r="P177" s="2">
        <v>2</v>
      </c>
      <c r="Q177" s="2" t="s">
        <v>1669</v>
      </c>
      <c r="R177" s="2">
        <v>4</v>
      </c>
      <c r="S177" s="2">
        <v>1</v>
      </c>
      <c r="T177" s="2"/>
      <c r="U177" s="2" t="s">
        <v>1673</v>
      </c>
      <c r="V177" s="2" t="s">
        <v>1661</v>
      </c>
      <c r="W177" s="2">
        <v>2</v>
      </c>
      <c r="X177" s="2">
        <v>1</v>
      </c>
      <c r="Y177" s="2">
        <v>2</v>
      </c>
      <c r="Z177" s="2">
        <v>1</v>
      </c>
      <c r="AA177" s="2">
        <v>2</v>
      </c>
      <c r="AB177" s="2"/>
      <c r="AC177" s="2" t="s">
        <v>1673</v>
      </c>
      <c r="AD177" s="2">
        <v>2</v>
      </c>
      <c r="AE177" s="2">
        <v>1</v>
      </c>
      <c r="AF177" s="2">
        <v>2</v>
      </c>
      <c r="AG177" s="2">
        <v>1</v>
      </c>
      <c r="AH177" s="23">
        <v>44698</v>
      </c>
      <c r="AI177" s="3" t="str">
        <f t="shared" si="33"/>
        <v>0Y6M12D</v>
      </c>
      <c r="AJ177" s="3" t="str">
        <f t="shared" si="34"/>
        <v>0Y6M1D</v>
      </c>
      <c r="AK177" s="3">
        <f t="shared" si="35"/>
        <v>0.52876712328767128</v>
      </c>
      <c r="AL177" s="2">
        <v>3</v>
      </c>
      <c r="AM177" s="2">
        <v>1</v>
      </c>
      <c r="AN177" s="2">
        <v>2</v>
      </c>
      <c r="AO177" s="2">
        <v>1</v>
      </c>
      <c r="AP177" s="2">
        <v>3</v>
      </c>
      <c r="AQ177" s="2">
        <v>3</v>
      </c>
      <c r="AR177" s="2"/>
      <c r="AS177" s="23">
        <v>44697</v>
      </c>
      <c r="AT177" s="3" t="str">
        <f t="shared" si="36"/>
        <v>0Y6M11D</v>
      </c>
      <c r="AU177" s="3" t="str">
        <f t="shared" si="37"/>
        <v>0Y6M0D</v>
      </c>
      <c r="AV177" s="3">
        <f t="shared" si="38"/>
        <v>0.52602739726027392</v>
      </c>
      <c r="AW177" s="2">
        <v>8</v>
      </c>
      <c r="AX177" s="23">
        <v>44723</v>
      </c>
      <c r="AY177" s="3" t="str">
        <f t="shared" si="39"/>
        <v>0Y7M6D</v>
      </c>
      <c r="AZ177" s="3" t="str">
        <f t="shared" si="40"/>
        <v>0Y6M26D</v>
      </c>
      <c r="BA177" s="3">
        <f t="shared" si="41"/>
        <v>0.59726027397260273</v>
      </c>
      <c r="BB177" s="2">
        <v>8</v>
      </c>
      <c r="BC177" s="23">
        <v>44698</v>
      </c>
      <c r="BD177" s="3" t="str">
        <f t="shared" si="42"/>
        <v>0Y6M12D</v>
      </c>
      <c r="BE177" s="3" t="str">
        <f t="shared" si="43"/>
        <v>0Y6M1D</v>
      </c>
      <c r="BF177" s="3">
        <f t="shared" si="44"/>
        <v>0.52876712328767128</v>
      </c>
      <c r="BG177" s="2">
        <v>1</v>
      </c>
      <c r="BH177" s="2">
        <v>1</v>
      </c>
    </row>
    <row r="178" spans="1:84" ht="16">
      <c r="A178" s="2" t="s">
        <v>726</v>
      </c>
      <c r="B178" s="2">
        <v>22108528</v>
      </c>
      <c r="C178" s="2" t="s">
        <v>727</v>
      </c>
      <c r="D178" s="23">
        <v>44413</v>
      </c>
      <c r="E178" s="23">
        <v>44418</v>
      </c>
      <c r="F178" s="23">
        <v>44413</v>
      </c>
      <c r="G178" s="2" t="s">
        <v>110</v>
      </c>
      <c r="H178" s="55">
        <v>44571</v>
      </c>
      <c r="I178" s="55">
        <v>44783</v>
      </c>
      <c r="J178" s="23">
        <v>44601</v>
      </c>
      <c r="K178" s="23">
        <v>44601</v>
      </c>
      <c r="L178" s="3" t="str">
        <f t="shared" si="30"/>
        <v>0Y6M4D</v>
      </c>
      <c r="M178" s="3" t="str">
        <f t="shared" si="31"/>
        <v>0Y5M30D</v>
      </c>
      <c r="N178" s="3">
        <f t="shared" si="32"/>
        <v>0.51506849315068493</v>
      </c>
      <c r="O178" s="2">
        <v>5</v>
      </c>
      <c r="P178" s="2">
        <v>2</v>
      </c>
      <c r="Q178" s="2"/>
      <c r="R178" s="2">
        <v>4</v>
      </c>
      <c r="S178" s="2">
        <v>1</v>
      </c>
      <c r="T178" s="2"/>
      <c r="U178" s="2" t="s">
        <v>1671</v>
      </c>
      <c r="V178" s="2" t="s">
        <v>1661</v>
      </c>
      <c r="W178" s="2">
        <v>2</v>
      </c>
      <c r="X178" s="2">
        <v>1</v>
      </c>
      <c r="Y178" s="2">
        <v>2</v>
      </c>
      <c r="Z178" s="2">
        <v>1</v>
      </c>
      <c r="AA178" s="2">
        <v>2</v>
      </c>
      <c r="AB178" s="2"/>
      <c r="AC178" s="2" t="s">
        <v>1738</v>
      </c>
      <c r="AD178" s="2">
        <v>2</v>
      </c>
      <c r="AE178" s="2">
        <v>1</v>
      </c>
      <c r="AF178" s="2">
        <v>2</v>
      </c>
      <c r="AG178" s="2">
        <v>1</v>
      </c>
      <c r="AH178" s="23">
        <v>44601</v>
      </c>
      <c r="AI178" s="3" t="str">
        <f t="shared" si="33"/>
        <v>0Y6M4D</v>
      </c>
      <c r="AJ178" s="3" t="str">
        <f t="shared" si="34"/>
        <v>0Y5M30D</v>
      </c>
      <c r="AK178" s="3">
        <f t="shared" si="35"/>
        <v>0.51506849315068493</v>
      </c>
      <c r="AL178" s="2">
        <v>3</v>
      </c>
      <c r="AM178" s="2">
        <v>1</v>
      </c>
      <c r="AN178" s="2">
        <v>2</v>
      </c>
      <c r="AO178" s="2">
        <v>1</v>
      </c>
      <c r="AP178" s="2">
        <v>3</v>
      </c>
      <c r="AQ178" s="2">
        <v>2</v>
      </c>
      <c r="AR178" s="2" t="s">
        <v>1751</v>
      </c>
      <c r="AS178" s="23">
        <v>44599</v>
      </c>
      <c r="AT178" s="3" t="str">
        <f t="shared" si="36"/>
        <v>0Y6M2D</v>
      </c>
      <c r="AU178" s="3" t="str">
        <f t="shared" si="37"/>
        <v>0Y5M28D</v>
      </c>
      <c r="AV178" s="3">
        <f t="shared" si="38"/>
        <v>0.50958904109589043</v>
      </c>
      <c r="AW178" s="2">
        <v>8</v>
      </c>
      <c r="AX178" s="23">
        <v>44600</v>
      </c>
      <c r="AY178" s="3" t="str">
        <f t="shared" si="39"/>
        <v>0Y6M3D</v>
      </c>
      <c r="AZ178" s="3" t="str">
        <f t="shared" si="40"/>
        <v>0Y5M29D</v>
      </c>
      <c r="BA178" s="3">
        <f t="shared" si="41"/>
        <v>0.51232876712328768</v>
      </c>
      <c r="BB178" s="2">
        <v>8</v>
      </c>
      <c r="BC178" s="23">
        <v>44601</v>
      </c>
      <c r="BD178" s="3" t="str">
        <f t="shared" si="42"/>
        <v>0Y6M4D</v>
      </c>
      <c r="BE178" s="3" t="str">
        <f t="shared" si="43"/>
        <v>0Y5M30D</v>
      </c>
      <c r="BF178" s="3">
        <f t="shared" si="44"/>
        <v>0.51506849315068493</v>
      </c>
      <c r="BG178" s="2">
        <v>1</v>
      </c>
      <c r="BH178" s="2">
        <v>1</v>
      </c>
    </row>
    <row r="179" spans="1:84" ht="16">
      <c r="A179" s="2" t="s">
        <v>729</v>
      </c>
      <c r="B179" s="2">
        <v>22108317</v>
      </c>
      <c r="C179" s="2" t="s">
        <v>730</v>
      </c>
      <c r="D179" s="23">
        <v>44391</v>
      </c>
      <c r="E179" s="23">
        <v>44497</v>
      </c>
      <c r="F179" s="23">
        <v>44497</v>
      </c>
      <c r="G179" s="2" t="s">
        <v>732</v>
      </c>
      <c r="H179" s="55">
        <v>44648</v>
      </c>
      <c r="I179" s="55">
        <v>44862</v>
      </c>
      <c r="J179" s="23">
        <v>44677</v>
      </c>
      <c r="K179" s="23">
        <v>44677</v>
      </c>
      <c r="L179" s="3" t="str">
        <f t="shared" si="30"/>
        <v>0Y9M12D</v>
      </c>
      <c r="M179" s="3" t="str">
        <f t="shared" si="31"/>
        <v>0Y5M29D</v>
      </c>
      <c r="N179" s="3">
        <f t="shared" si="32"/>
        <v>0.49315068493150682</v>
      </c>
      <c r="O179" s="2">
        <v>5</v>
      </c>
      <c r="P179" s="2">
        <v>2</v>
      </c>
      <c r="Q179" s="2"/>
      <c r="R179" s="2">
        <v>4</v>
      </c>
      <c r="S179" s="2">
        <v>1</v>
      </c>
      <c r="T179" s="2"/>
      <c r="U179" s="2" t="s">
        <v>1670</v>
      </c>
      <c r="V179" s="2" t="s">
        <v>1661</v>
      </c>
      <c r="W179" s="2">
        <v>2</v>
      </c>
      <c r="X179" s="2">
        <v>1</v>
      </c>
      <c r="Y179" s="2">
        <v>2</v>
      </c>
      <c r="Z179" s="2">
        <v>1</v>
      </c>
      <c r="AA179" s="2">
        <v>3</v>
      </c>
      <c r="AB179" s="2"/>
      <c r="AC179" s="2" t="s">
        <v>1671</v>
      </c>
      <c r="AD179" s="2">
        <v>2</v>
      </c>
      <c r="AE179" s="2">
        <v>1</v>
      </c>
      <c r="AF179" s="2">
        <v>2</v>
      </c>
      <c r="AG179" s="2">
        <v>1</v>
      </c>
      <c r="AH179" s="23">
        <v>44705</v>
      </c>
      <c r="AI179" s="3" t="str">
        <f t="shared" si="33"/>
        <v>0Y10M10D</v>
      </c>
      <c r="AJ179" s="3" t="str">
        <f t="shared" si="34"/>
        <v>0Y6M26D</v>
      </c>
      <c r="AK179" s="3">
        <f t="shared" si="35"/>
        <v>0.56986301369863013</v>
      </c>
      <c r="AL179" s="2">
        <v>3</v>
      </c>
      <c r="AM179" s="2">
        <v>1</v>
      </c>
      <c r="AN179" s="2">
        <v>2</v>
      </c>
      <c r="AO179" s="2">
        <v>1</v>
      </c>
      <c r="AP179" s="2">
        <v>3</v>
      </c>
      <c r="AQ179" s="2">
        <v>3</v>
      </c>
      <c r="AR179" s="2"/>
      <c r="AS179" s="23">
        <v>44676</v>
      </c>
      <c r="AT179" s="3" t="str">
        <f t="shared" si="36"/>
        <v>0Y9M11D</v>
      </c>
      <c r="AU179" s="3" t="str">
        <f t="shared" si="37"/>
        <v>0Y5M28D</v>
      </c>
      <c r="AV179" s="3">
        <f t="shared" si="38"/>
        <v>0.49041095890410957</v>
      </c>
      <c r="AW179" s="2">
        <v>8</v>
      </c>
      <c r="AX179" s="23">
        <v>44676</v>
      </c>
      <c r="AY179" s="3" t="str">
        <f t="shared" si="39"/>
        <v>0Y9M11D</v>
      </c>
      <c r="AZ179" s="3" t="str">
        <f t="shared" si="40"/>
        <v>0Y5M28D</v>
      </c>
      <c r="BA179" s="3">
        <f t="shared" si="41"/>
        <v>0.49041095890410957</v>
      </c>
      <c r="BB179" s="2">
        <v>8</v>
      </c>
      <c r="BC179" s="23">
        <v>44677</v>
      </c>
      <c r="BD179" s="3" t="str">
        <f t="shared" si="42"/>
        <v>0Y9M12D</v>
      </c>
      <c r="BE179" s="3" t="str">
        <f t="shared" si="43"/>
        <v>0Y5M29D</v>
      </c>
      <c r="BF179" s="3">
        <f t="shared" si="44"/>
        <v>0.49315068493150682</v>
      </c>
      <c r="BG179" s="2">
        <v>1</v>
      </c>
      <c r="BH179" s="2">
        <v>1</v>
      </c>
    </row>
    <row r="180" spans="1:84" s="127" customFormat="1" ht="16">
      <c r="A180" s="20" t="s">
        <v>734</v>
      </c>
      <c r="B180" s="20">
        <v>22104263</v>
      </c>
      <c r="C180" s="134" t="s">
        <v>735</v>
      </c>
      <c r="D180" s="45">
        <v>43993</v>
      </c>
      <c r="E180" s="45">
        <v>43993</v>
      </c>
      <c r="F180" s="45">
        <v>43993</v>
      </c>
      <c r="G180" s="20" t="s">
        <v>39</v>
      </c>
      <c r="H180" s="85">
        <v>44146</v>
      </c>
      <c r="I180" s="85">
        <v>44358</v>
      </c>
      <c r="J180" s="20"/>
      <c r="K180" s="20"/>
      <c r="L180" s="71" t="e">
        <f t="shared" si="30"/>
        <v>#NUM!</v>
      </c>
      <c r="M180" s="71" t="e">
        <f t="shared" si="31"/>
        <v>#NUM!</v>
      </c>
      <c r="N180" s="71">
        <f t="shared" si="32"/>
        <v>-120.52876712328766</v>
      </c>
      <c r="O180" s="20"/>
      <c r="P180" s="20"/>
      <c r="Q180" s="20"/>
      <c r="R180" s="20"/>
      <c r="S180" s="20"/>
      <c r="T180" s="20"/>
      <c r="U180" s="20"/>
      <c r="V180" s="20"/>
      <c r="W180" s="20"/>
      <c r="X180" s="20"/>
      <c r="Y180" s="20"/>
      <c r="Z180" s="20"/>
      <c r="AA180" s="20"/>
      <c r="AB180" s="20"/>
      <c r="AC180" s="20"/>
      <c r="AD180" s="20"/>
      <c r="AE180" s="20"/>
      <c r="AF180" s="20"/>
      <c r="AG180" s="20"/>
      <c r="AH180" s="20"/>
      <c r="AI180" s="71" t="e">
        <f t="shared" si="33"/>
        <v>#NUM!</v>
      </c>
      <c r="AJ180" s="71" t="e">
        <f t="shared" si="34"/>
        <v>#NUM!</v>
      </c>
      <c r="AK180" s="71">
        <f t="shared" si="35"/>
        <v>-120.52876712328766</v>
      </c>
      <c r="AL180" s="20"/>
      <c r="AM180" s="20"/>
      <c r="AN180" s="20"/>
      <c r="AO180" s="20"/>
      <c r="AP180" s="20"/>
      <c r="AQ180" s="20"/>
      <c r="AR180" s="20"/>
      <c r="AS180" s="20"/>
      <c r="AT180" s="71" t="e">
        <f t="shared" si="36"/>
        <v>#NUM!</v>
      </c>
      <c r="AU180" s="71" t="e">
        <f t="shared" si="37"/>
        <v>#NUM!</v>
      </c>
      <c r="AV180" s="71">
        <f t="shared" si="38"/>
        <v>-120.52876712328766</v>
      </c>
      <c r="AW180" s="20"/>
      <c r="AX180" s="20"/>
      <c r="AY180" s="71" t="e">
        <f t="shared" si="39"/>
        <v>#NUM!</v>
      </c>
      <c r="AZ180" s="71" t="e">
        <f t="shared" si="40"/>
        <v>#NUM!</v>
      </c>
      <c r="BA180" s="71">
        <f t="shared" si="41"/>
        <v>-120.52876712328766</v>
      </c>
      <c r="BB180" s="20"/>
      <c r="BC180" s="20"/>
      <c r="BD180" s="71" t="e">
        <f t="shared" si="42"/>
        <v>#NUM!</v>
      </c>
      <c r="BE180" s="71" t="e">
        <f t="shared" si="43"/>
        <v>#NUM!</v>
      </c>
      <c r="BF180" s="71">
        <f t="shared" si="44"/>
        <v>-120.52876712328766</v>
      </c>
      <c r="BG180" s="20"/>
      <c r="BH180" s="20">
        <v>0</v>
      </c>
    </row>
    <row r="181" spans="1:84" ht="16">
      <c r="A181" s="2" t="s">
        <v>737</v>
      </c>
      <c r="B181" s="2">
        <v>22109759</v>
      </c>
      <c r="C181" s="53" t="s">
        <v>738</v>
      </c>
      <c r="D181" s="23">
        <v>44552</v>
      </c>
      <c r="E181" s="23">
        <v>44572</v>
      </c>
      <c r="F181" s="23">
        <v>44552</v>
      </c>
      <c r="G181" s="2" t="s">
        <v>740</v>
      </c>
      <c r="H181" s="55">
        <v>44723</v>
      </c>
      <c r="I181" s="55">
        <v>44937</v>
      </c>
      <c r="J181" s="23">
        <v>44727</v>
      </c>
      <c r="K181" s="23">
        <v>44727</v>
      </c>
      <c r="L181" s="3" t="str">
        <f t="shared" si="30"/>
        <v>0Y5M24D</v>
      </c>
      <c r="M181" s="3" t="str">
        <f t="shared" si="31"/>
        <v>0Y5M4D</v>
      </c>
      <c r="N181" s="3">
        <f t="shared" si="32"/>
        <v>0.47945205479452052</v>
      </c>
      <c r="O181" s="2">
        <v>5</v>
      </c>
      <c r="P181" s="2">
        <v>3</v>
      </c>
      <c r="Q181" s="2" t="s">
        <v>1665</v>
      </c>
      <c r="R181" s="2">
        <v>4</v>
      </c>
      <c r="S181" s="2">
        <v>1</v>
      </c>
      <c r="T181" s="2">
        <v>1</v>
      </c>
      <c r="U181" s="2" t="s">
        <v>1701</v>
      </c>
      <c r="V181" s="2" t="s">
        <v>1661</v>
      </c>
      <c r="W181" s="2">
        <v>2</v>
      </c>
      <c r="X181" s="2">
        <v>1</v>
      </c>
      <c r="Y181" s="2">
        <v>2</v>
      </c>
      <c r="Z181" s="2">
        <v>1</v>
      </c>
      <c r="AA181" s="2">
        <v>3</v>
      </c>
      <c r="AB181" s="2">
        <v>1</v>
      </c>
      <c r="AC181" s="2" t="s">
        <v>1666</v>
      </c>
      <c r="AD181" s="2">
        <v>2</v>
      </c>
      <c r="AE181" s="2">
        <v>1</v>
      </c>
      <c r="AF181" s="2">
        <v>2</v>
      </c>
      <c r="AG181" s="2">
        <v>1</v>
      </c>
      <c r="AH181" s="23">
        <v>44747</v>
      </c>
      <c r="AI181" s="3" t="str">
        <f t="shared" si="33"/>
        <v>0Y6M13D</v>
      </c>
      <c r="AJ181" s="3" t="str">
        <f t="shared" si="34"/>
        <v>0Y5M24D</v>
      </c>
      <c r="AK181" s="3">
        <f t="shared" si="35"/>
        <v>0.53424657534246578</v>
      </c>
      <c r="AL181" s="2">
        <v>3</v>
      </c>
      <c r="AM181" s="2">
        <v>1</v>
      </c>
      <c r="AN181" s="2">
        <v>2</v>
      </c>
      <c r="AO181" s="2">
        <v>1</v>
      </c>
      <c r="AP181" s="2">
        <v>3</v>
      </c>
      <c r="AQ181" s="2">
        <v>3</v>
      </c>
      <c r="AR181" s="2"/>
      <c r="AS181" s="23">
        <v>44724</v>
      </c>
      <c r="AT181" s="3" t="str">
        <f t="shared" si="36"/>
        <v>0Y5M21D</v>
      </c>
      <c r="AU181" s="3" t="str">
        <f t="shared" si="37"/>
        <v>0Y5M1D</v>
      </c>
      <c r="AV181" s="3">
        <f t="shared" si="38"/>
        <v>0.47123287671232877</v>
      </c>
      <c r="AW181" s="2">
        <v>8</v>
      </c>
      <c r="AX181" s="23">
        <v>43936</v>
      </c>
      <c r="AY181" s="3" t="e">
        <f t="shared" si="39"/>
        <v>#NUM!</v>
      </c>
      <c r="AZ181" s="3" t="e">
        <f t="shared" si="40"/>
        <v>#NUM!</v>
      </c>
      <c r="BA181" s="3">
        <f t="shared" si="41"/>
        <v>-1.6876712328767123</v>
      </c>
      <c r="BB181" s="2">
        <v>8</v>
      </c>
      <c r="BC181" s="23">
        <v>44727</v>
      </c>
      <c r="BD181" s="3" t="str">
        <f t="shared" si="42"/>
        <v>0Y5M24D</v>
      </c>
      <c r="BE181" s="3" t="str">
        <f t="shared" si="43"/>
        <v>0Y5M4D</v>
      </c>
      <c r="BF181" s="3">
        <f t="shared" si="44"/>
        <v>0.47945205479452052</v>
      </c>
      <c r="BG181" s="2">
        <v>1</v>
      </c>
      <c r="BH181" s="2">
        <v>0</v>
      </c>
    </row>
    <row r="182" spans="1:84" ht="16">
      <c r="A182" s="2" t="s">
        <v>742</v>
      </c>
      <c r="B182" s="2">
        <v>16903095</v>
      </c>
      <c r="C182" s="53" t="s">
        <v>743</v>
      </c>
      <c r="D182" s="23">
        <v>44523</v>
      </c>
      <c r="E182" s="23">
        <v>44526</v>
      </c>
      <c r="F182" s="23">
        <v>44523</v>
      </c>
      <c r="G182" s="2" t="s">
        <v>745</v>
      </c>
      <c r="H182" s="55">
        <v>44677</v>
      </c>
      <c r="I182" s="55">
        <v>44891</v>
      </c>
      <c r="J182" s="23">
        <v>44721</v>
      </c>
      <c r="K182" s="23">
        <v>44719</v>
      </c>
      <c r="L182" s="3" t="str">
        <f t="shared" si="30"/>
        <v>0Y6M15D</v>
      </c>
      <c r="M182" s="3" t="str">
        <f t="shared" si="31"/>
        <v>0Y6M12D</v>
      </c>
      <c r="N182" s="3">
        <f t="shared" si="32"/>
        <v>0.53698630136986303</v>
      </c>
      <c r="O182" s="2">
        <v>5</v>
      </c>
      <c r="P182" s="2">
        <v>2</v>
      </c>
      <c r="Q182" s="2" t="s">
        <v>1665</v>
      </c>
      <c r="R182" s="2">
        <v>4</v>
      </c>
      <c r="S182" s="2">
        <v>1</v>
      </c>
      <c r="T182" s="2">
        <v>1</v>
      </c>
      <c r="U182" s="2" t="s">
        <v>1679</v>
      </c>
      <c r="V182" s="2" t="s">
        <v>1661</v>
      </c>
      <c r="W182" s="2">
        <v>2</v>
      </c>
      <c r="X182" s="2">
        <v>1</v>
      </c>
      <c r="Y182" s="2">
        <v>2</v>
      </c>
      <c r="Z182" s="2">
        <v>1</v>
      </c>
      <c r="AA182" s="2">
        <v>3</v>
      </c>
      <c r="AB182" s="2">
        <v>1</v>
      </c>
      <c r="AC182" s="2" t="s">
        <v>1669</v>
      </c>
      <c r="AD182" s="2">
        <v>2</v>
      </c>
      <c r="AE182" s="2">
        <v>1</v>
      </c>
      <c r="AF182" s="2">
        <v>2</v>
      </c>
      <c r="AG182" s="2">
        <v>1</v>
      </c>
      <c r="AH182" s="23">
        <v>44719</v>
      </c>
      <c r="AI182" s="3" t="str">
        <f t="shared" si="33"/>
        <v>0Y6M15D</v>
      </c>
      <c r="AJ182" s="3" t="str">
        <f t="shared" si="34"/>
        <v>0Y6M12D</v>
      </c>
      <c r="AK182" s="3">
        <f t="shared" si="35"/>
        <v>0.53698630136986303</v>
      </c>
      <c r="AL182" s="2">
        <v>3</v>
      </c>
      <c r="AM182" s="2">
        <v>1</v>
      </c>
      <c r="AN182" s="2">
        <v>2</v>
      </c>
      <c r="AO182" s="2">
        <v>1</v>
      </c>
      <c r="AP182" s="2">
        <v>3</v>
      </c>
      <c r="AQ182" s="2">
        <v>3</v>
      </c>
      <c r="AR182" s="2"/>
      <c r="AS182" s="23">
        <v>44718</v>
      </c>
      <c r="AT182" s="3" t="str">
        <f t="shared" si="36"/>
        <v>0Y6M14D</v>
      </c>
      <c r="AU182" s="3" t="str">
        <f t="shared" si="37"/>
        <v>0Y6M11D</v>
      </c>
      <c r="AV182" s="3">
        <f t="shared" si="38"/>
        <v>0.53424657534246578</v>
      </c>
      <c r="AW182" s="2">
        <v>8</v>
      </c>
      <c r="AX182" s="2"/>
      <c r="AY182" s="3" t="e">
        <f t="shared" si="39"/>
        <v>#NUM!</v>
      </c>
      <c r="AZ182" s="3" t="e">
        <f t="shared" si="40"/>
        <v>#NUM!</v>
      </c>
      <c r="BA182" s="3">
        <f t="shared" si="41"/>
        <v>-121.98082191780821</v>
      </c>
      <c r="BB182" s="2"/>
      <c r="BC182" s="23">
        <v>44719</v>
      </c>
      <c r="BD182" s="3" t="str">
        <f t="shared" si="42"/>
        <v>0Y6M15D</v>
      </c>
      <c r="BE182" s="3" t="str">
        <f t="shared" si="43"/>
        <v>0Y6M12D</v>
      </c>
      <c r="BF182" s="3">
        <f t="shared" si="44"/>
        <v>0.53698630136986303</v>
      </c>
      <c r="BG182" s="2">
        <v>1</v>
      </c>
      <c r="BH182" s="2">
        <v>0</v>
      </c>
    </row>
    <row r="183" spans="1:84" ht="16">
      <c r="A183" s="2" t="s">
        <v>747</v>
      </c>
      <c r="B183" s="2">
        <v>22109538</v>
      </c>
      <c r="C183" s="53" t="s">
        <v>748</v>
      </c>
      <c r="D183" s="23">
        <v>44526</v>
      </c>
      <c r="E183" s="23">
        <v>44541</v>
      </c>
      <c r="F183" s="23">
        <v>44526</v>
      </c>
      <c r="G183" s="2" t="s">
        <v>750</v>
      </c>
      <c r="H183" s="55">
        <v>44692</v>
      </c>
      <c r="I183" s="55">
        <v>44906</v>
      </c>
      <c r="J183" s="23">
        <v>44732</v>
      </c>
      <c r="K183" s="23">
        <v>44732</v>
      </c>
      <c r="L183" s="3" t="str">
        <f t="shared" si="30"/>
        <v>0Y6M25D</v>
      </c>
      <c r="M183" s="3" t="str">
        <f t="shared" si="31"/>
        <v>0Y6M9D</v>
      </c>
      <c r="N183" s="3">
        <f t="shared" si="32"/>
        <v>0.56438356164383563</v>
      </c>
      <c r="O183" s="2">
        <v>5</v>
      </c>
      <c r="P183" s="2">
        <v>3</v>
      </c>
      <c r="Q183" s="2"/>
      <c r="R183" s="2">
        <v>4</v>
      </c>
      <c r="S183" s="2">
        <v>1</v>
      </c>
      <c r="T183" s="2">
        <v>1</v>
      </c>
      <c r="U183" s="2" t="s">
        <v>1701</v>
      </c>
      <c r="V183" s="2" t="s">
        <v>1661</v>
      </c>
      <c r="W183" s="2">
        <v>2</v>
      </c>
      <c r="X183" s="2">
        <v>1</v>
      </c>
      <c r="Y183" s="2">
        <v>2</v>
      </c>
      <c r="Z183" s="2">
        <v>1</v>
      </c>
      <c r="AA183" s="2">
        <v>3</v>
      </c>
      <c r="AB183" s="2">
        <v>1</v>
      </c>
      <c r="AC183" s="2"/>
      <c r="AD183" s="2">
        <v>2</v>
      </c>
      <c r="AE183" s="2">
        <v>1</v>
      </c>
      <c r="AF183" s="2">
        <v>2</v>
      </c>
      <c r="AG183" s="2">
        <v>1</v>
      </c>
      <c r="AH183" s="23">
        <v>44732</v>
      </c>
      <c r="AI183" s="3" t="str">
        <f t="shared" si="33"/>
        <v>0Y6M25D</v>
      </c>
      <c r="AJ183" s="3" t="str">
        <f t="shared" si="34"/>
        <v>0Y6M9D</v>
      </c>
      <c r="AK183" s="3">
        <f t="shared" si="35"/>
        <v>0.56438356164383563</v>
      </c>
      <c r="AL183" s="2">
        <v>3</v>
      </c>
      <c r="AM183" s="2">
        <v>1</v>
      </c>
      <c r="AN183" s="2">
        <v>2</v>
      </c>
      <c r="AO183" s="2">
        <v>1</v>
      </c>
      <c r="AP183" s="2">
        <v>3</v>
      </c>
      <c r="AQ183" s="2">
        <v>3</v>
      </c>
      <c r="AR183" s="2"/>
      <c r="AS183" s="23">
        <v>44730</v>
      </c>
      <c r="AT183" s="3" t="str">
        <f t="shared" si="36"/>
        <v>0Y6M23D</v>
      </c>
      <c r="AU183" s="3" t="str">
        <f t="shared" si="37"/>
        <v>0Y6M7D</v>
      </c>
      <c r="AV183" s="3">
        <f t="shared" si="38"/>
        <v>0.55890410958904113</v>
      </c>
      <c r="AW183" s="2">
        <v>8</v>
      </c>
      <c r="AX183" s="23">
        <v>44732</v>
      </c>
      <c r="AY183" s="3" t="str">
        <f t="shared" si="39"/>
        <v>0Y6M25D</v>
      </c>
      <c r="AZ183" s="3" t="str">
        <f t="shared" si="40"/>
        <v>0Y6M9D</v>
      </c>
      <c r="BA183" s="3">
        <f t="shared" si="41"/>
        <v>0.56438356164383563</v>
      </c>
      <c r="BB183" s="2">
        <v>8</v>
      </c>
      <c r="BC183" s="23">
        <v>44732</v>
      </c>
      <c r="BD183" s="3" t="str">
        <f t="shared" si="42"/>
        <v>0Y6M25D</v>
      </c>
      <c r="BE183" s="3" t="str">
        <f t="shared" si="43"/>
        <v>0Y6M9D</v>
      </c>
      <c r="BF183" s="3">
        <f t="shared" si="44"/>
        <v>0.56438356164383563</v>
      </c>
      <c r="BG183" s="2">
        <v>1</v>
      </c>
      <c r="BH183" s="2">
        <v>1</v>
      </c>
    </row>
    <row r="184" spans="1:84" ht="16">
      <c r="A184" s="2" t="s">
        <v>752</v>
      </c>
      <c r="B184" s="2">
        <v>22109793</v>
      </c>
      <c r="C184" s="53" t="s">
        <v>753</v>
      </c>
      <c r="D184" s="23">
        <v>44555</v>
      </c>
      <c r="E184" s="23">
        <v>44561</v>
      </c>
      <c r="F184" s="23">
        <v>44555</v>
      </c>
      <c r="G184" s="2" t="s">
        <v>110</v>
      </c>
      <c r="H184" s="55">
        <v>44712</v>
      </c>
      <c r="I184" s="55">
        <v>44926</v>
      </c>
      <c r="J184" s="23">
        <v>44741</v>
      </c>
      <c r="K184" s="23">
        <v>44741</v>
      </c>
      <c r="L184" s="3" t="str">
        <f t="shared" si="30"/>
        <v>0Y6M4D</v>
      </c>
      <c r="M184" s="3" t="str">
        <f t="shared" si="31"/>
        <v>0Y5M29D</v>
      </c>
      <c r="N184" s="3">
        <f t="shared" si="32"/>
        <v>0.50958904109589043</v>
      </c>
      <c r="O184" s="2">
        <v>5</v>
      </c>
      <c r="P184" s="2">
        <v>4</v>
      </c>
      <c r="Q184" s="2" t="s">
        <v>1684</v>
      </c>
      <c r="R184" s="2">
        <v>4</v>
      </c>
      <c r="S184" s="2">
        <v>1</v>
      </c>
      <c r="T184" s="2">
        <v>1</v>
      </c>
      <c r="U184" s="2" t="s">
        <v>1663</v>
      </c>
      <c r="V184" s="2" t="s">
        <v>1661</v>
      </c>
      <c r="W184" s="2">
        <v>2</v>
      </c>
      <c r="X184" s="2">
        <v>1</v>
      </c>
      <c r="Y184" s="2">
        <v>2</v>
      </c>
      <c r="Z184" s="2">
        <v>1</v>
      </c>
      <c r="AA184" s="2">
        <v>3</v>
      </c>
      <c r="AB184" s="2">
        <v>1</v>
      </c>
      <c r="AC184" s="2" t="s">
        <v>1674</v>
      </c>
      <c r="AD184" s="2">
        <v>2</v>
      </c>
      <c r="AE184" s="2">
        <v>1</v>
      </c>
      <c r="AF184" s="2">
        <v>2</v>
      </c>
      <c r="AG184" s="2">
        <v>1</v>
      </c>
      <c r="AH184" s="23">
        <v>44741</v>
      </c>
      <c r="AI184" s="3" t="str">
        <f t="shared" si="33"/>
        <v>0Y6M4D</v>
      </c>
      <c r="AJ184" s="3" t="str">
        <f t="shared" si="34"/>
        <v>0Y5M29D</v>
      </c>
      <c r="AK184" s="3">
        <f t="shared" si="35"/>
        <v>0.50958904109589043</v>
      </c>
      <c r="AL184" s="2">
        <v>3</v>
      </c>
      <c r="AM184" s="2">
        <v>1</v>
      </c>
      <c r="AN184" s="2">
        <v>2</v>
      </c>
      <c r="AO184" s="2">
        <v>1</v>
      </c>
      <c r="AP184" s="2">
        <v>3</v>
      </c>
      <c r="AQ184" s="2">
        <v>3</v>
      </c>
      <c r="AR184" s="2"/>
      <c r="AS184" s="23">
        <v>44739</v>
      </c>
      <c r="AT184" s="3" t="str">
        <f t="shared" si="36"/>
        <v>0Y6M2D</v>
      </c>
      <c r="AU184" s="3" t="str">
        <f t="shared" si="37"/>
        <v>0Y5M27D</v>
      </c>
      <c r="AV184" s="3">
        <f t="shared" si="38"/>
        <v>0.50410958904109593</v>
      </c>
      <c r="AW184" s="2">
        <v>8</v>
      </c>
      <c r="AX184" s="2"/>
      <c r="AY184" s="3" t="e">
        <f t="shared" si="39"/>
        <v>#NUM!</v>
      </c>
      <c r="AZ184" s="3" t="e">
        <f t="shared" si="40"/>
        <v>#NUM!</v>
      </c>
      <c r="BA184" s="3">
        <f t="shared" si="41"/>
        <v>-122.06849315068493</v>
      </c>
      <c r="BB184" s="2"/>
      <c r="BC184" s="23">
        <v>44741</v>
      </c>
      <c r="BD184" s="3" t="str">
        <f t="shared" si="42"/>
        <v>0Y6M4D</v>
      </c>
      <c r="BE184" s="3" t="str">
        <f t="shared" si="43"/>
        <v>0Y5M29D</v>
      </c>
      <c r="BF184" s="3">
        <f t="shared" si="44"/>
        <v>0.50958904109589043</v>
      </c>
      <c r="BG184" s="2">
        <v>1</v>
      </c>
      <c r="BH184" s="2">
        <v>0</v>
      </c>
    </row>
    <row r="185" spans="1:84" s="127" customFormat="1" ht="16">
      <c r="A185" s="20" t="s">
        <v>756</v>
      </c>
      <c r="B185" s="20">
        <v>22109501</v>
      </c>
      <c r="C185" s="134" t="s">
        <v>757</v>
      </c>
      <c r="D185" s="45">
        <v>44523</v>
      </c>
      <c r="E185" s="45">
        <v>44581</v>
      </c>
      <c r="F185" s="45">
        <v>44581</v>
      </c>
      <c r="G185" s="20" t="s">
        <v>119</v>
      </c>
      <c r="H185" s="85">
        <v>44732</v>
      </c>
      <c r="I185" s="85">
        <v>44946</v>
      </c>
      <c r="J185" s="20"/>
      <c r="K185" s="20"/>
      <c r="L185" s="71" t="e">
        <f t="shared" si="30"/>
        <v>#NUM!</v>
      </c>
      <c r="M185" s="71" t="e">
        <f t="shared" si="31"/>
        <v>#NUM!</v>
      </c>
      <c r="N185" s="71">
        <f t="shared" si="32"/>
        <v>-122.13972602739726</v>
      </c>
      <c r="O185" s="20"/>
      <c r="P185" s="20"/>
      <c r="Q185" s="20"/>
      <c r="R185" s="20"/>
      <c r="S185" s="20"/>
      <c r="T185" s="20"/>
      <c r="U185" s="20"/>
      <c r="V185" s="20"/>
      <c r="W185" s="20"/>
      <c r="X185" s="20"/>
      <c r="Y185" s="20"/>
      <c r="Z185" s="20"/>
      <c r="AA185" s="20"/>
      <c r="AB185" s="20"/>
      <c r="AC185" s="20"/>
      <c r="AD185" s="20"/>
      <c r="AE185" s="20"/>
      <c r="AF185" s="20"/>
      <c r="AG185" s="20"/>
      <c r="AH185" s="20"/>
      <c r="AI185" s="71" t="e">
        <f t="shared" si="33"/>
        <v>#NUM!</v>
      </c>
      <c r="AJ185" s="71" t="e">
        <f t="shared" si="34"/>
        <v>#NUM!</v>
      </c>
      <c r="AK185" s="71">
        <f t="shared" si="35"/>
        <v>-122.13972602739726</v>
      </c>
      <c r="AL185" s="20"/>
      <c r="AM185" s="20"/>
      <c r="AN185" s="20"/>
      <c r="AO185" s="20"/>
      <c r="AP185" s="20"/>
      <c r="AQ185" s="20"/>
      <c r="AR185" s="20"/>
      <c r="AS185" s="20"/>
      <c r="AT185" s="71" t="e">
        <f t="shared" si="36"/>
        <v>#NUM!</v>
      </c>
      <c r="AU185" s="71" t="e">
        <f t="shared" si="37"/>
        <v>#NUM!</v>
      </c>
      <c r="AV185" s="71">
        <f t="shared" si="38"/>
        <v>-122.13972602739726</v>
      </c>
      <c r="AW185" s="20"/>
      <c r="AX185" s="20"/>
      <c r="AY185" s="71" t="e">
        <f t="shared" si="39"/>
        <v>#NUM!</v>
      </c>
      <c r="AZ185" s="71" t="e">
        <f t="shared" si="40"/>
        <v>#NUM!</v>
      </c>
      <c r="BA185" s="71">
        <f t="shared" si="41"/>
        <v>-122.13972602739726</v>
      </c>
      <c r="BB185" s="20"/>
      <c r="BC185" s="20"/>
      <c r="BD185" s="71" t="e">
        <f t="shared" si="42"/>
        <v>#NUM!</v>
      </c>
      <c r="BE185" s="71" t="e">
        <f t="shared" si="43"/>
        <v>#NUM!</v>
      </c>
      <c r="BF185" s="71">
        <f t="shared" si="44"/>
        <v>-122.13972602739726</v>
      </c>
      <c r="BG185" s="20"/>
      <c r="BH185" s="20">
        <v>1</v>
      </c>
    </row>
    <row r="186" spans="1:84" ht="16">
      <c r="A186" s="2" t="s">
        <v>759</v>
      </c>
      <c r="B186" s="2">
        <v>22109705</v>
      </c>
      <c r="C186" s="53" t="s">
        <v>760</v>
      </c>
      <c r="D186" s="23">
        <v>44545</v>
      </c>
      <c r="E186" s="23">
        <v>44558</v>
      </c>
      <c r="F186" s="23">
        <v>44545</v>
      </c>
      <c r="G186" s="2" t="s">
        <v>697</v>
      </c>
      <c r="H186" s="55">
        <v>44709</v>
      </c>
      <c r="I186" s="55">
        <v>44923</v>
      </c>
      <c r="J186" s="23">
        <v>44757</v>
      </c>
      <c r="K186" s="23">
        <v>44757</v>
      </c>
      <c r="L186" s="3" t="str">
        <f t="shared" si="30"/>
        <v>0Y7M0D</v>
      </c>
      <c r="M186" s="3" t="str">
        <f t="shared" si="31"/>
        <v>0Y6M17D</v>
      </c>
      <c r="N186" s="3">
        <f t="shared" si="32"/>
        <v>0.58082191780821912</v>
      </c>
      <c r="O186" s="2">
        <v>5</v>
      </c>
      <c r="P186" s="2">
        <v>3</v>
      </c>
      <c r="Q186" s="2"/>
      <c r="R186" s="2">
        <v>4</v>
      </c>
      <c r="S186" s="2">
        <v>1</v>
      </c>
      <c r="T186" s="2">
        <v>1</v>
      </c>
      <c r="U186" s="2" t="s">
        <v>1660</v>
      </c>
      <c r="V186" s="2" t="s">
        <v>1664</v>
      </c>
      <c r="W186" s="2">
        <v>2</v>
      </c>
      <c r="X186" s="2">
        <v>1</v>
      </c>
      <c r="Y186" s="2">
        <v>2</v>
      </c>
      <c r="Z186" s="2">
        <v>1</v>
      </c>
      <c r="AA186" s="2">
        <v>3</v>
      </c>
      <c r="AB186" s="2">
        <v>1</v>
      </c>
      <c r="AC186" s="2" t="s">
        <v>1663</v>
      </c>
      <c r="AD186" s="2">
        <v>2</v>
      </c>
      <c r="AE186" s="2">
        <v>1</v>
      </c>
      <c r="AF186" s="2">
        <v>2</v>
      </c>
      <c r="AG186" s="2">
        <v>1</v>
      </c>
      <c r="AH186" s="23">
        <v>44757</v>
      </c>
      <c r="AI186" s="3" t="str">
        <f t="shared" si="33"/>
        <v>0Y7M0D</v>
      </c>
      <c r="AJ186" s="3" t="str">
        <f t="shared" si="34"/>
        <v>0Y6M17D</v>
      </c>
      <c r="AK186" s="3">
        <f t="shared" si="35"/>
        <v>0.58082191780821912</v>
      </c>
      <c r="AL186" s="2">
        <v>3</v>
      </c>
      <c r="AM186" s="2">
        <v>1</v>
      </c>
      <c r="AN186" s="2">
        <v>2</v>
      </c>
      <c r="AO186" s="2">
        <v>1</v>
      </c>
      <c r="AP186" s="2">
        <v>3</v>
      </c>
      <c r="AQ186" s="2">
        <v>3</v>
      </c>
      <c r="AR186" s="2"/>
      <c r="AS186" s="23">
        <v>44768</v>
      </c>
      <c r="AT186" s="3" t="str">
        <f t="shared" si="36"/>
        <v>0Y7M11D</v>
      </c>
      <c r="AU186" s="3" t="str">
        <f t="shared" si="37"/>
        <v>0Y6M28D</v>
      </c>
      <c r="AV186" s="3">
        <f t="shared" si="38"/>
        <v>0.61095890410958908</v>
      </c>
      <c r="AW186" s="2">
        <v>8</v>
      </c>
      <c r="AX186" s="2"/>
      <c r="AY186" s="3" t="e">
        <f t="shared" si="39"/>
        <v>#NUM!</v>
      </c>
      <c r="AZ186" s="3" t="e">
        <f t="shared" si="40"/>
        <v>#NUM!</v>
      </c>
      <c r="BA186" s="3">
        <f t="shared" si="41"/>
        <v>-122.04109589041096</v>
      </c>
      <c r="BB186" s="2"/>
      <c r="BC186" s="23">
        <v>44757</v>
      </c>
      <c r="BD186" s="3" t="str">
        <f t="shared" si="42"/>
        <v>0Y7M0D</v>
      </c>
      <c r="BE186" s="3" t="str">
        <f t="shared" si="43"/>
        <v>0Y6M17D</v>
      </c>
      <c r="BF186" s="3">
        <f t="shared" si="44"/>
        <v>0.58082191780821912</v>
      </c>
      <c r="BG186" s="2">
        <v>1</v>
      </c>
      <c r="BH186" s="2">
        <v>1</v>
      </c>
    </row>
    <row r="187" spans="1:84" s="110" customFormat="1" ht="16">
      <c r="A187" s="17" t="s">
        <v>762</v>
      </c>
      <c r="B187" s="17">
        <v>22109441</v>
      </c>
      <c r="C187" s="22" t="s">
        <v>763</v>
      </c>
      <c r="D187" s="40">
        <v>44517</v>
      </c>
      <c r="E187" s="40">
        <v>44604</v>
      </c>
      <c r="F187" s="40">
        <v>44604</v>
      </c>
      <c r="G187" s="17" t="s">
        <v>144</v>
      </c>
      <c r="H187" s="75">
        <v>44754</v>
      </c>
      <c r="I187" s="75">
        <v>44969</v>
      </c>
      <c r="J187" s="40">
        <v>44789</v>
      </c>
      <c r="K187" s="40">
        <v>44789</v>
      </c>
      <c r="L187" s="21" t="str">
        <f t="shared" si="30"/>
        <v>0Y8M30D</v>
      </c>
      <c r="M187" s="21" t="str">
        <f t="shared" si="31"/>
        <v>0Y6M4D</v>
      </c>
      <c r="N187" s="21">
        <f t="shared" si="32"/>
        <v>0.50684931506849318</v>
      </c>
      <c r="O187" s="17">
        <v>6</v>
      </c>
      <c r="P187" s="17">
        <v>4</v>
      </c>
      <c r="Q187" s="17"/>
      <c r="R187" s="17">
        <v>4</v>
      </c>
      <c r="S187" s="17">
        <v>1</v>
      </c>
      <c r="T187" s="17">
        <v>1</v>
      </c>
      <c r="U187" s="17" t="s">
        <v>1671</v>
      </c>
      <c r="V187" s="17" t="s">
        <v>1664</v>
      </c>
      <c r="W187" s="17">
        <v>2</v>
      </c>
      <c r="X187" s="17">
        <v>1</v>
      </c>
      <c r="Y187" s="17">
        <v>2</v>
      </c>
      <c r="Z187" s="17">
        <v>1</v>
      </c>
      <c r="AA187" s="17">
        <v>3</v>
      </c>
      <c r="AB187" s="17">
        <v>1</v>
      </c>
      <c r="AC187" s="17" t="s">
        <v>1707</v>
      </c>
      <c r="AD187" s="17">
        <v>2</v>
      </c>
      <c r="AE187" s="17">
        <v>1</v>
      </c>
      <c r="AF187" s="17">
        <v>2</v>
      </c>
      <c r="AG187" s="17">
        <v>1</v>
      </c>
      <c r="AH187" s="17"/>
      <c r="AI187" s="21" t="e">
        <f t="shared" si="33"/>
        <v>#NUM!</v>
      </c>
      <c r="AJ187" s="21" t="e">
        <f t="shared" si="34"/>
        <v>#NUM!</v>
      </c>
      <c r="AK187" s="21">
        <f t="shared" si="35"/>
        <v>-122.2027397260274</v>
      </c>
      <c r="AL187" s="17"/>
      <c r="AM187" s="17"/>
      <c r="AN187" s="17"/>
      <c r="AO187" s="17"/>
      <c r="AP187" s="17"/>
      <c r="AQ187" s="17"/>
      <c r="AR187" s="17"/>
      <c r="AS187" s="40">
        <v>44787</v>
      </c>
      <c r="AT187" s="21" t="str">
        <f t="shared" si="36"/>
        <v>0Y8M28D</v>
      </c>
      <c r="AU187" s="21" t="str">
        <f t="shared" si="37"/>
        <v>0Y6M2D</v>
      </c>
      <c r="AV187" s="21">
        <f t="shared" si="38"/>
        <v>0.50136986301369868</v>
      </c>
      <c r="AW187" s="17">
        <v>8</v>
      </c>
      <c r="AX187" s="40">
        <v>44788</v>
      </c>
      <c r="AY187" s="21" t="str">
        <f t="shared" si="39"/>
        <v>0Y8M29D</v>
      </c>
      <c r="AZ187" s="21" t="str">
        <f t="shared" si="40"/>
        <v>0Y6M3D</v>
      </c>
      <c r="BA187" s="21">
        <f t="shared" si="41"/>
        <v>0.50410958904109593</v>
      </c>
      <c r="BB187" s="17">
        <v>8</v>
      </c>
      <c r="BC187" s="40">
        <v>44789</v>
      </c>
      <c r="BD187" s="21" t="str">
        <f t="shared" si="42"/>
        <v>0Y8M30D</v>
      </c>
      <c r="BE187" s="21" t="str">
        <f t="shared" si="43"/>
        <v>0Y6M4D</v>
      </c>
      <c r="BF187" s="21">
        <f t="shared" si="44"/>
        <v>0.50684931506849318</v>
      </c>
      <c r="BG187" s="17">
        <v>1</v>
      </c>
      <c r="BH187" s="17">
        <v>1</v>
      </c>
    </row>
    <row r="188" spans="1:84" ht="16">
      <c r="A188" s="2" t="s">
        <v>766</v>
      </c>
      <c r="B188" s="2">
        <v>22108398</v>
      </c>
      <c r="C188" s="53" t="s">
        <v>767</v>
      </c>
      <c r="D188" s="23">
        <v>44398</v>
      </c>
      <c r="E188" s="23">
        <v>44486</v>
      </c>
      <c r="F188" s="23">
        <v>44486</v>
      </c>
      <c r="G188" s="2" t="s">
        <v>461</v>
      </c>
      <c r="H188" s="55">
        <v>44637</v>
      </c>
      <c r="I188" s="55">
        <v>44851</v>
      </c>
      <c r="J188" s="23">
        <v>44698</v>
      </c>
      <c r="K188" s="23">
        <v>44679</v>
      </c>
      <c r="L188" s="3" t="str">
        <f t="shared" si="30"/>
        <v>0Y9M7D</v>
      </c>
      <c r="M188" s="3" t="str">
        <f t="shared" si="31"/>
        <v>0Y6M11D</v>
      </c>
      <c r="N188" s="3">
        <f t="shared" si="32"/>
        <v>0.52876712328767128</v>
      </c>
      <c r="O188" s="2">
        <v>6</v>
      </c>
      <c r="P188" s="2">
        <v>3</v>
      </c>
      <c r="Q188" s="2"/>
      <c r="R188" s="2">
        <v>4</v>
      </c>
      <c r="S188" s="2">
        <v>1</v>
      </c>
      <c r="T188" s="2">
        <v>1</v>
      </c>
      <c r="U188" s="2" t="s">
        <v>1660</v>
      </c>
      <c r="V188" s="2" t="s">
        <v>1661</v>
      </c>
      <c r="W188" s="2">
        <v>2</v>
      </c>
      <c r="X188" s="2">
        <v>1</v>
      </c>
      <c r="Y188" s="2">
        <v>2</v>
      </c>
      <c r="Z188" s="2">
        <v>1</v>
      </c>
      <c r="AA188" s="2">
        <v>3</v>
      </c>
      <c r="AB188" s="2">
        <v>1</v>
      </c>
      <c r="AC188" s="2" t="s">
        <v>1660</v>
      </c>
      <c r="AD188" s="2">
        <v>2</v>
      </c>
      <c r="AE188" s="2">
        <v>1</v>
      </c>
      <c r="AF188" s="2">
        <v>2</v>
      </c>
      <c r="AG188" s="2">
        <v>1</v>
      </c>
      <c r="AH188" s="23">
        <v>44679</v>
      </c>
      <c r="AI188" s="3" t="str">
        <f t="shared" si="33"/>
        <v>0Y9M7D</v>
      </c>
      <c r="AJ188" s="3" t="str">
        <f t="shared" si="34"/>
        <v>0Y6M11D</v>
      </c>
      <c r="AK188" s="3">
        <f t="shared" si="35"/>
        <v>0.52876712328767128</v>
      </c>
      <c r="AL188" s="2">
        <v>3</v>
      </c>
      <c r="AM188" s="2">
        <v>1</v>
      </c>
      <c r="AN188" s="2">
        <v>2</v>
      </c>
      <c r="AO188" s="2">
        <v>1</v>
      </c>
      <c r="AP188" s="2">
        <v>4</v>
      </c>
      <c r="AQ188" s="2">
        <v>1</v>
      </c>
      <c r="AR188" s="2" t="s">
        <v>1696</v>
      </c>
      <c r="AS188" s="23">
        <v>44675</v>
      </c>
      <c r="AT188" s="3" t="str">
        <f t="shared" si="36"/>
        <v>0Y9M3D</v>
      </c>
      <c r="AU188" s="3" t="str">
        <f t="shared" si="37"/>
        <v>0Y6M7D</v>
      </c>
      <c r="AV188" s="3">
        <f t="shared" si="38"/>
        <v>0.51780821917808217</v>
      </c>
      <c r="AW188" s="2">
        <v>8</v>
      </c>
      <c r="AX188" s="23">
        <v>44675</v>
      </c>
      <c r="AY188" s="3" t="str">
        <f t="shared" si="39"/>
        <v>0Y9M3D</v>
      </c>
      <c r="AZ188" s="3" t="str">
        <f t="shared" si="40"/>
        <v>0Y6M7D</v>
      </c>
      <c r="BA188" s="3">
        <f t="shared" si="41"/>
        <v>0.51780821917808217</v>
      </c>
      <c r="BB188" s="2">
        <v>8</v>
      </c>
      <c r="BC188" s="23">
        <v>44679</v>
      </c>
      <c r="BD188" s="3" t="str">
        <f t="shared" si="42"/>
        <v>0Y9M7D</v>
      </c>
      <c r="BE188" s="3" t="str">
        <f t="shared" si="43"/>
        <v>0Y6M11D</v>
      </c>
      <c r="BF188" s="3">
        <f t="shared" si="44"/>
        <v>0.52876712328767128</v>
      </c>
      <c r="BG188" s="2">
        <v>1</v>
      </c>
      <c r="BH188" s="2">
        <v>1</v>
      </c>
    </row>
    <row r="189" spans="1:84" ht="16">
      <c r="A189" s="2" t="s">
        <v>770</v>
      </c>
      <c r="B189" s="2">
        <v>22109053</v>
      </c>
      <c r="C189" s="53" t="s">
        <v>771</v>
      </c>
      <c r="D189" s="23">
        <v>44476</v>
      </c>
      <c r="E189" s="23">
        <v>44568</v>
      </c>
      <c r="F189" s="23">
        <v>44568</v>
      </c>
      <c r="G189" s="2" t="s">
        <v>165</v>
      </c>
      <c r="H189" s="55">
        <v>44719</v>
      </c>
      <c r="I189" s="55">
        <v>44933</v>
      </c>
      <c r="J189" s="23">
        <v>44763</v>
      </c>
      <c r="K189" s="23">
        <v>44763</v>
      </c>
      <c r="L189" s="3" t="str">
        <f t="shared" si="30"/>
        <v>0Y9M14D</v>
      </c>
      <c r="M189" s="3" t="str">
        <f t="shared" si="31"/>
        <v>0Y6M14D</v>
      </c>
      <c r="N189" s="3">
        <f t="shared" si="32"/>
        <v>0.53424657534246578</v>
      </c>
      <c r="O189" s="2">
        <v>6</v>
      </c>
      <c r="P189" s="2">
        <v>3</v>
      </c>
      <c r="Q189" s="2"/>
      <c r="R189" s="2">
        <v>4</v>
      </c>
      <c r="S189" s="2">
        <v>1</v>
      </c>
      <c r="T189" s="2">
        <v>1</v>
      </c>
      <c r="U189" s="2"/>
      <c r="V189" s="2" t="s">
        <v>1664</v>
      </c>
      <c r="W189" s="2">
        <v>2</v>
      </c>
      <c r="X189" s="2">
        <v>1</v>
      </c>
      <c r="Y189" s="2">
        <v>2</v>
      </c>
      <c r="Z189" s="2">
        <v>1</v>
      </c>
      <c r="AA189" s="2">
        <v>3</v>
      </c>
      <c r="AB189" s="2"/>
      <c r="AC189" s="2" t="s">
        <v>1711</v>
      </c>
      <c r="AD189" s="2">
        <v>2</v>
      </c>
      <c r="AE189" s="2">
        <v>1</v>
      </c>
      <c r="AF189" s="2"/>
      <c r="AG189" s="2"/>
      <c r="AH189" s="23">
        <v>44763</v>
      </c>
      <c r="AI189" s="3" t="str">
        <f t="shared" si="33"/>
        <v>0Y9M14D</v>
      </c>
      <c r="AJ189" s="3" t="str">
        <f t="shared" si="34"/>
        <v>0Y6M14D</v>
      </c>
      <c r="AK189" s="3">
        <f t="shared" si="35"/>
        <v>0.53424657534246578</v>
      </c>
      <c r="AL189" s="2">
        <v>3</v>
      </c>
      <c r="AM189" s="2">
        <v>1</v>
      </c>
      <c r="AN189" s="2">
        <v>2</v>
      </c>
      <c r="AO189" s="2">
        <v>1</v>
      </c>
      <c r="AP189" s="2">
        <v>4</v>
      </c>
      <c r="AQ189" s="2">
        <v>3</v>
      </c>
      <c r="AR189" s="2"/>
      <c r="AS189" s="23">
        <v>44763</v>
      </c>
      <c r="AT189" s="3" t="str">
        <f t="shared" si="36"/>
        <v>0Y9M14D</v>
      </c>
      <c r="AU189" s="3" t="str">
        <f t="shared" si="37"/>
        <v>0Y6M14D</v>
      </c>
      <c r="AV189" s="3">
        <f t="shared" si="38"/>
        <v>0.53424657534246578</v>
      </c>
      <c r="AW189" s="2">
        <v>8</v>
      </c>
      <c r="AX189" s="2"/>
      <c r="AY189" s="3" t="e">
        <f t="shared" si="39"/>
        <v>#NUM!</v>
      </c>
      <c r="AZ189" s="3" t="e">
        <f t="shared" si="40"/>
        <v>#NUM!</v>
      </c>
      <c r="BA189" s="3">
        <f t="shared" si="41"/>
        <v>-122.1041095890411</v>
      </c>
      <c r="BB189" s="2"/>
      <c r="BC189" s="23">
        <v>44763</v>
      </c>
      <c r="BD189" s="3" t="str">
        <f t="shared" si="42"/>
        <v>0Y9M14D</v>
      </c>
      <c r="BE189" s="3" t="str">
        <f t="shared" si="43"/>
        <v>0Y6M14D</v>
      </c>
      <c r="BF189" s="3">
        <f t="shared" si="44"/>
        <v>0.53424657534246578</v>
      </c>
      <c r="BG189" s="2">
        <v>1</v>
      </c>
      <c r="BH189" s="2">
        <v>1</v>
      </c>
      <c r="BI189" s="110"/>
      <c r="BJ189" s="110"/>
      <c r="BK189" s="110"/>
      <c r="BL189" s="110"/>
      <c r="BM189" s="110"/>
      <c r="BN189" s="110"/>
      <c r="BO189" s="110"/>
      <c r="BP189" s="110"/>
      <c r="BQ189" s="110"/>
      <c r="BR189" s="110"/>
      <c r="BS189" s="110"/>
      <c r="BT189" s="110"/>
      <c r="BU189" s="110"/>
      <c r="BV189" s="110"/>
      <c r="BW189" s="110"/>
      <c r="BX189" s="110"/>
      <c r="BY189" s="110"/>
      <c r="BZ189" s="110"/>
      <c r="CA189" s="110"/>
      <c r="CB189" s="110"/>
      <c r="CC189" s="110"/>
      <c r="CD189" s="110"/>
      <c r="CE189" s="110"/>
      <c r="CF189" s="110"/>
    </row>
    <row r="190" spans="1:84" ht="16">
      <c r="A190" s="2" t="s">
        <v>773</v>
      </c>
      <c r="B190" s="2">
        <v>22108554</v>
      </c>
      <c r="C190" s="53" t="s">
        <v>774</v>
      </c>
      <c r="D190" s="23">
        <v>44416</v>
      </c>
      <c r="E190" s="23">
        <v>44426</v>
      </c>
      <c r="F190" s="23">
        <v>44416</v>
      </c>
      <c r="G190" s="2" t="s">
        <v>391</v>
      </c>
      <c r="H190" s="55">
        <v>44579</v>
      </c>
      <c r="I190" s="55">
        <v>44791</v>
      </c>
      <c r="J190" s="23">
        <v>44615</v>
      </c>
      <c r="K190" s="23">
        <v>44615</v>
      </c>
      <c r="L190" s="3" t="str">
        <f t="shared" si="30"/>
        <v>0Y6M15D</v>
      </c>
      <c r="M190" s="3" t="str">
        <f t="shared" si="31"/>
        <v>0Y6M5D</v>
      </c>
      <c r="N190" s="3">
        <f t="shared" si="32"/>
        <v>0.54520547945205478</v>
      </c>
      <c r="O190" s="2">
        <v>6</v>
      </c>
      <c r="P190" s="2">
        <v>3</v>
      </c>
      <c r="Q190" s="2" t="s">
        <v>1768</v>
      </c>
      <c r="R190" s="2">
        <v>4</v>
      </c>
      <c r="S190" s="2">
        <v>1</v>
      </c>
      <c r="T190" s="2">
        <v>1</v>
      </c>
      <c r="U190" s="2" t="s">
        <v>1734</v>
      </c>
      <c r="V190" s="2" t="s">
        <v>1664</v>
      </c>
      <c r="W190" s="2">
        <v>2</v>
      </c>
      <c r="X190" s="2">
        <v>1</v>
      </c>
      <c r="Y190" s="2">
        <v>2</v>
      </c>
      <c r="Z190" s="2">
        <v>1</v>
      </c>
      <c r="AA190" s="2">
        <v>3</v>
      </c>
      <c r="AB190" s="2">
        <v>1</v>
      </c>
      <c r="AC190" s="2" t="s">
        <v>1711</v>
      </c>
      <c r="AD190" s="2">
        <v>2</v>
      </c>
      <c r="AE190" s="2">
        <v>1</v>
      </c>
      <c r="AF190" s="2">
        <v>2</v>
      </c>
      <c r="AG190" s="2">
        <v>1</v>
      </c>
      <c r="AH190" s="23">
        <v>44615</v>
      </c>
      <c r="AI190" s="3" t="str">
        <f t="shared" si="33"/>
        <v>0Y6M15D</v>
      </c>
      <c r="AJ190" s="3" t="str">
        <f t="shared" si="34"/>
        <v>0Y6M5D</v>
      </c>
      <c r="AK190" s="3">
        <f t="shared" si="35"/>
        <v>0.54520547945205478</v>
      </c>
      <c r="AL190" s="2">
        <v>3</v>
      </c>
      <c r="AM190" s="2">
        <v>1</v>
      </c>
      <c r="AN190" s="2">
        <v>2</v>
      </c>
      <c r="AO190" s="2">
        <v>1</v>
      </c>
      <c r="AP190" s="2">
        <v>4</v>
      </c>
      <c r="AQ190" s="2">
        <v>3</v>
      </c>
      <c r="AR190" s="2"/>
      <c r="AS190" s="23">
        <v>44631</v>
      </c>
      <c r="AT190" s="3" t="str">
        <f t="shared" si="36"/>
        <v>0Y7M3D</v>
      </c>
      <c r="AU190" s="3" t="str">
        <f t="shared" si="37"/>
        <v>0Y6M21D</v>
      </c>
      <c r="AV190" s="3">
        <f t="shared" si="38"/>
        <v>0.58904109589041098</v>
      </c>
      <c r="AW190" s="2">
        <v>8</v>
      </c>
      <c r="AX190" s="23">
        <v>44633</v>
      </c>
      <c r="AY190" s="3" t="str">
        <f t="shared" si="39"/>
        <v>0Y7M5D</v>
      </c>
      <c r="AZ190" s="3" t="str">
        <f t="shared" si="40"/>
        <v>0Y6M23D</v>
      </c>
      <c r="BA190" s="3">
        <f t="shared" si="41"/>
        <v>0.59452054794520548</v>
      </c>
      <c r="BB190" s="2">
        <v>8</v>
      </c>
      <c r="BC190" s="23">
        <v>44615</v>
      </c>
      <c r="BD190" s="3" t="str">
        <f t="shared" si="42"/>
        <v>0Y6M15D</v>
      </c>
      <c r="BE190" s="3" t="str">
        <f t="shared" si="43"/>
        <v>0Y6M5D</v>
      </c>
      <c r="BF190" s="3">
        <f t="shared" si="44"/>
        <v>0.54520547945205478</v>
      </c>
      <c r="BG190" s="2">
        <v>1</v>
      </c>
      <c r="BH190" s="2">
        <v>1</v>
      </c>
    </row>
    <row r="191" spans="1:84" ht="16">
      <c r="A191" s="2" t="s">
        <v>776</v>
      </c>
      <c r="B191" s="2">
        <v>22108696</v>
      </c>
      <c r="C191" s="53" t="s">
        <v>777</v>
      </c>
      <c r="D191" s="23">
        <v>44433</v>
      </c>
      <c r="E191" s="23">
        <v>44448</v>
      </c>
      <c r="F191" s="23">
        <v>44433</v>
      </c>
      <c r="G191" s="2" t="s">
        <v>750</v>
      </c>
      <c r="H191" s="55">
        <v>44601</v>
      </c>
      <c r="I191" s="55">
        <v>44813</v>
      </c>
      <c r="J191" s="23">
        <v>44638</v>
      </c>
      <c r="K191" s="23">
        <v>44638</v>
      </c>
      <c r="L191" s="3" t="str">
        <f t="shared" si="30"/>
        <v>0Y6M21D</v>
      </c>
      <c r="M191" s="3" t="str">
        <f t="shared" si="31"/>
        <v>0Y6M9D</v>
      </c>
      <c r="N191" s="3">
        <f t="shared" si="32"/>
        <v>0.56164383561643838</v>
      </c>
      <c r="O191" s="2">
        <v>6</v>
      </c>
      <c r="P191" s="2">
        <v>3</v>
      </c>
      <c r="Q191" s="2"/>
      <c r="R191" s="2">
        <v>4</v>
      </c>
      <c r="S191" s="2">
        <v>1</v>
      </c>
      <c r="T191" s="2">
        <v>1</v>
      </c>
      <c r="U191" s="2" t="s">
        <v>1698</v>
      </c>
      <c r="V191" s="2" t="s">
        <v>1664</v>
      </c>
      <c r="W191" s="2">
        <v>2</v>
      </c>
      <c r="X191" s="2">
        <v>1</v>
      </c>
      <c r="Y191" s="2">
        <v>2</v>
      </c>
      <c r="Z191" s="2">
        <v>1</v>
      </c>
      <c r="AA191" s="2">
        <v>3</v>
      </c>
      <c r="AB191" s="2">
        <v>1</v>
      </c>
      <c r="AC191" s="2" t="s">
        <v>1665</v>
      </c>
      <c r="AD191" s="2">
        <v>2</v>
      </c>
      <c r="AE191" s="2">
        <v>1</v>
      </c>
      <c r="AF191" s="2">
        <v>2</v>
      </c>
      <c r="AG191" s="2">
        <v>1</v>
      </c>
      <c r="AH191" s="23">
        <v>44638</v>
      </c>
      <c r="AI191" s="3" t="str">
        <f t="shared" si="33"/>
        <v>0Y6M21D</v>
      </c>
      <c r="AJ191" s="3" t="str">
        <f t="shared" si="34"/>
        <v>0Y6M9D</v>
      </c>
      <c r="AK191" s="3">
        <f t="shared" si="35"/>
        <v>0.56164383561643838</v>
      </c>
      <c r="AL191" s="2">
        <v>3</v>
      </c>
      <c r="AM191" s="2">
        <v>1</v>
      </c>
      <c r="AN191" s="2">
        <v>2</v>
      </c>
      <c r="AO191" s="2">
        <v>1</v>
      </c>
      <c r="AP191" s="2">
        <v>4</v>
      </c>
      <c r="AQ191" s="2">
        <v>3</v>
      </c>
      <c r="AR191" s="2"/>
      <c r="AS191" s="23">
        <v>44636</v>
      </c>
      <c r="AT191" s="3" t="str">
        <f t="shared" si="36"/>
        <v>0Y6M19D</v>
      </c>
      <c r="AU191" s="3" t="str">
        <f t="shared" si="37"/>
        <v>0Y6M7D</v>
      </c>
      <c r="AV191" s="3">
        <f t="shared" si="38"/>
        <v>0.55616438356164388</v>
      </c>
      <c r="AW191" s="2">
        <v>8</v>
      </c>
      <c r="AX191" s="23">
        <v>44636</v>
      </c>
      <c r="AY191" s="3" t="str">
        <f t="shared" si="39"/>
        <v>0Y6M19D</v>
      </c>
      <c r="AZ191" s="3" t="str">
        <f t="shared" si="40"/>
        <v>0Y6M7D</v>
      </c>
      <c r="BA191" s="3">
        <f t="shared" si="41"/>
        <v>0.55616438356164388</v>
      </c>
      <c r="BB191" s="2">
        <v>8</v>
      </c>
      <c r="BC191" s="23">
        <v>44638</v>
      </c>
      <c r="BD191" s="3" t="str">
        <f t="shared" si="42"/>
        <v>0Y6M21D</v>
      </c>
      <c r="BE191" s="3" t="str">
        <f t="shared" si="43"/>
        <v>0Y6M9D</v>
      </c>
      <c r="BF191" s="3">
        <f t="shared" si="44"/>
        <v>0.56164383561643838</v>
      </c>
      <c r="BG191" s="2">
        <v>1</v>
      </c>
      <c r="BH191" s="2">
        <v>0</v>
      </c>
    </row>
    <row r="192" spans="1:84" s="110" customFormat="1" ht="16">
      <c r="A192" s="17" t="s">
        <v>780</v>
      </c>
      <c r="B192" s="17">
        <v>22109754</v>
      </c>
      <c r="C192" s="22" t="s">
        <v>781</v>
      </c>
      <c r="D192" s="40">
        <v>44552</v>
      </c>
      <c r="E192" s="40">
        <v>44564</v>
      </c>
      <c r="F192" s="40">
        <v>44552</v>
      </c>
      <c r="G192" s="17" t="s">
        <v>75</v>
      </c>
      <c r="H192" s="75">
        <v>44715</v>
      </c>
      <c r="I192" s="75">
        <v>44929</v>
      </c>
      <c r="J192" s="17"/>
      <c r="K192" s="17"/>
      <c r="L192" s="21" t="e">
        <f t="shared" si="30"/>
        <v>#NUM!</v>
      </c>
      <c r="M192" s="21" t="e">
        <f t="shared" si="31"/>
        <v>#NUM!</v>
      </c>
      <c r="N192" s="21">
        <f t="shared" si="32"/>
        <v>-122.06027397260274</v>
      </c>
      <c r="O192" s="17"/>
      <c r="P192" s="17"/>
      <c r="Q192" s="17"/>
      <c r="R192" s="17"/>
      <c r="S192" s="17"/>
      <c r="T192" s="17"/>
      <c r="U192" s="17"/>
      <c r="V192" s="17"/>
      <c r="W192" s="17"/>
      <c r="X192" s="17"/>
      <c r="Y192" s="17"/>
      <c r="Z192" s="17"/>
      <c r="AA192" s="17"/>
      <c r="AB192" s="17"/>
      <c r="AC192" s="17"/>
      <c r="AD192" s="17"/>
      <c r="AE192" s="17"/>
      <c r="AF192" s="17"/>
      <c r="AG192" s="17"/>
      <c r="AH192" s="40">
        <v>44747</v>
      </c>
      <c r="AI192" s="21" t="str">
        <f t="shared" si="33"/>
        <v>0Y6M13D</v>
      </c>
      <c r="AJ192" s="21" t="str">
        <f t="shared" si="34"/>
        <v>0Y6M2D</v>
      </c>
      <c r="AK192" s="21">
        <f t="shared" si="35"/>
        <v>0.53424657534246578</v>
      </c>
      <c r="AL192" s="17">
        <v>3</v>
      </c>
      <c r="AM192" s="17">
        <v>1</v>
      </c>
      <c r="AN192" s="17">
        <v>2</v>
      </c>
      <c r="AO192" s="17">
        <v>1</v>
      </c>
      <c r="AP192" s="17">
        <v>4</v>
      </c>
      <c r="AQ192" s="17"/>
      <c r="AR192" s="17" t="s">
        <v>1769</v>
      </c>
      <c r="AS192" s="40">
        <v>44681</v>
      </c>
      <c r="AT192" s="21" t="str">
        <f t="shared" si="36"/>
        <v>0Y4M8D</v>
      </c>
      <c r="AU192" s="21" t="str">
        <f t="shared" si="37"/>
        <v>0Y3M27D</v>
      </c>
      <c r="AV192" s="21">
        <f t="shared" si="38"/>
        <v>0.35342465753424657</v>
      </c>
      <c r="AW192" s="17" t="s">
        <v>2210</v>
      </c>
      <c r="AX192" s="40">
        <v>44745</v>
      </c>
      <c r="AY192" s="21" t="str">
        <f t="shared" si="39"/>
        <v>0Y6M11D</v>
      </c>
      <c r="AZ192" s="21" t="str">
        <f t="shared" si="40"/>
        <v>0Y6M0D</v>
      </c>
      <c r="BA192" s="21">
        <f t="shared" si="41"/>
        <v>0.52876712328767128</v>
      </c>
      <c r="BB192" s="17" t="s">
        <v>2210</v>
      </c>
      <c r="BC192" s="17"/>
      <c r="BD192" s="21" t="e">
        <f t="shared" si="42"/>
        <v>#NUM!</v>
      </c>
      <c r="BE192" s="21" t="e">
        <f t="shared" si="43"/>
        <v>#NUM!</v>
      </c>
      <c r="BF192" s="21">
        <f t="shared" si="44"/>
        <v>-122.06027397260274</v>
      </c>
      <c r="BG192" s="17"/>
      <c r="BH192" s="17">
        <v>0</v>
      </c>
    </row>
    <row r="193" spans="1:60" ht="16">
      <c r="A193" s="2" t="s">
        <v>848</v>
      </c>
      <c r="B193" s="2">
        <v>22109131</v>
      </c>
      <c r="C193" s="53" t="s">
        <v>785</v>
      </c>
      <c r="D193" s="23">
        <v>44483</v>
      </c>
      <c r="E193" s="23">
        <v>44490</v>
      </c>
      <c r="F193" s="23">
        <v>44483</v>
      </c>
      <c r="G193" s="2">
        <v>39</v>
      </c>
      <c r="H193" s="55">
        <v>44641</v>
      </c>
      <c r="I193" s="55">
        <v>44855</v>
      </c>
      <c r="J193" s="23">
        <v>44852</v>
      </c>
      <c r="K193" s="23">
        <v>44852</v>
      </c>
      <c r="L193" s="3" t="str">
        <f t="shared" si="30"/>
        <v>1Y0M4D</v>
      </c>
      <c r="M193" s="3" t="str">
        <f t="shared" si="31"/>
        <v>0Y11M27D</v>
      </c>
      <c r="N193" s="3">
        <f t="shared" si="32"/>
        <v>1.010958904109589</v>
      </c>
      <c r="O193" s="2">
        <v>6</v>
      </c>
      <c r="P193" s="2">
        <v>3</v>
      </c>
      <c r="Q193" s="2"/>
      <c r="R193" s="2">
        <v>4</v>
      </c>
      <c r="S193" s="2">
        <v>1</v>
      </c>
      <c r="T193" s="2">
        <v>1</v>
      </c>
      <c r="U193" s="2"/>
      <c r="V193" s="2"/>
      <c r="W193" s="2">
        <v>2</v>
      </c>
      <c r="X193" s="2">
        <v>1</v>
      </c>
      <c r="Y193" s="2">
        <v>3</v>
      </c>
      <c r="Z193" s="2">
        <v>1</v>
      </c>
      <c r="AA193" s="2">
        <v>3</v>
      </c>
      <c r="AB193" s="2">
        <v>1</v>
      </c>
      <c r="AC193" s="2"/>
      <c r="AD193" s="2">
        <v>2</v>
      </c>
      <c r="AE193" s="2">
        <v>1</v>
      </c>
      <c r="AF193" s="2">
        <v>2</v>
      </c>
      <c r="AG193" s="2">
        <v>1</v>
      </c>
      <c r="AH193" s="23">
        <v>44684</v>
      </c>
      <c r="AI193" s="3" t="str">
        <f t="shared" si="33"/>
        <v>0Y6M19D</v>
      </c>
      <c r="AJ193" s="3" t="str">
        <f t="shared" si="34"/>
        <v>0Y6M12D</v>
      </c>
      <c r="AK193" s="3">
        <f t="shared" si="35"/>
        <v>0.55068493150684927</v>
      </c>
      <c r="AL193" s="2">
        <v>3</v>
      </c>
      <c r="AM193" s="2">
        <v>1</v>
      </c>
      <c r="AN193" s="2">
        <v>2</v>
      </c>
      <c r="AO193" s="2">
        <v>1</v>
      </c>
      <c r="AP193" s="2">
        <v>4</v>
      </c>
      <c r="AQ193" s="2">
        <v>3</v>
      </c>
      <c r="AR193" s="2"/>
      <c r="AS193" s="23">
        <v>44683</v>
      </c>
      <c r="AT193" s="3" t="str">
        <f t="shared" si="36"/>
        <v>0Y6M18D</v>
      </c>
      <c r="AU193" s="3" t="str">
        <f t="shared" si="37"/>
        <v>0Y6M11D</v>
      </c>
      <c r="AV193" s="3">
        <f t="shared" si="38"/>
        <v>0.54794520547945202</v>
      </c>
      <c r="AW193" s="2">
        <v>8</v>
      </c>
      <c r="AX193" s="2"/>
      <c r="AY193" s="3" t="e">
        <f t="shared" si="39"/>
        <v>#NUM!</v>
      </c>
      <c r="AZ193" s="3" t="e">
        <f t="shared" si="40"/>
        <v>#NUM!</v>
      </c>
      <c r="BA193" s="3">
        <f t="shared" si="41"/>
        <v>-121.87123287671233</v>
      </c>
      <c r="BB193" s="2"/>
      <c r="BC193" s="23">
        <v>44684</v>
      </c>
      <c r="BD193" s="3" t="str">
        <f t="shared" si="42"/>
        <v>0Y6M19D</v>
      </c>
      <c r="BE193" s="3" t="str">
        <f t="shared" si="43"/>
        <v>0Y6M12D</v>
      </c>
      <c r="BF193" s="3">
        <f t="shared" si="44"/>
        <v>0.55068493150684927</v>
      </c>
      <c r="BG193" s="2">
        <v>1</v>
      </c>
      <c r="BH193" s="2">
        <v>0</v>
      </c>
    </row>
    <row r="194" spans="1:60" ht="16">
      <c r="A194" s="2" t="s">
        <v>788</v>
      </c>
      <c r="B194" s="2">
        <v>22108366</v>
      </c>
      <c r="C194" s="53" t="s">
        <v>789</v>
      </c>
      <c r="D194" s="23">
        <v>44397</v>
      </c>
      <c r="E194" s="23">
        <v>44463</v>
      </c>
      <c r="F194" s="23">
        <v>44463</v>
      </c>
      <c r="G194" s="2" t="s">
        <v>304</v>
      </c>
      <c r="H194" s="55">
        <v>44616</v>
      </c>
      <c r="I194" s="55">
        <v>44828</v>
      </c>
      <c r="J194" s="23">
        <v>44649</v>
      </c>
      <c r="K194" s="23">
        <v>44649</v>
      </c>
      <c r="L194" s="3" t="str">
        <f t="shared" ref="L194:L207" si="45">DATEDIF(D194,K194,"y")&amp;"Y"&amp;DATEDIF(D194,K194,"ym")&amp;"M"&amp;DATEDIF(D194,K194,"md")&amp;"D"</f>
        <v>0Y8M9D</v>
      </c>
      <c r="M194" s="3" t="str">
        <f t="shared" ref="M194:M207" si="46">DATEDIF(E194,K194,"y")&amp;"Y"&amp;DATEDIF(E194,K194,"ym")&amp;"M"&amp;DATEDIF(E194,K194,"md")&amp;"D"</f>
        <v>0Y6M5D</v>
      </c>
      <c r="N194" s="3">
        <f t="shared" ref="N194:N207" si="47">(K194-F194)/365</f>
        <v>0.50958904109589043</v>
      </c>
      <c r="O194" s="2">
        <v>6</v>
      </c>
      <c r="P194" s="2">
        <v>3</v>
      </c>
      <c r="Q194" s="2" t="s">
        <v>1684</v>
      </c>
      <c r="R194" s="2">
        <v>4</v>
      </c>
      <c r="S194" s="2">
        <v>1</v>
      </c>
      <c r="T194" s="2">
        <v>1</v>
      </c>
      <c r="U194" s="2" t="s">
        <v>1688</v>
      </c>
      <c r="V194" s="2" t="s">
        <v>1661</v>
      </c>
      <c r="W194" s="2">
        <v>2</v>
      </c>
      <c r="X194" s="2">
        <v>1</v>
      </c>
      <c r="Y194" s="2">
        <v>2</v>
      </c>
      <c r="Z194" s="2">
        <v>1</v>
      </c>
      <c r="AA194" s="2">
        <v>3</v>
      </c>
      <c r="AB194" s="2">
        <v>1</v>
      </c>
      <c r="AC194" s="2"/>
      <c r="AD194" s="2">
        <v>2</v>
      </c>
      <c r="AE194" s="2">
        <v>1</v>
      </c>
      <c r="AF194" s="2">
        <v>2</v>
      </c>
      <c r="AG194" s="2">
        <v>1</v>
      </c>
      <c r="AH194" s="23">
        <v>44649</v>
      </c>
      <c r="AI194" s="3" t="str">
        <f t="shared" ref="AI194:AI207" si="48">DATEDIF(D194,AH194,"y")&amp;"Y"&amp;DATEDIF(D194,AH194,"ym")&amp;"M"&amp;DATEDIF(D194,AH194,"md")&amp;"D"</f>
        <v>0Y8M9D</v>
      </c>
      <c r="AJ194" s="3" t="str">
        <f t="shared" ref="AJ194:AJ207" si="49">DATEDIF(E194,AH194,"y")&amp;"Y"&amp;DATEDIF(E194,AH194,"ym")&amp;"M"&amp;DATEDIF(E194,AH194,"md")&amp;"D"</f>
        <v>0Y6M5D</v>
      </c>
      <c r="AK194" s="3">
        <f t="shared" ref="AK194:AK207" si="50">(AH194-F194)/365</f>
        <v>0.50958904109589043</v>
      </c>
      <c r="AL194" s="2">
        <v>3</v>
      </c>
      <c r="AM194" s="2">
        <v>1</v>
      </c>
      <c r="AN194" s="2">
        <v>2</v>
      </c>
      <c r="AO194" s="2">
        <v>1</v>
      </c>
      <c r="AP194" s="2">
        <v>4</v>
      </c>
      <c r="AQ194" s="2">
        <v>3</v>
      </c>
      <c r="AR194" s="2"/>
      <c r="AS194" s="23">
        <v>44645</v>
      </c>
      <c r="AT194" s="3" t="str">
        <f t="shared" ref="AT194:AT207" si="51">DATEDIF(D194,AS194,"y")&amp;"Y"&amp;DATEDIF(D194,AS194,"ym")&amp;"M"&amp;DATEDIF(D194,AS194,"md")&amp;"D"</f>
        <v>0Y8M5D</v>
      </c>
      <c r="AU194" s="3" t="str">
        <f t="shared" ref="AU194:AU207" si="52">DATEDIF(E194,AS194,"y")&amp;"Y"&amp;DATEDIF(E194,AS194,"ym")&amp;"M"&amp;DATEDIF(E194,AS194,"md")&amp;"D"</f>
        <v>0Y6M1D</v>
      </c>
      <c r="AV194" s="3">
        <f t="shared" ref="AV194:AV207" si="53">(AS194-F194)/365</f>
        <v>0.49863013698630138</v>
      </c>
      <c r="AW194" s="2">
        <v>9</v>
      </c>
      <c r="AX194" s="23">
        <v>44649</v>
      </c>
      <c r="AY194" s="3" t="str">
        <f t="shared" ref="AY194:AY207" si="54">DATEDIF(D194,AX194,"y")&amp;"Y"&amp;DATEDIF(D194,AX194,"ym")&amp;"M"&amp;DATEDIF(D194,AX194,"md")&amp;"D"</f>
        <v>0Y8M9D</v>
      </c>
      <c r="AZ194" s="3" t="str">
        <f t="shared" ref="AZ194:AZ207" si="55">DATEDIF(E194,AX194,"y")&amp;"Y"&amp;DATEDIF(E194,AX194,"ym")&amp;"M"&amp;DATEDIF(E194,AX194,"md")&amp;"D"</f>
        <v>0Y6M5D</v>
      </c>
      <c r="BA194" s="3">
        <f t="shared" ref="BA194:BA207" si="56">(AX194-F194)/365</f>
        <v>0.50958904109589043</v>
      </c>
      <c r="BB194" s="2">
        <v>9</v>
      </c>
      <c r="BC194" s="23">
        <v>44649</v>
      </c>
      <c r="BD194" s="3" t="str">
        <f t="shared" ref="BD194:BD207" si="57">DATEDIF(D194,BC194,"y")&amp;"Y"&amp;DATEDIF(D194,BC194,"ym")&amp;"M"&amp;DATEDIF(D194,BC194,"md")&amp;"D"</f>
        <v>0Y8M9D</v>
      </c>
      <c r="BE194" s="3" t="str">
        <f t="shared" ref="BE194:BE207" si="58">DATEDIF(E194,BC194,"y")&amp;"Y"&amp;DATEDIF(E194,BC194,"ym")&amp;"M"&amp;DATEDIF(E194,BC194,"md")&amp;"D"</f>
        <v>0Y6M5D</v>
      </c>
      <c r="BF194" s="3">
        <f t="shared" ref="BF194:BF207" si="59">(BC194-F194)/365</f>
        <v>0.50958904109589043</v>
      </c>
      <c r="BG194" s="2">
        <v>1</v>
      </c>
      <c r="BH194" s="2">
        <v>1</v>
      </c>
    </row>
    <row r="195" spans="1:60" ht="16">
      <c r="A195" s="2" t="s">
        <v>792</v>
      </c>
      <c r="B195" s="2">
        <v>22109864</v>
      </c>
      <c r="C195" s="53" t="s">
        <v>793</v>
      </c>
      <c r="D195" s="23">
        <v>44562</v>
      </c>
      <c r="E195" s="23">
        <v>44566</v>
      </c>
      <c r="F195" s="23">
        <v>44562</v>
      </c>
      <c r="G195" s="2" t="s">
        <v>19</v>
      </c>
      <c r="H195" s="55">
        <v>44717</v>
      </c>
      <c r="I195" s="55">
        <v>44931</v>
      </c>
      <c r="J195" s="23">
        <v>44855</v>
      </c>
      <c r="K195" s="23">
        <v>44855</v>
      </c>
      <c r="L195" s="3" t="str">
        <f t="shared" si="45"/>
        <v>0Y9M20D</v>
      </c>
      <c r="M195" s="3" t="str">
        <f t="shared" si="46"/>
        <v>0Y9M16D</v>
      </c>
      <c r="N195" s="3">
        <f t="shared" si="47"/>
        <v>0.80273972602739729</v>
      </c>
      <c r="O195" s="2">
        <v>6</v>
      </c>
      <c r="P195" s="2">
        <v>3</v>
      </c>
      <c r="Q195" s="2"/>
      <c r="R195" s="2">
        <v>4</v>
      </c>
      <c r="S195" s="2">
        <v>1</v>
      </c>
      <c r="T195" s="2">
        <v>1</v>
      </c>
      <c r="U195" s="2" t="s">
        <v>2204</v>
      </c>
      <c r="V195" s="2"/>
      <c r="W195" s="2">
        <v>2</v>
      </c>
      <c r="X195" s="2">
        <v>1</v>
      </c>
      <c r="Y195" s="2"/>
      <c r="Z195" s="2"/>
      <c r="AA195" s="2">
        <v>3</v>
      </c>
      <c r="AB195" s="2">
        <v>2</v>
      </c>
      <c r="AC195" s="2"/>
      <c r="AD195" s="13">
        <v>2</v>
      </c>
      <c r="AE195" s="13">
        <v>1</v>
      </c>
      <c r="AF195" s="13">
        <v>2</v>
      </c>
      <c r="AG195" s="13">
        <v>1</v>
      </c>
      <c r="AH195" s="23">
        <v>44750</v>
      </c>
      <c r="AI195" s="3" t="str">
        <f t="shared" si="48"/>
        <v>0Y6M7D</v>
      </c>
      <c r="AJ195" s="3" t="str">
        <f t="shared" si="49"/>
        <v>0Y6M3D</v>
      </c>
      <c r="AK195" s="3">
        <f t="shared" si="50"/>
        <v>0.51506849315068493</v>
      </c>
      <c r="AL195" s="2">
        <v>3</v>
      </c>
      <c r="AM195" s="2">
        <v>1</v>
      </c>
      <c r="AN195" s="2">
        <v>2</v>
      </c>
      <c r="AO195" s="2">
        <v>1</v>
      </c>
      <c r="AP195" s="2">
        <v>4</v>
      </c>
      <c r="AQ195" s="2">
        <v>2</v>
      </c>
      <c r="AR195" s="2" t="s">
        <v>1673</v>
      </c>
      <c r="AS195" s="23">
        <v>44746</v>
      </c>
      <c r="AT195" s="3" t="str">
        <f t="shared" si="51"/>
        <v>0Y6M3D</v>
      </c>
      <c r="AU195" s="3" t="str">
        <f t="shared" si="52"/>
        <v>0Y5M29D</v>
      </c>
      <c r="AV195" s="3">
        <f t="shared" si="53"/>
        <v>0.50410958904109593</v>
      </c>
      <c r="AW195" s="2">
        <v>9</v>
      </c>
      <c r="AX195" s="23">
        <v>44748</v>
      </c>
      <c r="AY195" s="3" t="str">
        <f t="shared" si="54"/>
        <v>0Y6M5D</v>
      </c>
      <c r="AZ195" s="3" t="str">
        <f t="shared" si="55"/>
        <v>0Y6M1D</v>
      </c>
      <c r="BA195" s="3">
        <f t="shared" si="56"/>
        <v>0.50958904109589043</v>
      </c>
      <c r="BB195" s="2">
        <v>9</v>
      </c>
      <c r="BC195" s="23">
        <v>44750</v>
      </c>
      <c r="BD195" s="3" t="str">
        <f t="shared" si="57"/>
        <v>0Y6M7D</v>
      </c>
      <c r="BE195" s="3" t="str">
        <f t="shared" si="58"/>
        <v>0Y6M3D</v>
      </c>
      <c r="BF195" s="3">
        <f t="shared" si="59"/>
        <v>0.51506849315068493</v>
      </c>
      <c r="BG195" s="2">
        <v>1</v>
      </c>
      <c r="BH195" s="2">
        <v>0</v>
      </c>
    </row>
    <row r="196" spans="1:60" s="110" customFormat="1" ht="16">
      <c r="A196" s="17" t="s">
        <v>796</v>
      </c>
      <c r="B196" s="17">
        <v>22109794</v>
      </c>
      <c r="C196" s="22" t="s">
        <v>797</v>
      </c>
      <c r="D196" s="40">
        <v>44555</v>
      </c>
      <c r="E196" s="40">
        <v>44616</v>
      </c>
      <c r="F196" s="40">
        <v>44616</v>
      </c>
      <c r="G196" s="17" t="s">
        <v>66</v>
      </c>
      <c r="H196" s="75">
        <v>44766</v>
      </c>
      <c r="I196" s="75">
        <v>44981</v>
      </c>
      <c r="J196" s="17"/>
      <c r="K196" s="17"/>
      <c r="L196" s="21" t="e">
        <f t="shared" si="45"/>
        <v>#NUM!</v>
      </c>
      <c r="M196" s="21" t="e">
        <f t="shared" si="46"/>
        <v>#NUM!</v>
      </c>
      <c r="N196" s="21">
        <f t="shared" si="47"/>
        <v>-122.23561643835616</v>
      </c>
      <c r="O196" s="17"/>
      <c r="P196" s="17"/>
      <c r="Q196" s="17"/>
      <c r="R196" s="17"/>
      <c r="S196" s="17"/>
      <c r="T196" s="17"/>
      <c r="U196" s="17"/>
      <c r="V196" s="17"/>
      <c r="W196" s="17"/>
      <c r="X196" s="17"/>
      <c r="Y196" s="17"/>
      <c r="Z196" s="17"/>
      <c r="AA196" s="17"/>
      <c r="AB196" s="17"/>
      <c r="AC196" s="17"/>
      <c r="AD196" s="17"/>
      <c r="AE196" s="17"/>
      <c r="AF196" s="17"/>
      <c r="AG196" s="17"/>
      <c r="AH196" s="40">
        <v>44789</v>
      </c>
      <c r="AI196" s="21" t="str">
        <f t="shared" si="48"/>
        <v>0Y7M22D</v>
      </c>
      <c r="AJ196" s="21" t="str">
        <f t="shared" si="49"/>
        <v>0Y5M23D</v>
      </c>
      <c r="AK196" s="21">
        <f t="shared" si="50"/>
        <v>0.47397260273972602</v>
      </c>
      <c r="AL196" s="17">
        <v>3</v>
      </c>
      <c r="AM196" s="17">
        <v>1</v>
      </c>
      <c r="AN196" s="17">
        <v>2</v>
      </c>
      <c r="AO196" s="17">
        <v>1</v>
      </c>
      <c r="AP196" s="17">
        <v>4</v>
      </c>
      <c r="AQ196" s="17">
        <v>3</v>
      </c>
      <c r="AR196" s="17"/>
      <c r="AS196" s="40">
        <v>44788</v>
      </c>
      <c r="AT196" s="21" t="str">
        <f t="shared" si="51"/>
        <v>0Y7M21D</v>
      </c>
      <c r="AU196" s="21" t="str">
        <f t="shared" si="52"/>
        <v>0Y5M22D</v>
      </c>
      <c r="AV196" s="21">
        <f t="shared" si="53"/>
        <v>0.47123287671232877</v>
      </c>
      <c r="AW196" s="17">
        <v>9</v>
      </c>
      <c r="AX196" s="17"/>
      <c r="AY196" s="21" t="e">
        <f t="shared" si="54"/>
        <v>#NUM!</v>
      </c>
      <c r="AZ196" s="21" t="e">
        <f t="shared" si="55"/>
        <v>#NUM!</v>
      </c>
      <c r="BA196" s="21">
        <f t="shared" si="56"/>
        <v>-122.23561643835616</v>
      </c>
      <c r="BB196" s="17"/>
      <c r="BC196" s="40">
        <v>44789</v>
      </c>
      <c r="BD196" s="21" t="str">
        <f t="shared" si="57"/>
        <v>0Y7M22D</v>
      </c>
      <c r="BE196" s="21" t="str">
        <f t="shared" si="58"/>
        <v>0Y5M23D</v>
      </c>
      <c r="BF196" s="21">
        <f t="shared" si="59"/>
        <v>0.47397260273972602</v>
      </c>
      <c r="BG196" s="17">
        <v>1</v>
      </c>
      <c r="BH196" s="17">
        <v>1</v>
      </c>
    </row>
    <row r="197" spans="1:60" s="127" customFormat="1" ht="16">
      <c r="A197" s="131" t="s">
        <v>800</v>
      </c>
      <c r="B197" s="131">
        <v>37900814</v>
      </c>
      <c r="C197" s="136" t="s">
        <v>801</v>
      </c>
      <c r="D197" s="132">
        <v>44500</v>
      </c>
      <c r="E197" s="132">
        <v>44500</v>
      </c>
      <c r="F197" s="132">
        <v>44500</v>
      </c>
      <c r="G197" s="131">
        <v>39</v>
      </c>
      <c r="H197" s="85">
        <v>44651</v>
      </c>
      <c r="I197" s="85">
        <v>44865</v>
      </c>
      <c r="J197" s="131"/>
      <c r="K197" s="131" t="s">
        <v>18</v>
      </c>
      <c r="L197" s="133" t="e">
        <f t="shared" si="45"/>
        <v>#VALUE!</v>
      </c>
      <c r="M197" s="133" t="e">
        <f t="shared" si="46"/>
        <v>#VALUE!</v>
      </c>
      <c r="N197" s="133" t="e">
        <f t="shared" si="47"/>
        <v>#VALUE!</v>
      </c>
      <c r="O197" s="20"/>
      <c r="P197" s="20"/>
      <c r="Q197" s="20"/>
      <c r="R197" s="20"/>
      <c r="S197" s="20"/>
      <c r="T197" s="20"/>
      <c r="U197" s="20"/>
      <c r="V197" s="20"/>
      <c r="W197" s="20"/>
      <c r="X197" s="20"/>
      <c r="Y197" s="20"/>
      <c r="Z197" s="20"/>
      <c r="AA197" s="20"/>
      <c r="AB197" s="20"/>
      <c r="AC197" s="20"/>
      <c r="AD197" s="20"/>
      <c r="AE197" s="20"/>
      <c r="AF197" s="20"/>
      <c r="AG197" s="20"/>
      <c r="AH197" s="131"/>
      <c r="AI197" s="133" t="e">
        <f t="shared" si="48"/>
        <v>#NUM!</v>
      </c>
      <c r="AJ197" s="133" t="e">
        <f t="shared" si="49"/>
        <v>#NUM!</v>
      </c>
      <c r="AK197" s="133">
        <f t="shared" si="50"/>
        <v>-121.91780821917808</v>
      </c>
      <c r="AL197" s="20"/>
      <c r="AM197" s="20"/>
      <c r="AN197" s="20"/>
      <c r="AO197" s="20"/>
      <c r="AP197" s="20"/>
      <c r="AQ197" s="20"/>
      <c r="AR197" s="20"/>
      <c r="AS197" s="131"/>
      <c r="AT197" s="133" t="e">
        <f t="shared" si="51"/>
        <v>#NUM!</v>
      </c>
      <c r="AU197" s="133" t="e">
        <f t="shared" si="52"/>
        <v>#NUM!</v>
      </c>
      <c r="AV197" s="133">
        <f t="shared" si="53"/>
        <v>-121.91780821917808</v>
      </c>
      <c r="AW197" s="20"/>
      <c r="AX197" s="131"/>
      <c r="AY197" s="133" t="e">
        <f t="shared" si="54"/>
        <v>#NUM!</v>
      </c>
      <c r="AZ197" s="133" t="e">
        <f t="shared" si="55"/>
        <v>#NUM!</v>
      </c>
      <c r="BA197" s="133">
        <f t="shared" si="56"/>
        <v>-121.91780821917808</v>
      </c>
      <c r="BB197" s="20"/>
      <c r="BC197" s="131"/>
      <c r="BD197" s="133" t="e">
        <f t="shared" si="57"/>
        <v>#NUM!</v>
      </c>
      <c r="BE197" s="133" t="e">
        <f t="shared" si="58"/>
        <v>#NUM!</v>
      </c>
      <c r="BF197" s="133">
        <f t="shared" si="59"/>
        <v>-121.91780821917808</v>
      </c>
      <c r="BG197" s="131"/>
      <c r="BH197" s="131">
        <v>1</v>
      </c>
    </row>
    <row r="198" spans="1:60" ht="16">
      <c r="A198" s="2" t="s">
        <v>804</v>
      </c>
      <c r="B198" s="2">
        <v>22108914</v>
      </c>
      <c r="C198" s="53" t="s">
        <v>805</v>
      </c>
      <c r="D198" s="23">
        <v>44458</v>
      </c>
      <c r="E198" s="23">
        <v>44463</v>
      </c>
      <c r="F198" s="23">
        <v>44458</v>
      </c>
      <c r="G198" s="2" t="s">
        <v>452</v>
      </c>
      <c r="H198" s="55">
        <v>44616</v>
      </c>
      <c r="I198" s="55">
        <v>44828</v>
      </c>
      <c r="J198" s="23">
        <v>44642</v>
      </c>
      <c r="K198" s="23">
        <v>44642</v>
      </c>
      <c r="L198" s="3" t="str">
        <f t="shared" si="45"/>
        <v>0Y6M3D</v>
      </c>
      <c r="M198" s="3" t="str">
        <f t="shared" si="46"/>
        <v>0Y5M26D</v>
      </c>
      <c r="N198" s="3">
        <f t="shared" si="47"/>
        <v>0.50410958904109593</v>
      </c>
      <c r="O198" s="2">
        <v>6</v>
      </c>
      <c r="P198" s="2">
        <v>3</v>
      </c>
      <c r="Q198" s="2"/>
      <c r="R198" s="2">
        <v>4</v>
      </c>
      <c r="S198" s="2">
        <v>1</v>
      </c>
      <c r="T198" s="2">
        <v>1</v>
      </c>
      <c r="U198" s="2" t="s">
        <v>1684</v>
      </c>
      <c r="V198" s="2" t="s">
        <v>1664</v>
      </c>
      <c r="W198" s="2">
        <v>2</v>
      </c>
      <c r="X198" s="2">
        <v>1</v>
      </c>
      <c r="Y198" s="2">
        <v>2</v>
      </c>
      <c r="Z198" s="2">
        <v>1</v>
      </c>
      <c r="AA198" s="2">
        <v>3</v>
      </c>
      <c r="AB198" s="2">
        <v>1</v>
      </c>
      <c r="AC198" s="2" t="s">
        <v>1712</v>
      </c>
      <c r="AD198" s="2">
        <v>2</v>
      </c>
      <c r="AE198" s="2">
        <v>1</v>
      </c>
      <c r="AF198" s="2">
        <v>2</v>
      </c>
      <c r="AG198" s="2">
        <v>1</v>
      </c>
      <c r="AH198" s="23">
        <v>44743</v>
      </c>
      <c r="AI198" s="3" t="str">
        <f t="shared" si="48"/>
        <v>0Y9M12D</v>
      </c>
      <c r="AJ198" s="3" t="str">
        <f t="shared" si="49"/>
        <v>0Y9M7D</v>
      </c>
      <c r="AK198" s="3">
        <f t="shared" si="50"/>
        <v>0.78082191780821919</v>
      </c>
      <c r="AL198" s="2">
        <v>3</v>
      </c>
      <c r="AM198" s="2">
        <v>1</v>
      </c>
      <c r="AN198" s="2">
        <v>2</v>
      </c>
      <c r="AO198" s="2">
        <v>1</v>
      </c>
      <c r="AP198" s="2">
        <v>4</v>
      </c>
      <c r="AQ198" s="2">
        <v>3</v>
      </c>
      <c r="AR198" s="2"/>
      <c r="AS198" s="23">
        <v>44742</v>
      </c>
      <c r="AT198" s="3" t="str">
        <f t="shared" si="51"/>
        <v>0Y9M11D</v>
      </c>
      <c r="AU198" s="3" t="str">
        <f t="shared" si="52"/>
        <v>0Y9M6D</v>
      </c>
      <c r="AV198" s="3">
        <f t="shared" si="53"/>
        <v>0.77808219178082194</v>
      </c>
      <c r="AW198" s="2">
        <v>9</v>
      </c>
      <c r="AX198" s="23">
        <v>44743</v>
      </c>
      <c r="AY198" s="3" t="str">
        <f t="shared" si="54"/>
        <v>0Y9M12D</v>
      </c>
      <c r="AZ198" s="3" t="str">
        <f t="shared" si="55"/>
        <v>0Y9M7D</v>
      </c>
      <c r="BA198" s="3">
        <f t="shared" si="56"/>
        <v>0.78082191780821919</v>
      </c>
      <c r="BB198" s="2">
        <v>9</v>
      </c>
      <c r="BC198" s="23">
        <v>44642</v>
      </c>
      <c r="BD198" s="3" t="str">
        <f t="shared" si="57"/>
        <v>0Y6M3D</v>
      </c>
      <c r="BE198" s="3" t="str">
        <f t="shared" si="58"/>
        <v>0Y5M26D</v>
      </c>
      <c r="BF198" s="3">
        <f t="shared" si="59"/>
        <v>0.50410958904109593</v>
      </c>
      <c r="BG198" s="2">
        <v>1</v>
      </c>
      <c r="BH198" s="2">
        <v>0</v>
      </c>
    </row>
    <row r="199" spans="1:60" ht="16">
      <c r="A199" s="2" t="s">
        <v>807</v>
      </c>
      <c r="B199" s="2">
        <v>22108784</v>
      </c>
      <c r="C199" s="53" t="s">
        <v>847</v>
      </c>
      <c r="D199" s="23">
        <v>44444</v>
      </c>
      <c r="E199" s="23">
        <v>44511</v>
      </c>
      <c r="F199" s="23">
        <v>44511</v>
      </c>
      <c r="G199" s="2" t="s">
        <v>139</v>
      </c>
      <c r="H199" s="55">
        <v>44662</v>
      </c>
      <c r="I199" s="55">
        <v>44876</v>
      </c>
      <c r="J199" s="23">
        <v>44684</v>
      </c>
      <c r="K199" s="23">
        <v>44684</v>
      </c>
      <c r="L199" s="3" t="str">
        <f t="shared" si="45"/>
        <v>0Y7M28D</v>
      </c>
      <c r="M199" s="3" t="str">
        <f t="shared" si="46"/>
        <v>0Y5M22D</v>
      </c>
      <c r="N199" s="3">
        <f t="shared" si="47"/>
        <v>0.47397260273972602</v>
      </c>
      <c r="O199" s="2">
        <v>6</v>
      </c>
      <c r="P199" s="2">
        <v>2</v>
      </c>
      <c r="Q199" s="2" t="s">
        <v>1703</v>
      </c>
      <c r="R199" s="2">
        <v>4</v>
      </c>
      <c r="S199" s="2">
        <v>1</v>
      </c>
      <c r="T199" s="2">
        <v>1</v>
      </c>
      <c r="U199" s="2"/>
      <c r="V199" s="2" t="s">
        <v>1661</v>
      </c>
      <c r="W199" s="2">
        <v>2</v>
      </c>
      <c r="X199" s="2">
        <v>1</v>
      </c>
      <c r="Y199" s="2">
        <v>2</v>
      </c>
      <c r="Z199" s="2">
        <v>1</v>
      </c>
      <c r="AA199" s="2">
        <v>3</v>
      </c>
      <c r="AB199" s="2"/>
      <c r="AC199" s="2" t="s">
        <v>1682</v>
      </c>
      <c r="AD199" s="2">
        <v>2</v>
      </c>
      <c r="AE199" s="2">
        <v>1</v>
      </c>
      <c r="AF199" s="2">
        <v>2</v>
      </c>
      <c r="AG199" s="2">
        <v>1</v>
      </c>
      <c r="AH199" s="23">
        <v>44684</v>
      </c>
      <c r="AI199" s="3" t="str">
        <f t="shared" si="48"/>
        <v>0Y7M28D</v>
      </c>
      <c r="AJ199" s="3" t="str">
        <f t="shared" si="49"/>
        <v>0Y5M22D</v>
      </c>
      <c r="AK199" s="3">
        <f t="shared" si="50"/>
        <v>0.47397260273972602</v>
      </c>
      <c r="AL199" s="2">
        <v>3</v>
      </c>
      <c r="AM199" s="2">
        <v>1</v>
      </c>
      <c r="AN199" s="2">
        <v>2</v>
      </c>
      <c r="AO199" s="2">
        <v>1</v>
      </c>
      <c r="AP199" s="2">
        <v>4</v>
      </c>
      <c r="AQ199" s="2">
        <v>3</v>
      </c>
      <c r="AR199" s="2"/>
      <c r="AS199" s="23">
        <v>44682</v>
      </c>
      <c r="AT199" s="3" t="str">
        <f t="shared" si="51"/>
        <v>0Y7M26D</v>
      </c>
      <c r="AU199" s="3" t="str">
        <f t="shared" si="52"/>
        <v>0Y5M20D</v>
      </c>
      <c r="AV199" s="3">
        <f t="shared" si="53"/>
        <v>0.46849315068493153</v>
      </c>
      <c r="AW199" s="2">
        <v>9</v>
      </c>
      <c r="AX199" s="23">
        <v>44682</v>
      </c>
      <c r="AY199" s="3" t="str">
        <f t="shared" si="54"/>
        <v>0Y7M26D</v>
      </c>
      <c r="AZ199" s="3" t="str">
        <f t="shared" si="55"/>
        <v>0Y5M20D</v>
      </c>
      <c r="BA199" s="3">
        <f t="shared" si="56"/>
        <v>0.46849315068493153</v>
      </c>
      <c r="BB199" s="2">
        <v>9</v>
      </c>
      <c r="BC199" s="23">
        <v>44684</v>
      </c>
      <c r="BD199" s="3" t="str">
        <f t="shared" si="57"/>
        <v>0Y7M28D</v>
      </c>
      <c r="BE199" s="3" t="str">
        <f t="shared" si="58"/>
        <v>0Y5M22D</v>
      </c>
      <c r="BF199" s="3">
        <f t="shared" si="59"/>
        <v>0.47397260273972602</v>
      </c>
      <c r="BG199" s="2">
        <v>1</v>
      </c>
      <c r="BH199" s="2">
        <v>1</v>
      </c>
    </row>
    <row r="200" spans="1:60" ht="16">
      <c r="A200" s="2" t="s">
        <v>811</v>
      </c>
      <c r="B200" s="2">
        <v>22109526</v>
      </c>
      <c r="C200" s="53" t="s">
        <v>812</v>
      </c>
      <c r="D200" s="23">
        <v>44525</v>
      </c>
      <c r="E200" s="23">
        <v>44527</v>
      </c>
      <c r="F200" s="23">
        <v>44525</v>
      </c>
      <c r="G200" s="2" t="s">
        <v>745</v>
      </c>
      <c r="H200" s="55">
        <v>44678</v>
      </c>
      <c r="I200" s="55">
        <v>44892</v>
      </c>
      <c r="J200" s="23">
        <v>44712</v>
      </c>
      <c r="K200" s="23">
        <v>44712</v>
      </c>
      <c r="L200" s="3" t="str">
        <f t="shared" si="45"/>
        <v>0Y6M6D</v>
      </c>
      <c r="M200" s="3" t="str">
        <f t="shared" si="46"/>
        <v>0Y6M4D</v>
      </c>
      <c r="N200" s="3">
        <f t="shared" si="47"/>
        <v>0.51232876712328768</v>
      </c>
      <c r="O200" s="2">
        <v>6</v>
      </c>
      <c r="P200" s="2">
        <v>5</v>
      </c>
      <c r="Q200" s="2"/>
      <c r="R200" s="2">
        <v>5</v>
      </c>
      <c r="S200" s="2">
        <v>1</v>
      </c>
      <c r="T200" s="2">
        <v>1</v>
      </c>
      <c r="U200" s="2" t="s">
        <v>1688</v>
      </c>
      <c r="V200" s="2" t="s">
        <v>1661</v>
      </c>
      <c r="W200" s="2">
        <v>2</v>
      </c>
      <c r="X200" s="2">
        <v>1</v>
      </c>
      <c r="Y200" s="2">
        <v>2</v>
      </c>
      <c r="Z200" s="2">
        <v>1</v>
      </c>
      <c r="AA200" s="2">
        <v>3</v>
      </c>
      <c r="AB200" s="2">
        <v>1</v>
      </c>
      <c r="AC200" s="2" t="s">
        <v>1663</v>
      </c>
      <c r="AD200" s="2">
        <v>2</v>
      </c>
      <c r="AE200" s="2">
        <v>1</v>
      </c>
      <c r="AF200" s="2">
        <v>2</v>
      </c>
      <c r="AG200" s="2">
        <v>1</v>
      </c>
      <c r="AH200" s="23">
        <v>44712</v>
      </c>
      <c r="AI200" s="3" t="str">
        <f t="shared" si="48"/>
        <v>0Y6M6D</v>
      </c>
      <c r="AJ200" s="3" t="str">
        <f t="shared" si="49"/>
        <v>0Y6M4D</v>
      </c>
      <c r="AK200" s="3">
        <f t="shared" si="50"/>
        <v>0.51232876712328768</v>
      </c>
      <c r="AL200" s="2">
        <v>3</v>
      </c>
      <c r="AM200" s="2">
        <v>1</v>
      </c>
      <c r="AN200" s="2">
        <v>2</v>
      </c>
      <c r="AO200" s="2">
        <v>1</v>
      </c>
      <c r="AP200" s="2">
        <v>4</v>
      </c>
      <c r="AQ200" s="2">
        <v>3</v>
      </c>
      <c r="AR200" s="2"/>
      <c r="AS200" s="23">
        <v>44710</v>
      </c>
      <c r="AT200" s="3" t="str">
        <f t="shared" si="51"/>
        <v>0Y6M4D</v>
      </c>
      <c r="AU200" s="3" t="str">
        <f t="shared" si="52"/>
        <v>0Y6M2D</v>
      </c>
      <c r="AV200" s="3">
        <f t="shared" si="53"/>
        <v>0.50684931506849318</v>
      </c>
      <c r="AW200" s="2">
        <v>9</v>
      </c>
      <c r="AX200" s="2"/>
      <c r="AY200" s="3" t="e">
        <f t="shared" si="54"/>
        <v>#NUM!</v>
      </c>
      <c r="AZ200" s="3" t="e">
        <f t="shared" si="55"/>
        <v>#NUM!</v>
      </c>
      <c r="BA200" s="3">
        <f t="shared" si="56"/>
        <v>-121.98630136986301</v>
      </c>
      <c r="BB200" s="2"/>
      <c r="BC200" s="23">
        <v>44712</v>
      </c>
      <c r="BD200" s="3" t="str">
        <f t="shared" si="57"/>
        <v>0Y6M6D</v>
      </c>
      <c r="BE200" s="3" t="str">
        <f t="shared" si="58"/>
        <v>0Y6M4D</v>
      </c>
      <c r="BF200" s="3">
        <f t="shared" si="59"/>
        <v>0.51232876712328768</v>
      </c>
      <c r="BG200" s="2">
        <v>1</v>
      </c>
      <c r="BH200" s="2"/>
    </row>
    <row r="201" spans="1:60" ht="16">
      <c r="A201" s="2" t="s">
        <v>815</v>
      </c>
      <c r="B201" s="2">
        <v>22109482</v>
      </c>
      <c r="C201" s="53" t="s">
        <v>816</v>
      </c>
      <c r="D201" s="23">
        <v>44520</v>
      </c>
      <c r="E201" s="23">
        <v>44522</v>
      </c>
      <c r="F201" s="23">
        <v>44520</v>
      </c>
      <c r="G201" s="2" t="s">
        <v>745</v>
      </c>
      <c r="H201" s="55">
        <v>44673</v>
      </c>
      <c r="I201" s="55">
        <v>44887</v>
      </c>
      <c r="J201" s="23">
        <v>44705</v>
      </c>
      <c r="K201" s="23">
        <v>44705</v>
      </c>
      <c r="L201" s="3" t="str">
        <f t="shared" si="45"/>
        <v>0Y6M4D</v>
      </c>
      <c r="M201" s="3" t="str">
        <f t="shared" si="46"/>
        <v>0Y6M2D</v>
      </c>
      <c r="N201" s="3">
        <f t="shared" si="47"/>
        <v>0.50684931506849318</v>
      </c>
      <c r="O201" s="2">
        <v>6</v>
      </c>
      <c r="P201" s="2">
        <v>3</v>
      </c>
      <c r="Q201" s="2"/>
      <c r="R201" s="2">
        <v>5</v>
      </c>
      <c r="S201" s="2">
        <v>1</v>
      </c>
      <c r="T201" s="2"/>
      <c r="U201" s="2" t="s">
        <v>1663</v>
      </c>
      <c r="V201" s="2" t="s">
        <v>1685</v>
      </c>
      <c r="W201" s="2">
        <v>2</v>
      </c>
      <c r="X201" s="2">
        <v>1</v>
      </c>
      <c r="Y201" s="2">
        <v>2</v>
      </c>
      <c r="Z201" s="2">
        <v>1</v>
      </c>
      <c r="AA201" s="2">
        <v>3</v>
      </c>
      <c r="AB201" s="2">
        <v>1</v>
      </c>
      <c r="AC201" s="2" t="s">
        <v>1660</v>
      </c>
      <c r="AD201" s="2">
        <v>2</v>
      </c>
      <c r="AE201" s="2">
        <v>1</v>
      </c>
      <c r="AF201" s="2">
        <v>2</v>
      </c>
      <c r="AG201" s="2">
        <v>1</v>
      </c>
      <c r="AH201" s="23">
        <v>44705</v>
      </c>
      <c r="AI201" s="3" t="str">
        <f t="shared" si="48"/>
        <v>0Y6M4D</v>
      </c>
      <c r="AJ201" s="3" t="str">
        <f t="shared" si="49"/>
        <v>0Y6M2D</v>
      </c>
      <c r="AK201" s="3">
        <f t="shared" si="50"/>
        <v>0.50684931506849318</v>
      </c>
      <c r="AL201" s="2">
        <v>3</v>
      </c>
      <c r="AM201" s="2">
        <v>1</v>
      </c>
      <c r="AN201" s="2">
        <v>2</v>
      </c>
      <c r="AO201" s="2">
        <v>1</v>
      </c>
      <c r="AP201" s="2">
        <v>4</v>
      </c>
      <c r="AQ201" s="2">
        <v>3</v>
      </c>
      <c r="AR201" s="2"/>
      <c r="AS201" s="23">
        <v>44701</v>
      </c>
      <c r="AT201" s="3" t="str">
        <f t="shared" si="51"/>
        <v>0Y6M0D</v>
      </c>
      <c r="AU201" s="3" t="str">
        <f t="shared" si="52"/>
        <v>0Y5M28D</v>
      </c>
      <c r="AV201" s="3">
        <f t="shared" si="53"/>
        <v>0.49589041095890413</v>
      </c>
      <c r="AW201" s="2">
        <v>9</v>
      </c>
      <c r="AX201" s="2"/>
      <c r="AY201" s="3" t="e">
        <f t="shared" si="54"/>
        <v>#NUM!</v>
      </c>
      <c r="AZ201" s="3" t="e">
        <f t="shared" si="55"/>
        <v>#NUM!</v>
      </c>
      <c r="BA201" s="3">
        <f t="shared" si="56"/>
        <v>-121.97260273972603</v>
      </c>
      <c r="BB201" s="2"/>
      <c r="BC201" s="23">
        <v>44705</v>
      </c>
      <c r="BD201" s="3" t="str">
        <f t="shared" si="57"/>
        <v>0Y6M4D</v>
      </c>
      <c r="BE201" s="3" t="str">
        <f t="shared" si="58"/>
        <v>0Y6M2D</v>
      </c>
      <c r="BF201" s="3">
        <f t="shared" si="59"/>
        <v>0.50684931506849318</v>
      </c>
      <c r="BG201" s="2">
        <v>1</v>
      </c>
      <c r="BH201" s="2"/>
    </row>
    <row r="202" spans="1:60" s="110" customFormat="1" ht="16">
      <c r="A202" s="17" t="s">
        <v>818</v>
      </c>
      <c r="B202" s="17">
        <v>22109057</v>
      </c>
      <c r="C202" s="22" t="s">
        <v>819</v>
      </c>
      <c r="D202" s="40">
        <v>44476</v>
      </c>
      <c r="E202" s="40">
        <v>44575</v>
      </c>
      <c r="F202" s="40">
        <v>44575</v>
      </c>
      <c r="G202" s="17" t="s">
        <v>820</v>
      </c>
      <c r="H202" s="75">
        <v>44726</v>
      </c>
      <c r="I202" s="75">
        <v>44940</v>
      </c>
      <c r="J202" s="40">
        <v>44792</v>
      </c>
      <c r="K202" s="40">
        <v>44792</v>
      </c>
      <c r="L202" s="21" t="str">
        <f t="shared" si="45"/>
        <v>0Y10M12D</v>
      </c>
      <c r="M202" s="21" t="str">
        <f t="shared" si="46"/>
        <v>0Y7M5D</v>
      </c>
      <c r="N202" s="21">
        <f t="shared" si="47"/>
        <v>0.59452054794520548</v>
      </c>
      <c r="O202" s="17">
        <v>6</v>
      </c>
      <c r="P202" s="17">
        <v>3</v>
      </c>
      <c r="Q202" s="17" t="s">
        <v>1665</v>
      </c>
      <c r="R202" s="17">
        <v>5</v>
      </c>
      <c r="S202" s="17">
        <v>1</v>
      </c>
      <c r="T202" s="17">
        <v>1</v>
      </c>
      <c r="U202" s="17" t="s">
        <v>1666</v>
      </c>
      <c r="V202" s="17" t="s">
        <v>1661</v>
      </c>
      <c r="W202" s="17">
        <v>2</v>
      </c>
      <c r="X202" s="17">
        <v>1</v>
      </c>
      <c r="Y202" s="17">
        <v>3</v>
      </c>
      <c r="Z202" s="17">
        <v>1</v>
      </c>
      <c r="AA202" s="17">
        <v>3</v>
      </c>
      <c r="AB202" s="17">
        <v>1</v>
      </c>
      <c r="AC202" s="17"/>
      <c r="AD202" s="17">
        <v>2</v>
      </c>
      <c r="AE202" s="17">
        <v>1</v>
      </c>
      <c r="AF202" s="17">
        <v>2</v>
      </c>
      <c r="AG202" s="17">
        <v>1</v>
      </c>
      <c r="AH202" s="17" t="s">
        <v>1770</v>
      </c>
      <c r="AI202" s="21" t="e">
        <f t="shared" si="48"/>
        <v>#VALUE!</v>
      </c>
      <c r="AJ202" s="21" t="e">
        <f t="shared" si="49"/>
        <v>#VALUE!</v>
      </c>
      <c r="AK202" s="21" t="e">
        <f t="shared" si="50"/>
        <v>#VALUE!</v>
      </c>
      <c r="AL202" s="17"/>
      <c r="AM202" s="17"/>
      <c r="AN202" s="17"/>
      <c r="AO202" s="17"/>
      <c r="AP202" s="17"/>
      <c r="AQ202" s="17"/>
      <c r="AR202" s="17"/>
      <c r="AS202" s="40">
        <v>44790</v>
      </c>
      <c r="AT202" s="21" t="str">
        <f t="shared" si="51"/>
        <v>0Y10M10D</v>
      </c>
      <c r="AU202" s="21" t="str">
        <f t="shared" si="52"/>
        <v>0Y7M3D</v>
      </c>
      <c r="AV202" s="21">
        <f t="shared" si="53"/>
        <v>0.58904109589041098</v>
      </c>
      <c r="AW202" s="17">
        <v>9</v>
      </c>
      <c r="AX202" s="17"/>
      <c r="AY202" s="21" t="e">
        <f t="shared" si="54"/>
        <v>#NUM!</v>
      </c>
      <c r="AZ202" s="21" t="e">
        <f t="shared" si="55"/>
        <v>#NUM!</v>
      </c>
      <c r="BA202" s="21">
        <f t="shared" si="56"/>
        <v>-122.12328767123287</v>
      </c>
      <c r="BB202" s="17"/>
      <c r="BC202" s="40">
        <v>44792</v>
      </c>
      <c r="BD202" s="21" t="str">
        <f t="shared" si="57"/>
        <v>0Y10M12D</v>
      </c>
      <c r="BE202" s="21" t="str">
        <f t="shared" si="58"/>
        <v>0Y7M5D</v>
      </c>
      <c r="BF202" s="21">
        <f t="shared" si="59"/>
        <v>0.59452054794520548</v>
      </c>
      <c r="BG202" s="17">
        <v>1</v>
      </c>
      <c r="BH202" s="17"/>
    </row>
    <row r="203" spans="1:60" ht="16">
      <c r="A203" s="2" t="s">
        <v>822</v>
      </c>
      <c r="B203" s="2">
        <v>22109404</v>
      </c>
      <c r="C203" s="53" t="s">
        <v>823</v>
      </c>
      <c r="D203" s="23">
        <v>44512</v>
      </c>
      <c r="E203" s="23">
        <v>44515</v>
      </c>
      <c r="F203" s="23">
        <v>44512</v>
      </c>
      <c r="G203" s="2" t="s">
        <v>560</v>
      </c>
      <c r="H203" s="55">
        <v>44666</v>
      </c>
      <c r="I203" s="55">
        <v>44880</v>
      </c>
      <c r="J203" s="23">
        <v>44729</v>
      </c>
      <c r="K203" s="23">
        <v>44729</v>
      </c>
      <c r="L203" s="3" t="str">
        <f t="shared" si="45"/>
        <v>0Y7M5D</v>
      </c>
      <c r="M203" s="3" t="str">
        <f t="shared" si="46"/>
        <v>0Y7M2D</v>
      </c>
      <c r="N203" s="3">
        <f t="shared" si="47"/>
        <v>0.59452054794520548</v>
      </c>
      <c r="O203" s="2">
        <v>6</v>
      </c>
      <c r="P203" s="2">
        <v>4</v>
      </c>
      <c r="Q203" s="2"/>
      <c r="R203" s="2">
        <v>5</v>
      </c>
      <c r="S203" s="2">
        <v>1</v>
      </c>
      <c r="T203" s="2">
        <v>1</v>
      </c>
      <c r="U203" s="2" t="s">
        <v>1660</v>
      </c>
      <c r="V203" s="2" t="s">
        <v>1661</v>
      </c>
      <c r="W203" s="2">
        <v>2</v>
      </c>
      <c r="X203" s="2">
        <v>1</v>
      </c>
      <c r="Y203" s="2">
        <v>2</v>
      </c>
      <c r="Z203" s="2">
        <v>1</v>
      </c>
      <c r="AA203" s="2">
        <v>3</v>
      </c>
      <c r="AB203" s="2">
        <v>1</v>
      </c>
      <c r="AC203" s="2" t="s">
        <v>1771</v>
      </c>
      <c r="AD203" s="2">
        <v>2</v>
      </c>
      <c r="AE203" s="2">
        <v>1</v>
      </c>
      <c r="AF203" s="2">
        <v>2</v>
      </c>
      <c r="AG203" s="2">
        <v>1</v>
      </c>
      <c r="AH203" s="23">
        <v>44729</v>
      </c>
      <c r="AI203" s="3" t="str">
        <f t="shared" si="48"/>
        <v>0Y7M5D</v>
      </c>
      <c r="AJ203" s="3" t="str">
        <f t="shared" si="49"/>
        <v>0Y7M2D</v>
      </c>
      <c r="AK203" s="3">
        <f t="shared" si="50"/>
        <v>0.59452054794520548</v>
      </c>
      <c r="AL203" s="2">
        <v>3</v>
      </c>
      <c r="AM203" s="2">
        <v>1</v>
      </c>
      <c r="AN203" s="2">
        <v>2</v>
      </c>
      <c r="AO203" s="2">
        <v>1</v>
      </c>
      <c r="AP203" s="2">
        <v>4</v>
      </c>
      <c r="AQ203" s="2">
        <v>3</v>
      </c>
      <c r="AR203" s="2"/>
      <c r="AS203" s="23">
        <v>44726</v>
      </c>
      <c r="AT203" s="3" t="str">
        <f t="shared" si="51"/>
        <v>0Y7M2D</v>
      </c>
      <c r="AU203" s="3" t="str">
        <f t="shared" si="52"/>
        <v>0Y6M30D</v>
      </c>
      <c r="AV203" s="3">
        <f t="shared" si="53"/>
        <v>0.58630136986301373</v>
      </c>
      <c r="AW203" s="2">
        <v>9</v>
      </c>
      <c r="AX203" s="23">
        <v>44728</v>
      </c>
      <c r="AY203" s="3" t="str">
        <f t="shared" si="54"/>
        <v>0Y7M4D</v>
      </c>
      <c r="AZ203" s="3" t="str">
        <f t="shared" si="55"/>
        <v>0Y7M1D</v>
      </c>
      <c r="BA203" s="3">
        <f t="shared" si="56"/>
        <v>0.59178082191780823</v>
      </c>
      <c r="BB203" s="2">
        <v>9</v>
      </c>
      <c r="BC203" s="23">
        <v>44729</v>
      </c>
      <c r="BD203" s="3" t="str">
        <f t="shared" si="57"/>
        <v>0Y7M5D</v>
      </c>
      <c r="BE203" s="3" t="str">
        <f t="shared" si="58"/>
        <v>0Y7M2D</v>
      </c>
      <c r="BF203" s="3">
        <f t="shared" si="59"/>
        <v>0.59452054794520548</v>
      </c>
      <c r="BG203" s="2">
        <v>1</v>
      </c>
      <c r="BH203" s="2"/>
    </row>
    <row r="204" spans="1:60" s="127" customFormat="1" ht="16">
      <c r="A204" s="20" t="s">
        <v>825</v>
      </c>
      <c r="B204" s="20">
        <v>22107380</v>
      </c>
      <c r="C204" s="134" t="s">
        <v>826</v>
      </c>
      <c r="D204" s="45">
        <v>44293</v>
      </c>
      <c r="E204" s="45">
        <v>44392</v>
      </c>
      <c r="F204" s="45">
        <v>44392</v>
      </c>
      <c r="G204" s="20" t="s">
        <v>820</v>
      </c>
      <c r="H204" s="85">
        <v>44545</v>
      </c>
      <c r="I204" s="85">
        <v>44757</v>
      </c>
      <c r="J204" s="20"/>
      <c r="K204" s="20"/>
      <c r="L204" s="71" t="e">
        <f t="shared" si="45"/>
        <v>#NUM!</v>
      </c>
      <c r="M204" s="71" t="e">
        <f t="shared" si="46"/>
        <v>#NUM!</v>
      </c>
      <c r="N204" s="71">
        <f t="shared" si="47"/>
        <v>-121.62191780821918</v>
      </c>
      <c r="O204" s="20"/>
      <c r="P204" s="20"/>
      <c r="Q204" s="20"/>
      <c r="R204" s="20"/>
      <c r="S204" s="20"/>
      <c r="T204" s="20"/>
      <c r="U204" s="20"/>
      <c r="V204" s="20"/>
      <c r="W204" s="20"/>
      <c r="X204" s="20"/>
      <c r="Y204" s="20"/>
      <c r="Z204" s="20"/>
      <c r="AA204" s="20"/>
      <c r="AB204" s="20"/>
      <c r="AC204" s="20"/>
      <c r="AD204" s="20"/>
      <c r="AE204" s="20"/>
      <c r="AF204" s="20"/>
      <c r="AG204" s="20"/>
      <c r="AH204" s="20"/>
      <c r="AI204" s="71" t="e">
        <f t="shared" si="48"/>
        <v>#NUM!</v>
      </c>
      <c r="AJ204" s="71" t="e">
        <f t="shared" si="49"/>
        <v>#NUM!</v>
      </c>
      <c r="AK204" s="71">
        <f t="shared" si="50"/>
        <v>-121.62191780821918</v>
      </c>
      <c r="AL204" s="20"/>
      <c r="AM204" s="20"/>
      <c r="AN204" s="20"/>
      <c r="AO204" s="20"/>
      <c r="AP204" s="20"/>
      <c r="AQ204" s="20"/>
      <c r="AR204" s="20"/>
      <c r="AS204" s="20"/>
      <c r="AT204" s="71" t="e">
        <f t="shared" si="51"/>
        <v>#NUM!</v>
      </c>
      <c r="AU204" s="71" t="e">
        <f t="shared" si="52"/>
        <v>#NUM!</v>
      </c>
      <c r="AV204" s="71">
        <f t="shared" si="53"/>
        <v>-121.62191780821918</v>
      </c>
      <c r="AW204" s="20"/>
      <c r="AX204" s="20"/>
      <c r="AY204" s="71" t="e">
        <f t="shared" si="54"/>
        <v>#NUM!</v>
      </c>
      <c r="AZ204" s="71" t="e">
        <f t="shared" si="55"/>
        <v>#NUM!</v>
      </c>
      <c r="BA204" s="71">
        <f t="shared" si="56"/>
        <v>-121.62191780821918</v>
      </c>
      <c r="BB204" s="20"/>
      <c r="BC204" s="20"/>
      <c r="BD204" s="71" t="e">
        <f t="shared" si="57"/>
        <v>#NUM!</v>
      </c>
      <c r="BE204" s="71" t="e">
        <f t="shared" si="58"/>
        <v>#NUM!</v>
      </c>
      <c r="BF204" s="71">
        <f t="shared" si="59"/>
        <v>-121.62191780821918</v>
      </c>
      <c r="BG204" s="20"/>
      <c r="BH204" s="20"/>
    </row>
    <row r="205" spans="1:60" ht="16">
      <c r="A205" s="2" t="s">
        <v>829</v>
      </c>
      <c r="B205" s="2">
        <v>22108775</v>
      </c>
      <c r="C205" s="53" t="s">
        <v>830</v>
      </c>
      <c r="D205" s="23">
        <v>44443</v>
      </c>
      <c r="E205" s="23">
        <v>44506</v>
      </c>
      <c r="F205" s="23">
        <v>44506</v>
      </c>
      <c r="G205" s="2" t="s">
        <v>66</v>
      </c>
      <c r="H205" s="55">
        <v>44657</v>
      </c>
      <c r="I205" s="55">
        <v>44871</v>
      </c>
      <c r="J205" s="23">
        <v>44686</v>
      </c>
      <c r="K205" s="23">
        <v>44686</v>
      </c>
      <c r="L205" s="3" t="str">
        <f t="shared" si="45"/>
        <v>0Y8M1D</v>
      </c>
      <c r="M205" s="3" t="str">
        <f t="shared" si="46"/>
        <v>0Y5M29D</v>
      </c>
      <c r="N205" s="3">
        <f t="shared" si="47"/>
        <v>0.49315068493150682</v>
      </c>
      <c r="O205" s="2">
        <v>6</v>
      </c>
      <c r="P205" s="2">
        <v>3</v>
      </c>
      <c r="Q205" s="2"/>
      <c r="R205" s="2">
        <v>5</v>
      </c>
      <c r="S205" s="2">
        <v>1</v>
      </c>
      <c r="T205" s="2">
        <v>1</v>
      </c>
      <c r="U205" s="2" t="s">
        <v>1671</v>
      </c>
      <c r="V205" s="2" t="s">
        <v>1664</v>
      </c>
      <c r="W205" s="2">
        <v>2</v>
      </c>
      <c r="X205" s="2">
        <v>1</v>
      </c>
      <c r="Y205" s="2">
        <v>2</v>
      </c>
      <c r="Z205" s="2">
        <v>1</v>
      </c>
      <c r="AA205" s="2">
        <v>3</v>
      </c>
      <c r="AB205" s="2">
        <v>1</v>
      </c>
      <c r="AC205" s="2" t="s">
        <v>1673</v>
      </c>
      <c r="AD205" s="2">
        <v>2</v>
      </c>
      <c r="AE205" s="2">
        <v>1</v>
      </c>
      <c r="AF205" s="2">
        <v>2</v>
      </c>
      <c r="AG205" s="2">
        <v>1</v>
      </c>
      <c r="AH205" s="23">
        <v>44699</v>
      </c>
      <c r="AI205" s="3" t="str">
        <f t="shared" si="48"/>
        <v>0Y8M14D</v>
      </c>
      <c r="AJ205" s="3" t="str">
        <f t="shared" si="49"/>
        <v>0Y6M12D</v>
      </c>
      <c r="AK205" s="3">
        <f t="shared" si="50"/>
        <v>0.52876712328767128</v>
      </c>
      <c r="AL205" s="2">
        <v>3</v>
      </c>
      <c r="AM205" s="2">
        <v>1</v>
      </c>
      <c r="AN205" s="2">
        <v>2</v>
      </c>
      <c r="AO205" s="2">
        <v>1</v>
      </c>
      <c r="AP205" s="2">
        <v>4</v>
      </c>
      <c r="AQ205" s="2">
        <v>3</v>
      </c>
      <c r="AR205" s="2"/>
      <c r="AS205" s="23">
        <v>44699</v>
      </c>
      <c r="AT205" s="3" t="str">
        <f t="shared" si="51"/>
        <v>0Y8M14D</v>
      </c>
      <c r="AU205" s="3" t="str">
        <f t="shared" si="52"/>
        <v>0Y6M12D</v>
      </c>
      <c r="AV205" s="3">
        <f t="shared" si="53"/>
        <v>0.52876712328767128</v>
      </c>
      <c r="AW205" s="2">
        <v>9</v>
      </c>
      <c r="AX205" s="2"/>
      <c r="AY205" s="3" t="e">
        <f t="shared" si="54"/>
        <v>#NUM!</v>
      </c>
      <c r="AZ205" s="3" t="e">
        <f t="shared" si="55"/>
        <v>#NUM!</v>
      </c>
      <c r="BA205" s="3">
        <f t="shared" si="56"/>
        <v>-121.93424657534247</v>
      </c>
      <c r="BB205" s="2"/>
      <c r="BC205" s="23">
        <v>44686</v>
      </c>
      <c r="BD205" s="3" t="str">
        <f t="shared" si="57"/>
        <v>0Y8M1D</v>
      </c>
      <c r="BE205" s="3" t="str">
        <f t="shared" si="58"/>
        <v>0Y5M29D</v>
      </c>
      <c r="BF205" s="3">
        <f t="shared" si="59"/>
        <v>0.49315068493150682</v>
      </c>
      <c r="BG205" s="2">
        <v>1</v>
      </c>
      <c r="BH205" s="2"/>
    </row>
    <row r="206" spans="1:60" s="114" customFormat="1" ht="16">
      <c r="A206" s="16" t="s">
        <v>833</v>
      </c>
      <c r="B206" s="16">
        <v>22103595</v>
      </c>
      <c r="C206" s="83" t="s">
        <v>834</v>
      </c>
      <c r="D206" s="77">
        <v>43922</v>
      </c>
      <c r="E206" s="77">
        <v>44016</v>
      </c>
      <c r="F206" s="77">
        <v>44016</v>
      </c>
      <c r="G206" s="16" t="s">
        <v>836</v>
      </c>
      <c r="H206" s="78">
        <v>44169</v>
      </c>
      <c r="I206" s="78">
        <v>44381</v>
      </c>
      <c r="J206" s="16"/>
      <c r="K206" s="16"/>
      <c r="L206" s="68" t="e">
        <f t="shared" si="45"/>
        <v>#NUM!</v>
      </c>
      <c r="M206" s="68" t="e">
        <f t="shared" si="46"/>
        <v>#NUM!</v>
      </c>
      <c r="N206" s="68">
        <f t="shared" si="47"/>
        <v>-120.59178082191781</v>
      </c>
      <c r="O206" s="16"/>
      <c r="P206" s="16"/>
      <c r="Q206" s="16"/>
      <c r="R206" s="16"/>
      <c r="S206" s="16"/>
      <c r="T206" s="16"/>
      <c r="U206" s="16"/>
      <c r="V206" s="16"/>
      <c r="W206" s="16"/>
      <c r="X206" s="16"/>
      <c r="Y206" s="16"/>
      <c r="Z206" s="16"/>
      <c r="AA206" s="16"/>
      <c r="AB206" s="16"/>
      <c r="AC206" s="16"/>
      <c r="AD206" s="16"/>
      <c r="AE206" s="16"/>
      <c r="AF206" s="16"/>
      <c r="AG206" s="16"/>
      <c r="AH206" s="16"/>
      <c r="AI206" s="68" t="e">
        <f t="shared" si="48"/>
        <v>#NUM!</v>
      </c>
      <c r="AJ206" s="68" t="e">
        <f t="shared" si="49"/>
        <v>#NUM!</v>
      </c>
      <c r="AK206" s="68">
        <f t="shared" si="50"/>
        <v>-120.59178082191781</v>
      </c>
      <c r="AL206" s="16"/>
      <c r="AM206" s="16"/>
      <c r="AN206" s="16"/>
      <c r="AO206" s="16"/>
      <c r="AP206" s="16"/>
      <c r="AQ206" s="16"/>
      <c r="AR206" s="16"/>
      <c r="AS206" s="16"/>
      <c r="AT206" s="68" t="e">
        <f t="shared" si="51"/>
        <v>#NUM!</v>
      </c>
      <c r="AU206" s="68" t="e">
        <f t="shared" si="52"/>
        <v>#NUM!</v>
      </c>
      <c r="AV206" s="68">
        <f t="shared" si="53"/>
        <v>-120.59178082191781</v>
      </c>
      <c r="AW206" s="16"/>
      <c r="AX206" s="16"/>
      <c r="AY206" s="68" t="e">
        <f t="shared" si="54"/>
        <v>#NUM!</v>
      </c>
      <c r="AZ206" s="68" t="e">
        <f t="shared" si="55"/>
        <v>#NUM!</v>
      </c>
      <c r="BA206" s="68">
        <f t="shared" si="56"/>
        <v>-120.59178082191781</v>
      </c>
      <c r="BB206" s="16"/>
      <c r="BC206" s="16"/>
      <c r="BD206" s="68" t="e">
        <f t="shared" si="57"/>
        <v>#NUM!</v>
      </c>
      <c r="BE206" s="68" t="e">
        <f t="shared" si="58"/>
        <v>#NUM!</v>
      </c>
      <c r="BF206" s="68">
        <f t="shared" si="59"/>
        <v>-120.59178082191781</v>
      </c>
      <c r="BG206" s="16"/>
      <c r="BH206" s="16"/>
    </row>
    <row r="207" spans="1:60" ht="16">
      <c r="A207" s="2" t="s">
        <v>838</v>
      </c>
      <c r="B207" s="2">
        <v>22109382</v>
      </c>
      <c r="C207" s="53" t="s">
        <v>839</v>
      </c>
      <c r="D207" s="23">
        <v>44511</v>
      </c>
      <c r="E207" s="23">
        <v>44516</v>
      </c>
      <c r="F207" s="23">
        <v>44511</v>
      </c>
      <c r="G207" s="2" t="s">
        <v>452</v>
      </c>
      <c r="H207" s="55">
        <v>44662</v>
      </c>
      <c r="I207" s="55">
        <v>44876</v>
      </c>
      <c r="J207" s="23">
        <v>45001</v>
      </c>
      <c r="K207" s="23">
        <v>44887</v>
      </c>
      <c r="L207" s="3" t="str">
        <f t="shared" si="45"/>
        <v>1Y0M11D</v>
      </c>
      <c r="M207" s="3" t="str">
        <f t="shared" si="46"/>
        <v>1Y0M6D</v>
      </c>
      <c r="N207" s="3">
        <f t="shared" si="47"/>
        <v>1.0301369863013699</v>
      </c>
      <c r="O207" s="2">
        <v>6</v>
      </c>
      <c r="P207" s="2">
        <v>2</v>
      </c>
      <c r="Q207" s="2" t="s">
        <v>2198</v>
      </c>
      <c r="R207" s="2">
        <v>5</v>
      </c>
      <c r="S207" s="2">
        <v>1</v>
      </c>
      <c r="T207" s="2">
        <v>1</v>
      </c>
      <c r="U207" s="2"/>
      <c r="V207" s="2" t="s">
        <v>2192</v>
      </c>
      <c r="W207" s="2">
        <v>2</v>
      </c>
      <c r="X207" s="2">
        <v>1</v>
      </c>
      <c r="Y207" s="2"/>
      <c r="Z207" s="2">
        <v>1</v>
      </c>
      <c r="AA207" s="2">
        <v>3</v>
      </c>
      <c r="AB207" s="2"/>
      <c r="AC207" s="2" t="s">
        <v>2199</v>
      </c>
      <c r="AD207" s="2">
        <v>2</v>
      </c>
      <c r="AE207" s="2">
        <v>1</v>
      </c>
      <c r="AF207" s="2">
        <v>2</v>
      </c>
      <c r="AG207" s="2">
        <v>1</v>
      </c>
      <c r="AH207" s="23">
        <v>44886</v>
      </c>
      <c r="AI207" s="3" t="str">
        <f t="shared" si="48"/>
        <v>1Y0M10D</v>
      </c>
      <c r="AJ207" s="3" t="str">
        <f t="shared" si="49"/>
        <v>1Y0M5D</v>
      </c>
      <c r="AK207" s="3">
        <f t="shared" si="50"/>
        <v>1.0273972602739727</v>
      </c>
      <c r="AL207" s="2"/>
      <c r="AM207" s="2">
        <v>2</v>
      </c>
      <c r="AN207" s="2">
        <v>2</v>
      </c>
      <c r="AO207" s="2">
        <v>2</v>
      </c>
      <c r="AP207" s="2">
        <v>4</v>
      </c>
      <c r="AQ207" s="2">
        <v>3</v>
      </c>
      <c r="AR207" s="2"/>
      <c r="AS207" s="23">
        <v>44772</v>
      </c>
      <c r="AT207" s="3" t="str">
        <f t="shared" si="51"/>
        <v>0Y8M19D</v>
      </c>
      <c r="AU207" s="3" t="str">
        <f t="shared" si="52"/>
        <v>0Y8M14D</v>
      </c>
      <c r="AV207" s="3">
        <f t="shared" si="53"/>
        <v>0.71506849315068488</v>
      </c>
      <c r="AW207" s="2">
        <v>9</v>
      </c>
      <c r="AX207" s="23">
        <v>44776</v>
      </c>
      <c r="AY207" s="3" t="str">
        <f t="shared" si="54"/>
        <v>0Y8M23D</v>
      </c>
      <c r="AZ207" s="3" t="str">
        <f t="shared" si="55"/>
        <v>0Y8M18D</v>
      </c>
      <c r="BA207" s="3">
        <f t="shared" si="56"/>
        <v>0.72602739726027399</v>
      </c>
      <c r="BB207" s="2">
        <v>9</v>
      </c>
      <c r="BC207" s="23">
        <v>44887</v>
      </c>
      <c r="BD207" s="3" t="str">
        <f t="shared" si="57"/>
        <v>1Y0M11D</v>
      </c>
      <c r="BE207" s="3" t="str">
        <f t="shared" si="58"/>
        <v>1Y0M6D</v>
      </c>
      <c r="BF207" s="3">
        <f t="shared" si="59"/>
        <v>1.0301369863013699</v>
      </c>
      <c r="BG207" s="2">
        <v>1</v>
      </c>
      <c r="BH207" s="2"/>
    </row>
  </sheetData>
  <autoFilter ref="A1:CF1" xr:uid="{00000000-0009-0000-0000-000007000000}"/>
  <phoneticPr fontId="3" type="noConversion"/>
  <pageMargins left="0.7" right="0.7" top="0.75" bottom="0.75" header="0.3" footer="0.3"/>
  <pageSetup paperSize="9" orientation="portrait" horizontalDpi="0" verticalDpi="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07"/>
  <sheetViews>
    <sheetView workbookViewId="0">
      <pane xSplit="3" ySplit="1" topLeftCell="K8" activePane="bottomRight" state="frozen"/>
      <selection pane="topRight" activeCell="D1" sqref="D1"/>
      <selection pane="bottomLeft" activeCell="A2" sqref="A2"/>
      <selection pane="bottomRight" activeCell="L10" sqref="L10"/>
    </sheetView>
  </sheetViews>
  <sheetFormatPr baseColWidth="10" defaultColWidth="11.5" defaultRowHeight="15"/>
  <sheetData>
    <row r="1" spans="1:21" ht="16">
      <c r="A1" s="1" t="s">
        <v>0</v>
      </c>
      <c r="B1" s="1" t="s">
        <v>1</v>
      </c>
      <c r="C1" s="1" t="s">
        <v>2</v>
      </c>
      <c r="D1" s="1" t="s">
        <v>1772</v>
      </c>
      <c r="E1" s="1" t="s">
        <v>1773</v>
      </c>
      <c r="F1" s="1" t="s">
        <v>1774</v>
      </c>
      <c r="G1" s="1" t="s">
        <v>1775</v>
      </c>
      <c r="H1" s="106" t="s">
        <v>1776</v>
      </c>
      <c r="I1" s="1" t="s">
        <v>1777</v>
      </c>
      <c r="J1" s="106" t="s">
        <v>1778</v>
      </c>
      <c r="K1" s="1" t="s">
        <v>1779</v>
      </c>
      <c r="L1" s="1" t="s">
        <v>1780</v>
      </c>
      <c r="M1" s="1" t="s">
        <v>1781</v>
      </c>
      <c r="N1" s="1" t="s">
        <v>1782</v>
      </c>
      <c r="O1" s="1" t="s">
        <v>1783</v>
      </c>
      <c r="P1" s="1" t="s">
        <v>1784</v>
      </c>
      <c r="Q1" s="1" t="s">
        <v>1785</v>
      </c>
      <c r="R1" s="1" t="s">
        <v>1786</v>
      </c>
      <c r="S1" s="1" t="s">
        <v>1787</v>
      </c>
      <c r="T1" s="1" t="s">
        <v>1788</v>
      </c>
      <c r="U1" s="1"/>
    </row>
    <row r="2" spans="1:21" s="110" customFormat="1" ht="16">
      <c r="A2" s="107" t="s">
        <v>15</v>
      </c>
      <c r="B2" s="107">
        <v>22104031</v>
      </c>
      <c r="C2" s="107" t="s">
        <v>16</v>
      </c>
      <c r="D2" s="108" t="s">
        <v>18</v>
      </c>
      <c r="E2" s="107"/>
      <c r="F2" s="107"/>
      <c r="G2" s="107"/>
      <c r="H2" s="109"/>
      <c r="I2" s="107"/>
      <c r="J2" s="109"/>
      <c r="K2" s="107"/>
      <c r="L2" s="107"/>
      <c r="M2" s="107"/>
      <c r="N2" s="107"/>
      <c r="O2" s="107"/>
      <c r="P2" s="107"/>
      <c r="Q2" s="107"/>
      <c r="R2" s="107"/>
      <c r="S2" s="107"/>
      <c r="T2" s="107"/>
      <c r="U2" s="107"/>
    </row>
    <row r="3" spans="1:21" ht="16">
      <c r="A3" s="1" t="s">
        <v>21</v>
      </c>
      <c r="B3" s="1">
        <v>22103764</v>
      </c>
      <c r="C3" s="111" t="s">
        <v>953</v>
      </c>
      <c r="D3" s="5">
        <v>44529</v>
      </c>
      <c r="E3" s="5">
        <v>44141</v>
      </c>
      <c r="F3" s="5">
        <v>44144</v>
      </c>
      <c r="G3" s="5">
        <v>44145</v>
      </c>
      <c r="H3" s="106">
        <v>8.67</v>
      </c>
      <c r="I3" s="5">
        <v>44216</v>
      </c>
      <c r="J3" s="106">
        <v>69.8</v>
      </c>
      <c r="K3" s="1">
        <v>19.100000000000001</v>
      </c>
      <c r="L3" s="1">
        <v>2718</v>
      </c>
      <c r="M3" s="1">
        <v>736</v>
      </c>
      <c r="N3" s="1">
        <v>51.1</v>
      </c>
      <c r="O3" s="1">
        <v>2014</v>
      </c>
      <c r="P3" s="1">
        <v>12.8</v>
      </c>
      <c r="Q3" s="1">
        <v>503</v>
      </c>
      <c r="R3" s="1">
        <v>4</v>
      </c>
      <c r="S3" s="1">
        <v>9.6</v>
      </c>
      <c r="T3" s="1">
        <v>370</v>
      </c>
      <c r="U3" s="1"/>
    </row>
    <row r="4" spans="1:21" ht="16">
      <c r="A4" s="1" t="s">
        <v>26</v>
      </c>
      <c r="B4" s="1">
        <v>22103833</v>
      </c>
      <c r="C4" s="1" t="s">
        <v>27</v>
      </c>
      <c r="D4" s="5">
        <v>44405</v>
      </c>
      <c r="E4" s="5">
        <v>44141</v>
      </c>
      <c r="F4" s="5">
        <v>44144</v>
      </c>
      <c r="G4" s="5">
        <v>44145</v>
      </c>
      <c r="H4" s="106">
        <v>5.35</v>
      </c>
      <c r="I4" s="5">
        <v>44165</v>
      </c>
      <c r="J4" s="106">
        <v>62.8</v>
      </c>
      <c r="K4" s="1">
        <v>24.5</v>
      </c>
      <c r="L4" s="1">
        <v>3722</v>
      </c>
      <c r="M4" s="1">
        <v>1412</v>
      </c>
      <c r="N4" s="1">
        <v>37.799999999999997</v>
      </c>
      <c r="O4" s="1">
        <v>2241</v>
      </c>
      <c r="P4" s="1">
        <v>20.399999999999999</v>
      </c>
      <c r="Q4" s="1">
        <v>1209</v>
      </c>
      <c r="R4" s="1">
        <v>1.9</v>
      </c>
      <c r="S4" s="1">
        <v>10.6</v>
      </c>
      <c r="T4" s="1">
        <v>613</v>
      </c>
      <c r="U4" s="1"/>
    </row>
    <row r="5" spans="1:21" s="114" customFormat="1" ht="16">
      <c r="A5" s="112" t="s">
        <v>31</v>
      </c>
      <c r="B5" s="112">
        <v>21928650</v>
      </c>
      <c r="C5" s="112" t="s">
        <v>32</v>
      </c>
      <c r="D5" s="112"/>
      <c r="E5" s="112"/>
      <c r="F5" s="112"/>
      <c r="G5" s="112"/>
      <c r="H5" s="113"/>
      <c r="I5" s="112"/>
      <c r="J5" s="113"/>
      <c r="K5" s="112"/>
      <c r="L5" s="112"/>
      <c r="M5" s="112"/>
      <c r="N5" s="112"/>
      <c r="O5" s="112"/>
      <c r="P5" s="112"/>
      <c r="Q5" s="112"/>
      <c r="R5" s="112"/>
      <c r="S5" s="112"/>
      <c r="T5" s="112"/>
      <c r="U5" s="112"/>
    </row>
    <row r="6" spans="1:21" ht="16">
      <c r="A6" s="1" t="s">
        <v>36</v>
      </c>
      <c r="B6" s="1">
        <v>16900804</v>
      </c>
      <c r="C6" s="1" t="s">
        <v>37</v>
      </c>
      <c r="D6" s="5">
        <v>44643</v>
      </c>
      <c r="E6" s="5">
        <v>44196</v>
      </c>
      <c r="F6" s="5">
        <v>44210</v>
      </c>
      <c r="G6" s="5">
        <v>44210</v>
      </c>
      <c r="H6" s="106">
        <v>16.399999999999999</v>
      </c>
      <c r="I6" s="5">
        <v>44195</v>
      </c>
      <c r="J6" s="106">
        <v>60.9</v>
      </c>
      <c r="K6" s="1">
        <v>22.4</v>
      </c>
      <c r="L6" s="1">
        <v>4221</v>
      </c>
      <c r="M6" s="1">
        <v>1474</v>
      </c>
      <c r="N6" s="1">
        <v>38.700000000000003</v>
      </c>
      <c r="O6" s="1">
        <v>2813</v>
      </c>
      <c r="P6" s="1">
        <v>19.5</v>
      </c>
      <c r="Q6" s="1">
        <v>1413</v>
      </c>
      <c r="R6" s="1">
        <v>2</v>
      </c>
      <c r="S6" s="1">
        <v>14.6</v>
      </c>
      <c r="T6" s="1">
        <v>965</v>
      </c>
      <c r="U6" s="1"/>
    </row>
    <row r="7" spans="1:21" s="127" customFormat="1" ht="16">
      <c r="A7" s="123" t="s">
        <v>41</v>
      </c>
      <c r="B7" s="123">
        <v>21926441</v>
      </c>
      <c r="C7" s="123" t="s">
        <v>42</v>
      </c>
      <c r="D7" s="124" t="s">
        <v>18</v>
      </c>
      <c r="E7" s="125"/>
      <c r="F7" s="125"/>
      <c r="G7" s="125"/>
      <c r="H7" s="126"/>
      <c r="I7" s="125"/>
      <c r="J7" s="126"/>
      <c r="K7" s="125"/>
      <c r="L7" s="125"/>
      <c r="M7" s="125"/>
      <c r="N7" s="125"/>
      <c r="O7" s="125"/>
      <c r="P7" s="125"/>
      <c r="Q7" s="125"/>
      <c r="R7" s="125"/>
      <c r="S7" s="125"/>
      <c r="T7" s="125"/>
      <c r="U7" s="125"/>
    </row>
    <row r="8" spans="1:21" s="114" customFormat="1" ht="16">
      <c r="A8" s="112" t="s">
        <v>46</v>
      </c>
      <c r="B8" s="112">
        <v>21929504</v>
      </c>
      <c r="C8" s="112" t="s">
        <v>47</v>
      </c>
      <c r="D8" s="112"/>
      <c r="E8" s="112"/>
      <c r="F8" s="112"/>
      <c r="G8" s="112"/>
      <c r="H8" s="113"/>
      <c r="I8" s="112"/>
      <c r="J8" s="113"/>
      <c r="K8" s="112"/>
      <c r="L8" s="112"/>
      <c r="M8" s="112"/>
      <c r="N8" s="112"/>
      <c r="O8" s="112"/>
      <c r="P8" s="112"/>
      <c r="Q8" s="112"/>
      <c r="R8" s="112"/>
      <c r="S8" s="112"/>
      <c r="T8" s="112"/>
      <c r="U8" s="112"/>
    </row>
    <row r="9" spans="1:21" s="114" customFormat="1" ht="16">
      <c r="A9" s="112" t="s">
        <v>51</v>
      </c>
      <c r="B9" s="112">
        <v>21929505</v>
      </c>
      <c r="C9" s="112" t="s">
        <v>52</v>
      </c>
      <c r="D9" s="112"/>
      <c r="E9" s="112"/>
      <c r="F9" s="112"/>
      <c r="G9" s="112"/>
      <c r="H9" s="113"/>
      <c r="I9" s="112"/>
      <c r="J9" s="113"/>
      <c r="K9" s="112"/>
      <c r="L9" s="112"/>
      <c r="M9" s="112"/>
      <c r="N9" s="112"/>
      <c r="O9" s="112"/>
      <c r="P9" s="112"/>
      <c r="Q9" s="112"/>
      <c r="R9" s="112"/>
      <c r="S9" s="112"/>
      <c r="T9" s="112"/>
      <c r="U9" s="112"/>
    </row>
    <row r="10" spans="1:21" s="114" customFormat="1" ht="16">
      <c r="A10" s="112" t="s">
        <v>54</v>
      </c>
      <c r="B10" s="112">
        <v>22100733</v>
      </c>
      <c r="C10" s="112" t="s">
        <v>55</v>
      </c>
      <c r="D10" s="112"/>
      <c r="E10" s="112"/>
      <c r="F10" s="112"/>
      <c r="G10" s="112"/>
      <c r="H10" s="113"/>
      <c r="I10" s="112"/>
      <c r="J10" s="113"/>
      <c r="K10" s="112"/>
      <c r="L10" s="112"/>
      <c r="M10" s="112"/>
      <c r="N10" s="112"/>
      <c r="O10" s="112"/>
      <c r="P10" s="112"/>
      <c r="Q10" s="112"/>
      <c r="R10" s="112"/>
      <c r="S10" s="112"/>
      <c r="T10" s="112"/>
      <c r="U10" s="112"/>
    </row>
    <row r="11" spans="1:21" s="110" customFormat="1" ht="16">
      <c r="A11" s="107" t="s">
        <v>59</v>
      </c>
      <c r="B11" s="107">
        <v>22101152</v>
      </c>
      <c r="C11" s="107" t="s">
        <v>60</v>
      </c>
      <c r="D11" s="107"/>
      <c r="E11" s="107"/>
      <c r="F11" s="107"/>
      <c r="G11" s="107"/>
      <c r="H11" s="109"/>
      <c r="I11" s="107"/>
      <c r="J11" s="109"/>
      <c r="K11" s="107"/>
      <c r="L11" s="107"/>
      <c r="M11" s="107"/>
      <c r="N11" s="107"/>
      <c r="O11" s="107"/>
      <c r="P11" s="107"/>
      <c r="Q11" s="107"/>
      <c r="R11" s="107"/>
      <c r="S11" s="107"/>
      <c r="T11" s="107"/>
      <c r="U11" s="107"/>
    </row>
    <row r="12" spans="1:21" s="127" customFormat="1" ht="16">
      <c r="A12" s="123" t="s">
        <v>63</v>
      </c>
      <c r="B12" s="123">
        <v>22140400</v>
      </c>
      <c r="C12" s="123" t="s">
        <v>64</v>
      </c>
      <c r="D12" s="124" t="s">
        <v>18</v>
      </c>
      <c r="E12" s="125"/>
      <c r="F12" s="125"/>
      <c r="G12" s="125"/>
      <c r="H12" s="126"/>
      <c r="I12" s="125"/>
      <c r="J12" s="126"/>
      <c r="K12" s="125"/>
      <c r="L12" s="125"/>
      <c r="M12" s="125"/>
      <c r="N12" s="125"/>
      <c r="O12" s="125"/>
      <c r="P12" s="125"/>
      <c r="Q12" s="125"/>
      <c r="R12" s="125"/>
      <c r="S12" s="125"/>
      <c r="T12" s="125"/>
      <c r="U12" s="125"/>
    </row>
    <row r="13" spans="1:21" s="127" customFormat="1" ht="16">
      <c r="A13" s="123" t="s">
        <v>68</v>
      </c>
      <c r="B13" s="123">
        <v>22140401</v>
      </c>
      <c r="C13" s="123" t="s">
        <v>69</v>
      </c>
      <c r="D13" s="124" t="s">
        <v>18</v>
      </c>
      <c r="E13" s="125"/>
      <c r="F13" s="125"/>
      <c r="G13" s="125"/>
      <c r="H13" s="126"/>
      <c r="I13" s="125"/>
      <c r="J13" s="126"/>
      <c r="K13" s="125"/>
      <c r="L13" s="125"/>
      <c r="M13" s="125"/>
      <c r="N13" s="125"/>
      <c r="O13" s="125"/>
      <c r="P13" s="125"/>
      <c r="Q13" s="125"/>
      <c r="R13" s="125"/>
      <c r="S13" s="125"/>
      <c r="T13" s="125"/>
      <c r="U13" s="125"/>
    </row>
    <row r="14" spans="1:21" s="110" customFormat="1" ht="16">
      <c r="A14" s="107" t="s">
        <v>71</v>
      </c>
      <c r="B14" s="107">
        <v>16900981</v>
      </c>
      <c r="C14" s="107" t="s">
        <v>72</v>
      </c>
      <c r="D14" s="108" t="s">
        <v>18</v>
      </c>
      <c r="E14" s="107"/>
      <c r="F14" s="107"/>
      <c r="G14" s="107"/>
      <c r="H14" s="109"/>
      <c r="I14" s="107"/>
      <c r="J14" s="109"/>
      <c r="K14" s="107"/>
      <c r="L14" s="107"/>
      <c r="M14" s="107"/>
      <c r="N14" s="107"/>
      <c r="O14" s="107"/>
      <c r="P14" s="107"/>
      <c r="Q14" s="107"/>
      <c r="R14" s="107"/>
      <c r="S14" s="107"/>
      <c r="T14" s="107"/>
      <c r="U14" s="107"/>
    </row>
    <row r="15" spans="1:21" s="114" customFormat="1" ht="16">
      <c r="A15" s="112" t="s">
        <v>77</v>
      </c>
      <c r="B15" s="112">
        <v>21928109</v>
      </c>
      <c r="C15" s="112" t="s">
        <v>78</v>
      </c>
      <c r="D15" s="112"/>
      <c r="E15" s="112"/>
      <c r="F15" s="112"/>
      <c r="G15" s="112"/>
      <c r="H15" s="113"/>
      <c r="I15" s="112"/>
      <c r="J15" s="113"/>
      <c r="K15" s="112"/>
      <c r="L15" s="112"/>
      <c r="M15" s="112"/>
      <c r="N15" s="112"/>
      <c r="O15" s="112"/>
      <c r="P15" s="112"/>
      <c r="Q15" s="112"/>
      <c r="R15" s="112"/>
      <c r="S15" s="112"/>
      <c r="T15" s="112"/>
      <c r="U15" s="112"/>
    </row>
    <row r="16" spans="1:21" ht="16">
      <c r="A16" s="1" t="s">
        <v>82</v>
      </c>
      <c r="B16" s="1">
        <v>22104301</v>
      </c>
      <c r="C16" s="1" t="s">
        <v>83</v>
      </c>
      <c r="D16" s="5">
        <v>44433</v>
      </c>
      <c r="E16" s="5">
        <v>44246</v>
      </c>
      <c r="F16" s="5">
        <v>44251</v>
      </c>
      <c r="G16" s="5">
        <v>44251</v>
      </c>
      <c r="H16" s="106" t="s">
        <v>1789</v>
      </c>
      <c r="I16" s="5">
        <v>44244</v>
      </c>
      <c r="J16" s="106">
        <v>58.2</v>
      </c>
      <c r="K16" s="1">
        <v>30.2</v>
      </c>
      <c r="L16" s="1">
        <v>3269</v>
      </c>
      <c r="M16" s="1">
        <v>1626</v>
      </c>
      <c r="N16" s="8">
        <v>34.5</v>
      </c>
      <c r="O16" s="1">
        <v>2021</v>
      </c>
      <c r="P16" s="1">
        <v>21.2</v>
      </c>
      <c r="Q16" s="1">
        <v>1242</v>
      </c>
      <c r="R16" s="1">
        <v>1.6</v>
      </c>
      <c r="S16" s="1">
        <v>10.16</v>
      </c>
      <c r="T16" s="1">
        <v>546</v>
      </c>
      <c r="U16" s="1"/>
    </row>
    <row r="17" spans="1:21" s="127" customFormat="1" ht="16">
      <c r="A17" s="123" t="s">
        <v>87</v>
      </c>
      <c r="B17" s="123">
        <v>21929043</v>
      </c>
      <c r="C17" s="123" t="s">
        <v>88</v>
      </c>
      <c r="D17" s="124" t="s">
        <v>18</v>
      </c>
      <c r="E17" s="125"/>
      <c r="F17" s="125"/>
      <c r="G17" s="125"/>
      <c r="H17" s="126"/>
      <c r="I17" s="125"/>
      <c r="J17" s="126"/>
      <c r="K17" s="125"/>
      <c r="L17" s="125"/>
      <c r="M17" s="125"/>
      <c r="N17" s="125"/>
      <c r="O17" s="125"/>
      <c r="P17" s="125"/>
      <c r="Q17" s="125"/>
      <c r="R17" s="125"/>
      <c r="S17" s="125"/>
      <c r="T17" s="125"/>
      <c r="U17" s="125"/>
    </row>
    <row r="18" spans="1:21" ht="16">
      <c r="A18" s="1" t="s">
        <v>92</v>
      </c>
      <c r="B18" s="1">
        <v>22104128</v>
      </c>
      <c r="C18" s="1" t="s">
        <v>93</v>
      </c>
      <c r="D18" s="5">
        <v>44442</v>
      </c>
      <c r="E18" s="5">
        <v>44232</v>
      </c>
      <c r="F18" s="5">
        <v>44235</v>
      </c>
      <c r="G18" s="5">
        <v>44244</v>
      </c>
      <c r="H18" s="106" t="s">
        <v>1789</v>
      </c>
      <c r="I18" s="5">
        <v>44232</v>
      </c>
      <c r="J18" s="106">
        <v>68.3</v>
      </c>
      <c r="K18" s="1">
        <v>26.6</v>
      </c>
      <c r="L18" s="1">
        <v>2917</v>
      </c>
      <c r="M18" s="1">
        <v>1104</v>
      </c>
      <c r="N18" s="1">
        <v>46.8</v>
      </c>
      <c r="O18" s="1">
        <v>2060</v>
      </c>
      <c r="P18" s="1">
        <v>16.8</v>
      </c>
      <c r="Q18" s="1">
        <v>740</v>
      </c>
      <c r="R18" s="1">
        <v>2.8</v>
      </c>
      <c r="S18" s="8">
        <v>2.86</v>
      </c>
      <c r="T18" s="1">
        <v>118</v>
      </c>
      <c r="U18" s="1"/>
    </row>
    <row r="19" spans="1:21" ht="16">
      <c r="A19" s="8" t="s">
        <v>97</v>
      </c>
      <c r="B19" s="8">
        <v>22104135</v>
      </c>
      <c r="C19" s="8" t="s">
        <v>98</v>
      </c>
      <c r="D19" s="10">
        <v>44442</v>
      </c>
      <c r="E19" s="5">
        <v>44229</v>
      </c>
      <c r="F19" s="5">
        <v>44230</v>
      </c>
      <c r="G19" s="5">
        <v>44230</v>
      </c>
      <c r="H19" s="106">
        <v>37.9</v>
      </c>
      <c r="I19" s="5">
        <v>44225</v>
      </c>
      <c r="J19" s="106">
        <v>67</v>
      </c>
      <c r="K19" s="1">
        <v>26.2</v>
      </c>
      <c r="L19" s="1">
        <v>2925</v>
      </c>
      <c r="M19" s="1">
        <v>1120</v>
      </c>
      <c r="N19" s="1">
        <v>48.8</v>
      </c>
      <c r="O19" s="1">
        <v>2176</v>
      </c>
      <c r="P19" s="1">
        <v>15.7</v>
      </c>
      <c r="Q19" s="1">
        <v>700</v>
      </c>
      <c r="R19" s="1">
        <v>3.1</v>
      </c>
      <c r="S19" s="1">
        <v>4.5</v>
      </c>
      <c r="T19" s="1">
        <v>193</v>
      </c>
      <c r="U19" s="1"/>
    </row>
    <row r="20" spans="1:21" ht="16">
      <c r="A20" s="8" t="s">
        <v>102</v>
      </c>
      <c r="B20" s="8">
        <v>22243391</v>
      </c>
      <c r="C20" s="8" t="s">
        <v>103</v>
      </c>
      <c r="D20" s="10">
        <v>44461</v>
      </c>
      <c r="E20" s="5">
        <v>44281</v>
      </c>
      <c r="F20" s="10">
        <v>44284</v>
      </c>
      <c r="G20" s="5">
        <v>44284</v>
      </c>
      <c r="H20" s="106">
        <v>4.45</v>
      </c>
      <c r="I20" s="5">
        <v>44279</v>
      </c>
      <c r="J20" s="106">
        <v>58.1</v>
      </c>
      <c r="K20" s="1">
        <v>31.9</v>
      </c>
      <c r="L20" s="1">
        <v>3978</v>
      </c>
      <c r="M20" s="1">
        <v>2182</v>
      </c>
      <c r="N20" s="1">
        <v>38.299999999999997</v>
      </c>
      <c r="O20" s="1">
        <v>2617</v>
      </c>
      <c r="P20" s="1">
        <v>18.100000000000001</v>
      </c>
      <c r="Q20" s="1">
        <v>1239</v>
      </c>
      <c r="R20" s="1">
        <v>2.1</v>
      </c>
      <c r="S20" s="1">
        <v>8.6999999999999993</v>
      </c>
      <c r="T20" s="1">
        <v>593</v>
      </c>
      <c r="U20" s="1"/>
    </row>
    <row r="21" spans="1:21" ht="16">
      <c r="A21" s="8" t="s">
        <v>107</v>
      </c>
      <c r="B21" s="8">
        <v>22103984</v>
      </c>
      <c r="C21" s="8" t="s">
        <v>108</v>
      </c>
      <c r="D21" s="10">
        <v>44330</v>
      </c>
      <c r="E21" s="5">
        <v>44215</v>
      </c>
      <c r="F21" s="5">
        <v>44216</v>
      </c>
      <c r="G21" s="5">
        <v>44218</v>
      </c>
      <c r="H21" s="106">
        <v>22.4</v>
      </c>
      <c r="I21" s="5">
        <v>44211</v>
      </c>
      <c r="J21" s="106">
        <v>59.6</v>
      </c>
      <c r="K21" s="1">
        <v>32.5</v>
      </c>
      <c r="L21" s="1">
        <v>4189</v>
      </c>
      <c r="M21" s="1">
        <v>2277</v>
      </c>
      <c r="N21" s="1">
        <v>39.4</v>
      </c>
      <c r="O21" s="1">
        <v>2777</v>
      </c>
      <c r="P21" s="1">
        <v>19</v>
      </c>
      <c r="Q21" s="1">
        <v>1338</v>
      </c>
      <c r="R21" s="1">
        <v>2.1</v>
      </c>
      <c r="S21" s="1">
        <v>6.1</v>
      </c>
      <c r="T21" s="1">
        <v>429</v>
      </c>
      <c r="U21" s="1"/>
    </row>
    <row r="22" spans="1:21" s="114" customFormat="1" ht="16">
      <c r="A22" s="115" t="s">
        <v>112</v>
      </c>
      <c r="B22" s="115">
        <v>21927677</v>
      </c>
      <c r="C22" s="115" t="s">
        <v>113</v>
      </c>
      <c r="D22" s="112"/>
      <c r="E22" s="112"/>
      <c r="F22" s="112"/>
      <c r="G22" s="112"/>
      <c r="H22" s="113"/>
      <c r="I22" s="112"/>
      <c r="J22" s="113"/>
      <c r="K22" s="112"/>
      <c r="L22" s="112"/>
      <c r="M22" s="112"/>
      <c r="N22" s="112"/>
      <c r="O22" s="112"/>
      <c r="P22" s="112"/>
      <c r="Q22" s="112"/>
      <c r="R22" s="112"/>
      <c r="S22" s="112"/>
      <c r="T22" s="112"/>
      <c r="U22" s="112"/>
    </row>
    <row r="23" spans="1:21" ht="16">
      <c r="A23" s="8" t="s">
        <v>116</v>
      </c>
      <c r="B23" s="8">
        <v>22104757</v>
      </c>
      <c r="C23" s="8" t="s">
        <v>117</v>
      </c>
      <c r="D23" s="10">
        <v>44502</v>
      </c>
      <c r="E23" s="5">
        <v>44281</v>
      </c>
      <c r="F23" s="10">
        <v>44284</v>
      </c>
      <c r="G23" s="5">
        <v>44284</v>
      </c>
      <c r="H23" s="106">
        <v>30.6</v>
      </c>
      <c r="I23" s="5">
        <v>44279</v>
      </c>
      <c r="J23" s="106">
        <v>62.7</v>
      </c>
      <c r="K23" s="1">
        <v>27.4</v>
      </c>
      <c r="L23" s="1">
        <v>1847</v>
      </c>
      <c r="M23" s="1">
        <v>799</v>
      </c>
      <c r="N23" s="1">
        <v>45.1</v>
      </c>
      <c r="O23" s="1">
        <v>1344</v>
      </c>
      <c r="P23" s="1">
        <v>14.8</v>
      </c>
      <c r="Q23" s="1">
        <v>440</v>
      </c>
      <c r="R23" s="1">
        <v>3</v>
      </c>
      <c r="S23" s="1">
        <v>7.4</v>
      </c>
      <c r="T23" s="1">
        <v>216</v>
      </c>
      <c r="U23" s="1"/>
    </row>
    <row r="24" spans="1:21" ht="16">
      <c r="A24" s="8" t="s">
        <v>121</v>
      </c>
      <c r="B24" s="8">
        <v>22104689</v>
      </c>
      <c r="C24" s="8" t="s">
        <v>122</v>
      </c>
      <c r="D24" s="10">
        <v>44477</v>
      </c>
      <c r="E24" s="5">
        <v>44232</v>
      </c>
      <c r="F24" s="5">
        <v>44235</v>
      </c>
      <c r="G24" s="5">
        <v>44244</v>
      </c>
      <c r="H24" s="106">
        <v>58.3</v>
      </c>
      <c r="I24" s="5">
        <v>44232</v>
      </c>
      <c r="J24" s="106">
        <v>63.9</v>
      </c>
      <c r="K24" s="1">
        <v>22.9</v>
      </c>
      <c r="L24" s="1">
        <v>5026</v>
      </c>
      <c r="M24" s="1">
        <v>1778</v>
      </c>
      <c r="N24" s="1">
        <v>50.4</v>
      </c>
      <c r="O24" s="1">
        <v>4024</v>
      </c>
      <c r="P24" s="1">
        <v>12.7</v>
      </c>
      <c r="Q24" s="1">
        <v>1011</v>
      </c>
      <c r="R24" s="1">
        <v>4</v>
      </c>
      <c r="S24" s="1">
        <v>12.15</v>
      </c>
      <c r="T24" s="1">
        <v>943</v>
      </c>
      <c r="U24" s="1"/>
    </row>
    <row r="25" spans="1:21" s="110" customFormat="1" ht="16">
      <c r="A25" s="116" t="s">
        <v>126</v>
      </c>
      <c r="B25" s="116">
        <v>22264557</v>
      </c>
      <c r="C25" s="116" t="s">
        <v>127</v>
      </c>
      <c r="D25" s="117">
        <v>44418</v>
      </c>
      <c r="E25" s="108">
        <v>44267</v>
      </c>
      <c r="F25" s="108">
        <v>44270</v>
      </c>
      <c r="G25" s="108">
        <v>44270</v>
      </c>
      <c r="H25" s="109">
        <v>4.04</v>
      </c>
      <c r="I25" s="108">
        <v>44264</v>
      </c>
      <c r="J25" s="109">
        <v>54.3</v>
      </c>
      <c r="K25" s="107">
        <v>29.3</v>
      </c>
      <c r="L25" s="107">
        <v>4663</v>
      </c>
      <c r="M25" s="107">
        <v>2487</v>
      </c>
      <c r="N25" s="107">
        <v>35.299999999999997</v>
      </c>
      <c r="O25" s="107">
        <v>3066</v>
      </c>
      <c r="P25" s="107">
        <v>16.8</v>
      </c>
      <c r="Q25" s="107">
        <v>1457</v>
      </c>
      <c r="R25" s="107">
        <v>2.1</v>
      </c>
      <c r="S25" s="107">
        <v>15.01</v>
      </c>
      <c r="T25" s="107">
        <v>1272</v>
      </c>
      <c r="U25" s="107"/>
    </row>
    <row r="26" spans="1:21" ht="16">
      <c r="A26" s="8" t="s">
        <v>131</v>
      </c>
      <c r="B26" s="8">
        <v>22104829</v>
      </c>
      <c r="C26" s="118" t="s">
        <v>1032</v>
      </c>
      <c r="D26" s="10">
        <v>44481</v>
      </c>
      <c r="E26" s="5">
        <v>44295</v>
      </c>
      <c r="F26" s="10">
        <v>44301</v>
      </c>
      <c r="G26" s="5">
        <v>44300</v>
      </c>
      <c r="H26" s="106">
        <v>3.05</v>
      </c>
      <c r="I26" s="5">
        <v>44293</v>
      </c>
      <c r="J26" s="106">
        <v>74.400000000000006</v>
      </c>
      <c r="K26" s="1">
        <v>16</v>
      </c>
      <c r="L26" s="1">
        <v>7463</v>
      </c>
      <c r="M26" s="1">
        <v>1585</v>
      </c>
      <c r="N26" s="1">
        <v>49.2</v>
      </c>
      <c r="O26" s="1">
        <v>4993</v>
      </c>
      <c r="P26" s="1">
        <v>22.3</v>
      </c>
      <c r="Q26" s="1">
        <v>2263</v>
      </c>
      <c r="R26" s="1">
        <v>2.2000000000000002</v>
      </c>
      <c r="S26" s="1">
        <v>7.6</v>
      </c>
      <c r="T26" s="1">
        <v>749</v>
      </c>
      <c r="U26" s="1"/>
    </row>
    <row r="27" spans="1:21" ht="16">
      <c r="A27" s="8" t="s">
        <v>136</v>
      </c>
      <c r="B27" s="8">
        <v>22105033</v>
      </c>
      <c r="C27" s="119" t="s">
        <v>137</v>
      </c>
      <c r="D27" s="10">
        <v>44435</v>
      </c>
      <c r="E27" s="5">
        <v>44306</v>
      </c>
      <c r="F27" s="10">
        <v>44308</v>
      </c>
      <c r="G27" s="5">
        <v>44307</v>
      </c>
      <c r="H27" s="106">
        <v>4.87</v>
      </c>
      <c r="I27" s="5">
        <v>44302</v>
      </c>
      <c r="J27" s="106">
        <v>63.4</v>
      </c>
      <c r="K27" s="1">
        <v>27</v>
      </c>
      <c r="L27" s="1">
        <v>4931</v>
      </c>
      <c r="M27" s="1">
        <v>2061</v>
      </c>
      <c r="N27" s="1">
        <v>48.6</v>
      </c>
      <c r="O27" s="1">
        <v>3857</v>
      </c>
      <c r="P27" s="1">
        <v>12.2</v>
      </c>
      <c r="Q27" s="1">
        <v>966</v>
      </c>
      <c r="R27" s="1">
        <v>4</v>
      </c>
      <c r="S27" s="1">
        <v>7.9</v>
      </c>
      <c r="T27" s="1">
        <v>605</v>
      </c>
      <c r="U27" s="1"/>
    </row>
    <row r="28" spans="1:21" ht="16">
      <c r="A28" s="8" t="s">
        <v>141</v>
      </c>
      <c r="B28" s="8">
        <v>22104898</v>
      </c>
      <c r="C28" s="8" t="s">
        <v>142</v>
      </c>
      <c r="D28" s="10">
        <v>44421</v>
      </c>
      <c r="E28" s="5">
        <v>44327</v>
      </c>
      <c r="F28" s="5">
        <v>44328</v>
      </c>
      <c r="G28" s="5">
        <v>44329</v>
      </c>
      <c r="H28" s="106">
        <v>12.9</v>
      </c>
      <c r="I28" s="5">
        <v>44326</v>
      </c>
      <c r="J28" s="106">
        <v>71.3</v>
      </c>
      <c r="K28" s="1">
        <v>25.7</v>
      </c>
      <c r="L28" s="1">
        <v>4764</v>
      </c>
      <c r="M28" s="1">
        <v>1766</v>
      </c>
      <c r="N28" s="1">
        <v>46.8</v>
      </c>
      <c r="O28" s="1">
        <v>3048</v>
      </c>
      <c r="P28" s="1">
        <v>23</v>
      </c>
      <c r="Q28" s="1">
        <v>1496</v>
      </c>
      <c r="R28" s="1">
        <v>2</v>
      </c>
      <c r="S28" s="1">
        <v>2.4</v>
      </c>
      <c r="T28" s="1">
        <v>162</v>
      </c>
      <c r="U28" s="1"/>
    </row>
    <row r="29" spans="1:21" ht="16">
      <c r="A29" s="8" t="s">
        <v>146</v>
      </c>
      <c r="B29" s="8">
        <v>22104899</v>
      </c>
      <c r="C29" s="8" t="s">
        <v>147</v>
      </c>
      <c r="D29" s="10">
        <v>44496</v>
      </c>
      <c r="E29" s="5">
        <v>44425</v>
      </c>
      <c r="F29" s="5">
        <v>44426</v>
      </c>
      <c r="G29" s="5">
        <v>44426</v>
      </c>
      <c r="H29" s="106">
        <v>56.4</v>
      </c>
      <c r="I29" s="5">
        <v>44421</v>
      </c>
      <c r="J29" s="106">
        <v>72.599999999999994</v>
      </c>
      <c r="K29" s="1">
        <v>22.2</v>
      </c>
      <c r="L29" s="1">
        <v>2985</v>
      </c>
      <c r="M29" s="1">
        <v>892</v>
      </c>
      <c r="N29" s="1">
        <v>46.7</v>
      </c>
      <c r="O29" s="1">
        <v>1966</v>
      </c>
      <c r="P29" s="1">
        <v>22.5</v>
      </c>
      <c r="Q29" s="1">
        <v>945</v>
      </c>
      <c r="R29" s="1">
        <v>2.1</v>
      </c>
      <c r="S29" s="1">
        <v>3.6</v>
      </c>
      <c r="T29" s="1">
        <v>146</v>
      </c>
      <c r="U29" s="1"/>
    </row>
    <row r="30" spans="1:21" ht="16">
      <c r="A30" s="8" t="s">
        <v>148</v>
      </c>
      <c r="B30" s="8">
        <v>22103889</v>
      </c>
      <c r="C30" s="8" t="s">
        <v>149</v>
      </c>
      <c r="D30" s="10">
        <v>44418</v>
      </c>
      <c r="E30" s="5">
        <v>44250</v>
      </c>
      <c r="F30" s="5">
        <v>44251</v>
      </c>
      <c r="G30" s="5">
        <v>44257</v>
      </c>
      <c r="H30" s="106">
        <v>4.0999999999999996</v>
      </c>
      <c r="I30" s="5">
        <v>44251</v>
      </c>
      <c r="J30" s="106">
        <v>58.7</v>
      </c>
      <c r="K30" s="1">
        <v>22.9</v>
      </c>
      <c r="L30" s="1">
        <v>3947</v>
      </c>
      <c r="M30" s="1">
        <v>1549</v>
      </c>
      <c r="N30" s="1">
        <v>39.5</v>
      </c>
      <c r="O30" s="1">
        <v>2649</v>
      </c>
      <c r="P30" s="1">
        <v>15.3</v>
      </c>
      <c r="Q30" s="1">
        <v>1029</v>
      </c>
      <c r="R30" s="1">
        <v>2.6</v>
      </c>
      <c r="S30" s="1">
        <v>16.41</v>
      </c>
      <c r="T30" s="1">
        <v>1108</v>
      </c>
      <c r="U30" s="1"/>
    </row>
    <row r="31" spans="1:21" s="110" customFormat="1" ht="16">
      <c r="A31" s="116" t="s">
        <v>152</v>
      </c>
      <c r="B31" s="116">
        <v>22105253</v>
      </c>
      <c r="C31" s="116" t="s">
        <v>153</v>
      </c>
      <c r="D31" s="117">
        <v>44440</v>
      </c>
      <c r="E31" s="108">
        <v>44281</v>
      </c>
      <c r="F31" s="117">
        <v>44284</v>
      </c>
      <c r="G31" s="108">
        <v>44284</v>
      </c>
      <c r="H31" s="109">
        <v>27.7</v>
      </c>
      <c r="I31" s="108">
        <v>44280</v>
      </c>
      <c r="J31" s="109">
        <v>74</v>
      </c>
      <c r="K31" s="107">
        <v>16.399999999999999</v>
      </c>
      <c r="L31" s="107">
        <v>3742</v>
      </c>
      <c r="M31" s="107">
        <v>800</v>
      </c>
      <c r="N31" s="107">
        <v>44.1</v>
      </c>
      <c r="O31" s="107">
        <v>2315</v>
      </c>
      <c r="P31" s="107">
        <v>26.9</v>
      </c>
      <c r="Q31" s="107">
        <v>1412</v>
      </c>
      <c r="R31" s="107">
        <v>1.6</v>
      </c>
      <c r="S31" s="107">
        <v>7.6</v>
      </c>
      <c r="T31" s="107">
        <v>373</v>
      </c>
      <c r="U31" s="107"/>
    </row>
    <row r="32" spans="1:21" s="110" customFormat="1" ht="16">
      <c r="A32" s="116" t="s">
        <v>157</v>
      </c>
      <c r="B32" s="116">
        <v>22239382</v>
      </c>
      <c r="C32" s="116" t="s">
        <v>158</v>
      </c>
      <c r="D32" s="117" t="s">
        <v>18</v>
      </c>
      <c r="E32" s="107"/>
      <c r="F32" s="107"/>
      <c r="G32" s="107"/>
      <c r="H32" s="109"/>
      <c r="I32" s="107"/>
      <c r="J32" s="109"/>
      <c r="K32" s="107"/>
      <c r="L32" s="107"/>
      <c r="M32" s="107"/>
      <c r="N32" s="107"/>
      <c r="O32" s="107"/>
      <c r="P32" s="107"/>
      <c r="Q32" s="107"/>
      <c r="R32" s="107"/>
      <c r="S32" s="107"/>
      <c r="T32" s="107"/>
      <c r="U32" s="107"/>
    </row>
    <row r="33" spans="1:21" ht="16">
      <c r="A33" s="8" t="s">
        <v>162</v>
      </c>
      <c r="B33" s="8">
        <v>22104618</v>
      </c>
      <c r="C33" s="8" t="s">
        <v>163</v>
      </c>
      <c r="D33" s="10">
        <v>44511</v>
      </c>
      <c r="E33" s="5">
        <v>44295</v>
      </c>
      <c r="F33" s="10">
        <v>44301</v>
      </c>
      <c r="G33" s="5">
        <v>44300</v>
      </c>
      <c r="H33" s="106" t="s">
        <v>1789</v>
      </c>
      <c r="I33" s="5">
        <v>44293</v>
      </c>
      <c r="J33" s="106">
        <v>54.4</v>
      </c>
      <c r="K33" s="1">
        <v>19.5</v>
      </c>
      <c r="L33" s="1">
        <v>2026</v>
      </c>
      <c r="M33" s="1">
        <v>714</v>
      </c>
      <c r="N33" s="1">
        <v>32</v>
      </c>
      <c r="O33" s="1">
        <v>1212</v>
      </c>
      <c r="P33" s="1">
        <v>20.399999999999999</v>
      </c>
      <c r="Q33" s="1">
        <v>773</v>
      </c>
      <c r="R33" s="1">
        <v>1.6</v>
      </c>
      <c r="S33" s="1">
        <v>23.7</v>
      </c>
      <c r="T33" s="1">
        <v>868</v>
      </c>
      <c r="U33" s="1"/>
    </row>
    <row r="34" spans="1:21" s="114" customFormat="1" ht="16">
      <c r="A34" s="112" t="s">
        <v>167</v>
      </c>
      <c r="B34" s="112">
        <v>4997153</v>
      </c>
      <c r="C34" s="112" t="s">
        <v>168</v>
      </c>
      <c r="D34" s="112"/>
      <c r="E34" s="112"/>
      <c r="F34" s="112"/>
      <c r="G34" s="112"/>
      <c r="H34" s="113"/>
      <c r="I34" s="112"/>
      <c r="J34" s="113"/>
      <c r="K34" s="112"/>
      <c r="L34" s="112"/>
      <c r="M34" s="112"/>
      <c r="N34" s="112"/>
      <c r="O34" s="112"/>
      <c r="P34" s="112"/>
      <c r="Q34" s="112"/>
      <c r="R34" s="112"/>
      <c r="S34" s="112"/>
      <c r="T34" s="112"/>
      <c r="U34" s="112"/>
    </row>
    <row r="35" spans="1:21" s="114" customFormat="1" ht="16">
      <c r="A35" s="112" t="s">
        <v>172</v>
      </c>
      <c r="B35" s="112">
        <v>21926144</v>
      </c>
      <c r="C35" s="112" t="s">
        <v>173</v>
      </c>
      <c r="D35" s="112"/>
      <c r="E35" s="112"/>
      <c r="F35" s="112"/>
      <c r="G35" s="112"/>
      <c r="H35" s="113"/>
      <c r="I35" s="112"/>
      <c r="J35" s="113"/>
      <c r="K35" s="112"/>
      <c r="L35" s="112"/>
      <c r="M35" s="112"/>
      <c r="N35" s="112"/>
      <c r="O35" s="112"/>
      <c r="P35" s="112"/>
      <c r="Q35" s="112"/>
      <c r="R35" s="112"/>
      <c r="S35" s="112"/>
      <c r="T35" s="112"/>
      <c r="U35" s="112"/>
    </row>
    <row r="36" spans="1:21" s="114" customFormat="1" ht="16">
      <c r="A36" s="112" t="s">
        <v>177</v>
      </c>
      <c r="B36" s="112">
        <v>21923161</v>
      </c>
      <c r="C36" s="112" t="s">
        <v>178</v>
      </c>
      <c r="D36" s="112"/>
      <c r="E36" s="112"/>
      <c r="F36" s="112"/>
      <c r="G36" s="112"/>
      <c r="H36" s="113"/>
      <c r="I36" s="112"/>
      <c r="J36" s="113"/>
      <c r="K36" s="112"/>
      <c r="L36" s="112"/>
      <c r="M36" s="112"/>
      <c r="N36" s="112"/>
      <c r="O36" s="112"/>
      <c r="P36" s="112"/>
      <c r="Q36" s="112"/>
      <c r="R36" s="112"/>
      <c r="S36" s="112"/>
      <c r="T36" s="112"/>
      <c r="U36" s="112"/>
    </row>
    <row r="37" spans="1:21" s="127" customFormat="1" ht="16">
      <c r="A37" s="125" t="s">
        <v>182</v>
      </c>
      <c r="B37" s="125">
        <v>22104076</v>
      </c>
      <c r="C37" s="125" t="s">
        <v>183</v>
      </c>
      <c r="D37" s="125"/>
      <c r="E37" s="125"/>
      <c r="F37" s="125"/>
      <c r="G37" s="125"/>
      <c r="H37" s="126"/>
      <c r="I37" s="125"/>
      <c r="J37" s="126"/>
      <c r="K37" s="125"/>
      <c r="L37" s="125"/>
      <c r="M37" s="125"/>
      <c r="N37" s="125"/>
      <c r="O37" s="125"/>
      <c r="P37" s="125"/>
      <c r="Q37" s="125"/>
      <c r="R37" s="125"/>
      <c r="S37" s="125"/>
      <c r="T37" s="125"/>
      <c r="U37" s="125"/>
    </row>
    <row r="38" spans="1:21" s="114" customFormat="1" ht="16">
      <c r="A38" s="112" t="s">
        <v>187</v>
      </c>
      <c r="B38" s="112">
        <v>21929566</v>
      </c>
      <c r="C38" s="112" t="s">
        <v>188</v>
      </c>
      <c r="D38" s="112"/>
      <c r="E38" s="112"/>
      <c r="F38" s="112"/>
      <c r="G38" s="112"/>
      <c r="H38" s="113"/>
      <c r="I38" s="112"/>
      <c r="J38" s="113"/>
      <c r="K38" s="112"/>
      <c r="L38" s="112"/>
      <c r="M38" s="112"/>
      <c r="N38" s="112"/>
      <c r="O38" s="112"/>
      <c r="P38" s="112"/>
      <c r="Q38" s="112"/>
      <c r="R38" s="112"/>
      <c r="S38" s="112"/>
      <c r="T38" s="112"/>
      <c r="U38" s="112"/>
    </row>
    <row r="39" spans="1:21" ht="16">
      <c r="A39" s="1" t="s">
        <v>192</v>
      </c>
      <c r="B39" s="1">
        <v>22103802</v>
      </c>
      <c r="C39" s="1" t="s">
        <v>193</v>
      </c>
      <c r="D39" s="5">
        <v>44470</v>
      </c>
      <c r="E39" s="5">
        <v>44432</v>
      </c>
      <c r="F39" s="1"/>
      <c r="G39" s="5">
        <v>44433</v>
      </c>
      <c r="H39" s="106">
        <v>78</v>
      </c>
      <c r="I39" s="5">
        <v>44428</v>
      </c>
      <c r="J39" s="106">
        <v>68.2</v>
      </c>
      <c r="K39" s="1">
        <v>24</v>
      </c>
      <c r="L39" s="1">
        <v>4639</v>
      </c>
      <c r="M39" s="1">
        <v>1569</v>
      </c>
      <c r="N39" s="1">
        <v>34.799999999999997</v>
      </c>
      <c r="O39" s="1">
        <v>2456</v>
      </c>
      <c r="P39" s="1">
        <v>30.4</v>
      </c>
      <c r="Q39" s="1">
        <v>2148</v>
      </c>
      <c r="R39" s="1">
        <v>1.1000000000000001</v>
      </c>
      <c r="S39" s="1">
        <v>6</v>
      </c>
      <c r="T39" s="1">
        <v>393</v>
      </c>
      <c r="U39" s="1"/>
    </row>
    <row r="40" spans="1:21" ht="16">
      <c r="A40" s="1" t="s">
        <v>196</v>
      </c>
      <c r="B40" s="1">
        <v>22106464</v>
      </c>
      <c r="C40" s="1" t="s">
        <v>197</v>
      </c>
      <c r="D40" s="5">
        <v>44665</v>
      </c>
      <c r="E40" s="5">
        <v>44579</v>
      </c>
      <c r="F40" s="1"/>
      <c r="G40" s="5">
        <v>44580</v>
      </c>
      <c r="H40" s="106" t="s">
        <v>1789</v>
      </c>
      <c r="I40" s="5">
        <v>44575</v>
      </c>
      <c r="J40" s="106">
        <v>73</v>
      </c>
      <c r="K40" s="1">
        <v>18.8</v>
      </c>
      <c r="L40" s="1">
        <v>4590</v>
      </c>
      <c r="M40" s="1">
        <v>1154</v>
      </c>
      <c r="N40" s="1">
        <v>55.8</v>
      </c>
      <c r="O40" s="1">
        <v>3586</v>
      </c>
      <c r="P40" s="1">
        <v>13.2</v>
      </c>
      <c r="Q40" s="1">
        <v>848</v>
      </c>
      <c r="R40" s="1">
        <v>4.2</v>
      </c>
      <c r="S40" s="1">
        <v>6.3</v>
      </c>
      <c r="T40" s="1">
        <v>388</v>
      </c>
      <c r="U40" s="1"/>
    </row>
    <row r="41" spans="1:21" s="114" customFormat="1" ht="16">
      <c r="A41" s="112" t="s">
        <v>200</v>
      </c>
      <c r="B41" s="112">
        <v>22102954</v>
      </c>
      <c r="C41" s="112" t="s">
        <v>201</v>
      </c>
      <c r="D41" s="112"/>
      <c r="E41" s="112"/>
      <c r="F41" s="112"/>
      <c r="G41" s="112"/>
      <c r="H41" s="113"/>
      <c r="I41" s="112"/>
      <c r="J41" s="113"/>
      <c r="K41" s="112"/>
      <c r="L41" s="112"/>
      <c r="M41" s="112"/>
      <c r="N41" s="112"/>
      <c r="O41" s="112"/>
      <c r="P41" s="112"/>
      <c r="Q41" s="112"/>
      <c r="R41" s="112"/>
      <c r="S41" s="112"/>
      <c r="T41" s="112"/>
      <c r="U41" s="112"/>
    </row>
    <row r="42" spans="1:21" ht="16">
      <c r="A42" s="1" t="s">
        <v>204</v>
      </c>
      <c r="B42" s="1">
        <v>22104292</v>
      </c>
      <c r="C42" s="1" t="s">
        <v>205</v>
      </c>
      <c r="D42" s="5">
        <v>44572</v>
      </c>
      <c r="E42" s="5">
        <v>44526</v>
      </c>
      <c r="F42" s="1"/>
      <c r="G42" s="5">
        <v>44532</v>
      </c>
      <c r="H42" s="106">
        <v>4.25</v>
      </c>
      <c r="I42" s="5">
        <v>44524</v>
      </c>
      <c r="J42" s="106">
        <v>61.5</v>
      </c>
      <c r="K42" s="1">
        <v>24.6</v>
      </c>
      <c r="L42" s="1">
        <v>3048</v>
      </c>
      <c r="M42" s="1">
        <v>1208</v>
      </c>
      <c r="N42" s="1">
        <v>32.200000000000003</v>
      </c>
      <c r="O42" s="1">
        <v>1605</v>
      </c>
      <c r="P42" s="1">
        <v>25.9</v>
      </c>
      <c r="Q42" s="1">
        <v>1292</v>
      </c>
      <c r="R42" s="1">
        <v>1.2</v>
      </c>
      <c r="S42" s="1">
        <v>12.6</v>
      </c>
      <c r="T42" s="1">
        <v>621</v>
      </c>
      <c r="U42" s="1"/>
    </row>
    <row r="43" spans="1:21" ht="16">
      <c r="A43" s="1" t="s">
        <v>209</v>
      </c>
      <c r="B43" s="1">
        <v>22104265</v>
      </c>
      <c r="C43" s="1" t="s">
        <v>210</v>
      </c>
      <c r="D43" s="5">
        <v>44412</v>
      </c>
      <c r="E43" s="5">
        <v>44330</v>
      </c>
      <c r="F43" s="1"/>
      <c r="G43" s="5">
        <v>44333</v>
      </c>
      <c r="H43" s="106">
        <v>24.4</v>
      </c>
      <c r="I43" s="5">
        <v>44327</v>
      </c>
      <c r="J43" s="106">
        <v>62.3</v>
      </c>
      <c r="K43" s="1">
        <v>27</v>
      </c>
      <c r="L43" s="1">
        <v>3392</v>
      </c>
      <c r="M43" s="1">
        <v>1469</v>
      </c>
      <c r="N43" s="1">
        <v>41.8</v>
      </c>
      <c r="O43" s="1">
        <v>2276</v>
      </c>
      <c r="P43" s="1">
        <v>17.7</v>
      </c>
      <c r="Q43" s="1">
        <v>964</v>
      </c>
      <c r="R43" s="1">
        <v>2.4</v>
      </c>
      <c r="S43" s="1">
        <v>9.1</v>
      </c>
      <c r="T43" s="1">
        <v>498</v>
      </c>
      <c r="U43" s="1"/>
    </row>
    <row r="44" spans="1:21" ht="16">
      <c r="A44" s="1" t="s">
        <v>212</v>
      </c>
      <c r="B44" s="1">
        <v>22103803</v>
      </c>
      <c r="C44" s="1" t="s">
        <v>213</v>
      </c>
      <c r="D44" s="5">
        <v>44496</v>
      </c>
      <c r="E44" s="5">
        <v>44432</v>
      </c>
      <c r="F44" s="1"/>
      <c r="G44" s="5">
        <v>44433</v>
      </c>
      <c r="H44" s="106">
        <v>111</v>
      </c>
      <c r="I44" s="5">
        <v>44470</v>
      </c>
      <c r="J44" s="106">
        <v>63.8</v>
      </c>
      <c r="K44" s="1">
        <v>28.5</v>
      </c>
      <c r="L44" s="1">
        <v>5471</v>
      </c>
      <c r="M44" s="1">
        <v>2421</v>
      </c>
      <c r="N44" s="1">
        <v>32.4</v>
      </c>
      <c r="O44" s="1">
        <v>2796</v>
      </c>
      <c r="P44" s="1">
        <v>27.8</v>
      </c>
      <c r="Q44" s="1">
        <v>2406</v>
      </c>
      <c r="R44" s="1">
        <v>1.2</v>
      </c>
      <c r="S44" s="1">
        <v>5.9</v>
      </c>
      <c r="T44" s="1">
        <v>502</v>
      </c>
      <c r="U44" s="1"/>
    </row>
    <row r="45" spans="1:21" ht="16">
      <c r="A45" s="1" t="s">
        <v>214</v>
      </c>
      <c r="B45" s="1">
        <v>22105667</v>
      </c>
      <c r="C45" s="1" t="s">
        <v>215</v>
      </c>
      <c r="D45" s="5">
        <v>44572</v>
      </c>
      <c r="E45" s="5">
        <v>44505</v>
      </c>
      <c r="F45" s="1"/>
      <c r="G45" s="5">
        <v>44508</v>
      </c>
      <c r="H45" s="106">
        <v>11.8</v>
      </c>
      <c r="I45" s="5">
        <v>44502</v>
      </c>
      <c r="J45" s="106">
        <v>69</v>
      </c>
      <c r="K45" s="1">
        <v>24.8</v>
      </c>
      <c r="L45" s="1">
        <v>1585</v>
      </c>
      <c r="M45" s="1">
        <v>567</v>
      </c>
      <c r="N45" s="1">
        <v>38.4</v>
      </c>
      <c r="O45" s="1">
        <v>888</v>
      </c>
      <c r="P45" s="1">
        <v>29</v>
      </c>
      <c r="Q45" s="1">
        <v>669</v>
      </c>
      <c r="R45" s="1">
        <v>1.3</v>
      </c>
      <c r="S45" s="1">
        <v>5.6</v>
      </c>
      <c r="T45" s="1">
        <v>129</v>
      </c>
      <c r="U45" s="1"/>
    </row>
    <row r="46" spans="1:21" ht="16">
      <c r="A46" s="1" t="s">
        <v>219</v>
      </c>
      <c r="B46" s="1">
        <v>22107706</v>
      </c>
      <c r="C46" s="1" t="s">
        <v>220</v>
      </c>
      <c r="D46" s="5">
        <v>44621</v>
      </c>
      <c r="E46" s="5">
        <v>44610</v>
      </c>
      <c r="F46" s="1"/>
      <c r="G46" s="5">
        <v>44613</v>
      </c>
      <c r="H46" s="106">
        <v>261</v>
      </c>
      <c r="I46" s="5">
        <v>44607</v>
      </c>
      <c r="J46" s="106">
        <v>60.6</v>
      </c>
      <c r="K46" s="1">
        <v>27</v>
      </c>
      <c r="L46" s="1">
        <v>4378</v>
      </c>
      <c r="M46" s="1">
        <v>1894</v>
      </c>
      <c r="N46" s="1">
        <v>34.5</v>
      </c>
      <c r="O46" s="1">
        <v>2567</v>
      </c>
      <c r="P46" s="1">
        <v>21</v>
      </c>
      <c r="Q46" s="1">
        <v>1563</v>
      </c>
      <c r="R46" s="1">
        <v>1.6</v>
      </c>
      <c r="S46" s="1">
        <v>10.3</v>
      </c>
      <c r="T46" s="1">
        <v>721</v>
      </c>
      <c r="U46" s="1"/>
    </row>
    <row r="47" spans="1:21" ht="16">
      <c r="A47" s="1" t="s">
        <v>223</v>
      </c>
      <c r="B47" s="1">
        <v>22107436</v>
      </c>
      <c r="C47" s="1" t="s">
        <v>224</v>
      </c>
      <c r="D47" s="5">
        <v>44526</v>
      </c>
      <c r="E47" s="5">
        <v>44498</v>
      </c>
      <c r="F47" s="1"/>
      <c r="G47" s="5">
        <v>44501</v>
      </c>
      <c r="H47" s="106">
        <v>2.34</v>
      </c>
      <c r="I47" s="5">
        <v>44496</v>
      </c>
      <c r="J47" s="106">
        <v>61.1</v>
      </c>
      <c r="K47" s="1">
        <v>22.1</v>
      </c>
      <c r="L47" s="1">
        <v>3371</v>
      </c>
      <c r="M47" s="1">
        <v>1200</v>
      </c>
      <c r="N47" s="1">
        <v>37.6</v>
      </c>
      <c r="O47" s="1">
        <v>2106</v>
      </c>
      <c r="P47" s="1">
        <v>21.2</v>
      </c>
      <c r="Q47" s="1">
        <v>1186</v>
      </c>
      <c r="R47" s="1">
        <v>1.8</v>
      </c>
      <c r="S47" s="1">
        <v>15.9</v>
      </c>
      <c r="T47" s="1">
        <v>864</v>
      </c>
      <c r="U47" s="1"/>
    </row>
    <row r="48" spans="1:21" ht="16">
      <c r="A48" s="1" t="s">
        <v>228</v>
      </c>
      <c r="B48" s="1">
        <v>22107749</v>
      </c>
      <c r="C48" s="14" t="s">
        <v>2221</v>
      </c>
      <c r="D48" s="5">
        <v>44581</v>
      </c>
      <c r="E48" s="5">
        <v>44579</v>
      </c>
      <c r="F48" s="1"/>
      <c r="G48" s="5">
        <v>44580</v>
      </c>
      <c r="H48" s="106">
        <v>3.88</v>
      </c>
      <c r="I48" s="5">
        <v>44575</v>
      </c>
      <c r="J48" s="106">
        <v>59.3</v>
      </c>
      <c r="K48" s="1">
        <v>31.6</v>
      </c>
      <c r="L48" s="1">
        <v>4047</v>
      </c>
      <c r="M48" s="1">
        <v>2140</v>
      </c>
      <c r="N48" s="1">
        <v>38.4</v>
      </c>
      <c r="O48" s="1">
        <v>2638</v>
      </c>
      <c r="P48" s="1">
        <v>18.600000000000001</v>
      </c>
      <c r="Q48" s="1">
        <v>1280</v>
      </c>
      <c r="R48" s="1">
        <v>2.1</v>
      </c>
      <c r="S48" s="1">
        <v>7.6</v>
      </c>
      <c r="T48" s="1">
        <v>517</v>
      </c>
      <c r="U48" s="1"/>
    </row>
    <row r="49" spans="1:21" s="114" customFormat="1" ht="16">
      <c r="A49" s="112" t="s">
        <v>232</v>
      </c>
      <c r="B49" s="112">
        <v>21929694</v>
      </c>
      <c r="C49" s="112" t="s">
        <v>233</v>
      </c>
      <c r="D49" s="112"/>
      <c r="E49" s="112"/>
      <c r="F49" s="112"/>
      <c r="G49" s="112"/>
      <c r="H49" s="113"/>
      <c r="I49" s="112"/>
      <c r="J49" s="113"/>
      <c r="K49" s="112"/>
      <c r="L49" s="112"/>
      <c r="M49" s="112"/>
      <c r="N49" s="112"/>
      <c r="O49" s="112"/>
      <c r="P49" s="112"/>
      <c r="Q49" s="112"/>
      <c r="R49" s="112"/>
      <c r="S49" s="112"/>
      <c r="T49" s="112"/>
      <c r="U49" s="112"/>
    </row>
    <row r="50" spans="1:21" s="114" customFormat="1" ht="16">
      <c r="A50" s="112" t="s">
        <v>236</v>
      </c>
      <c r="B50" s="112">
        <v>21929692</v>
      </c>
      <c r="C50" s="112" t="s">
        <v>237</v>
      </c>
      <c r="D50" s="112"/>
      <c r="E50" s="112"/>
      <c r="F50" s="112"/>
      <c r="G50" s="112"/>
      <c r="H50" s="113"/>
      <c r="I50" s="112"/>
      <c r="J50" s="113"/>
      <c r="K50" s="112"/>
      <c r="L50" s="112"/>
      <c r="M50" s="112"/>
      <c r="N50" s="112"/>
      <c r="O50" s="112"/>
      <c r="P50" s="112"/>
      <c r="Q50" s="112"/>
      <c r="R50" s="112"/>
      <c r="S50" s="112"/>
      <c r="T50" s="112"/>
      <c r="U50" s="112"/>
    </row>
    <row r="51" spans="1:21" ht="16">
      <c r="A51" s="1" t="s">
        <v>239</v>
      </c>
      <c r="B51" s="1">
        <v>22107552</v>
      </c>
      <c r="C51" s="1" t="s">
        <v>240</v>
      </c>
      <c r="D51" s="5">
        <v>44580</v>
      </c>
      <c r="E51" s="5">
        <v>44572</v>
      </c>
      <c r="F51" s="1"/>
      <c r="G51" s="5">
        <v>44574</v>
      </c>
      <c r="H51" s="106">
        <v>30.3</v>
      </c>
      <c r="I51" s="5">
        <v>44568</v>
      </c>
      <c r="J51" s="106">
        <v>70.2</v>
      </c>
      <c r="K51" s="1">
        <v>25.8</v>
      </c>
      <c r="L51" s="1">
        <v>5796</v>
      </c>
      <c r="M51" s="1">
        <v>2067</v>
      </c>
      <c r="N51" s="1">
        <v>51.8</v>
      </c>
      <c r="O51" s="1">
        <v>4399</v>
      </c>
      <c r="P51" s="1">
        <v>16.600000000000001</v>
      </c>
      <c r="Q51" s="1">
        <v>1411</v>
      </c>
      <c r="R51" s="1">
        <v>3.1</v>
      </c>
      <c r="S51" s="1">
        <v>3.1</v>
      </c>
      <c r="T51" s="1">
        <v>252</v>
      </c>
      <c r="U51" s="1"/>
    </row>
    <row r="52" spans="1:21" ht="16">
      <c r="A52" s="1" t="s">
        <v>244</v>
      </c>
      <c r="B52" s="1">
        <v>22105413</v>
      </c>
      <c r="C52" s="1" t="s">
        <v>245</v>
      </c>
      <c r="D52" s="5">
        <v>44455</v>
      </c>
      <c r="E52" s="5">
        <v>44421</v>
      </c>
      <c r="F52" s="5">
        <v>44424</v>
      </c>
      <c r="G52" s="5">
        <v>44424</v>
      </c>
      <c r="H52" s="106">
        <v>15</v>
      </c>
      <c r="I52" s="5">
        <v>44419</v>
      </c>
      <c r="J52" s="106">
        <v>56.1</v>
      </c>
      <c r="K52" s="1">
        <v>31.8</v>
      </c>
      <c r="L52" s="1">
        <v>4466</v>
      </c>
      <c r="M52" s="1">
        <v>2501</v>
      </c>
      <c r="N52" s="1">
        <v>40.799999999999997</v>
      </c>
      <c r="O52" s="1">
        <v>3287</v>
      </c>
      <c r="P52" s="1">
        <v>12.6</v>
      </c>
      <c r="Q52" s="1">
        <v>1011</v>
      </c>
      <c r="R52" s="1">
        <v>3.2</v>
      </c>
      <c r="S52" s="1">
        <v>10.8</v>
      </c>
      <c r="T52" s="1">
        <v>851</v>
      </c>
      <c r="U52" s="1"/>
    </row>
    <row r="53" spans="1:21" s="110" customFormat="1" ht="16">
      <c r="A53" s="107" t="s">
        <v>249</v>
      </c>
      <c r="B53" s="107">
        <v>22105943</v>
      </c>
      <c r="C53" s="107" t="s">
        <v>250</v>
      </c>
      <c r="D53" s="107"/>
      <c r="E53" s="107"/>
      <c r="F53" s="107"/>
      <c r="G53" s="107"/>
      <c r="H53" s="109"/>
      <c r="I53" s="107"/>
      <c r="J53" s="109"/>
      <c r="K53" s="107"/>
      <c r="L53" s="107"/>
      <c r="M53" s="107"/>
      <c r="N53" s="107"/>
      <c r="O53" s="107"/>
      <c r="P53" s="107"/>
      <c r="Q53" s="107"/>
      <c r="R53" s="107"/>
      <c r="S53" s="107"/>
      <c r="T53" s="107"/>
      <c r="U53" s="107"/>
    </row>
    <row r="54" spans="1:21" ht="16">
      <c r="A54" s="1" t="s">
        <v>253</v>
      </c>
      <c r="B54" s="1">
        <v>22104786</v>
      </c>
      <c r="C54" s="1" t="s">
        <v>254</v>
      </c>
      <c r="D54" s="5">
        <v>44496</v>
      </c>
      <c r="E54" s="5">
        <v>44484</v>
      </c>
      <c r="F54" s="1"/>
      <c r="G54" s="5">
        <v>44487</v>
      </c>
      <c r="H54" s="106">
        <v>229</v>
      </c>
      <c r="I54" s="5">
        <v>44482</v>
      </c>
      <c r="J54" s="106">
        <v>67.099999999999994</v>
      </c>
      <c r="K54" s="1">
        <v>23.8</v>
      </c>
      <c r="L54" s="1">
        <v>4105</v>
      </c>
      <c r="M54" s="1">
        <v>1422</v>
      </c>
      <c r="N54" s="1">
        <v>42.4</v>
      </c>
      <c r="O54" s="1">
        <v>2647</v>
      </c>
      <c r="P54" s="1">
        <v>22.2</v>
      </c>
      <c r="Q54" s="1">
        <v>1384</v>
      </c>
      <c r="R54" s="1">
        <v>1.9</v>
      </c>
      <c r="S54" s="1">
        <v>8.6</v>
      </c>
      <c r="T54" s="1">
        <v>517</v>
      </c>
      <c r="U54" s="1"/>
    </row>
    <row r="55" spans="1:21" ht="16">
      <c r="A55" s="1" t="s">
        <v>257</v>
      </c>
      <c r="B55" s="1">
        <v>22106937</v>
      </c>
      <c r="C55" s="1" t="s">
        <v>258</v>
      </c>
      <c r="D55" s="5">
        <v>44505</v>
      </c>
      <c r="E55" s="5">
        <v>44502</v>
      </c>
      <c r="F55" s="1"/>
      <c r="G55" s="5">
        <v>44503</v>
      </c>
      <c r="H55" s="106">
        <v>40.1</v>
      </c>
      <c r="I55" s="5">
        <v>44498</v>
      </c>
      <c r="J55" s="106">
        <v>60.6</v>
      </c>
      <c r="K55" s="1">
        <v>19.2</v>
      </c>
      <c r="L55" s="1">
        <v>2829</v>
      </c>
      <c r="M55" s="1">
        <v>879</v>
      </c>
      <c r="N55" s="1">
        <v>39.6</v>
      </c>
      <c r="O55" s="1">
        <v>1886</v>
      </c>
      <c r="P55" s="1">
        <v>16.3</v>
      </c>
      <c r="Q55" s="1">
        <v>774</v>
      </c>
      <c r="R55" s="1">
        <v>2.4</v>
      </c>
      <c r="S55" s="1">
        <v>18.100000000000001</v>
      </c>
      <c r="T55" s="1">
        <v>832</v>
      </c>
      <c r="U55" s="1"/>
    </row>
    <row r="56" spans="1:21" s="127" customFormat="1" ht="16">
      <c r="A56" s="125" t="s">
        <v>262</v>
      </c>
      <c r="B56" s="125">
        <v>22102827</v>
      </c>
      <c r="C56" s="125" t="s">
        <v>263</v>
      </c>
      <c r="D56" s="125"/>
      <c r="E56" s="125"/>
      <c r="F56" s="125"/>
      <c r="G56" s="125"/>
      <c r="H56" s="126"/>
      <c r="I56" s="125"/>
      <c r="J56" s="126"/>
      <c r="K56" s="125"/>
      <c r="L56" s="125"/>
      <c r="M56" s="125"/>
      <c r="N56" s="125"/>
      <c r="O56" s="125"/>
      <c r="P56" s="125"/>
      <c r="Q56" s="125"/>
      <c r="R56" s="125"/>
      <c r="S56" s="125"/>
      <c r="T56" s="125"/>
      <c r="U56" s="125"/>
    </row>
    <row r="57" spans="1:21" s="114" customFormat="1" ht="16">
      <c r="A57" s="112" t="s">
        <v>266</v>
      </c>
      <c r="B57" s="112">
        <v>22192272</v>
      </c>
      <c r="C57" s="112" t="s">
        <v>267</v>
      </c>
      <c r="D57" s="112"/>
      <c r="E57" s="112"/>
      <c r="F57" s="112"/>
      <c r="G57" s="112"/>
      <c r="H57" s="113"/>
      <c r="I57" s="112"/>
      <c r="J57" s="113"/>
      <c r="K57" s="112"/>
      <c r="L57" s="112"/>
      <c r="M57" s="112"/>
      <c r="N57" s="112"/>
      <c r="O57" s="112"/>
      <c r="P57" s="112"/>
      <c r="Q57" s="112"/>
      <c r="R57" s="112"/>
      <c r="S57" s="112"/>
      <c r="T57" s="112"/>
      <c r="U57" s="112"/>
    </row>
    <row r="58" spans="1:21" ht="16">
      <c r="A58" s="1" t="s">
        <v>270</v>
      </c>
      <c r="B58" s="1">
        <v>22105580</v>
      </c>
      <c r="C58" s="1" t="s">
        <v>271</v>
      </c>
      <c r="D58" s="5">
        <v>44495</v>
      </c>
      <c r="E58" s="5">
        <v>44428</v>
      </c>
      <c r="F58" s="1"/>
      <c r="G58" s="5">
        <v>44431</v>
      </c>
      <c r="H58" s="106" t="s">
        <v>1789</v>
      </c>
      <c r="I58" s="5">
        <v>44425</v>
      </c>
      <c r="J58" s="106">
        <v>57.8</v>
      </c>
      <c r="K58" s="1">
        <v>30.9</v>
      </c>
      <c r="L58" s="1">
        <v>2365</v>
      </c>
      <c r="M58" s="1">
        <v>1239</v>
      </c>
      <c r="N58" s="1">
        <v>38.4</v>
      </c>
      <c r="O58" s="1">
        <v>1604</v>
      </c>
      <c r="P58" s="1">
        <v>16</v>
      </c>
      <c r="Q58" s="1">
        <v>666</v>
      </c>
      <c r="R58" s="1">
        <v>2.4</v>
      </c>
      <c r="S58" s="1">
        <v>10</v>
      </c>
      <c r="T58" s="1">
        <v>400</v>
      </c>
      <c r="U58" s="1"/>
    </row>
    <row r="59" spans="1:21" ht="16">
      <c r="A59" s="1" t="s">
        <v>273</v>
      </c>
      <c r="B59" s="1">
        <v>22105942</v>
      </c>
      <c r="C59" s="1" t="s">
        <v>274</v>
      </c>
      <c r="D59" s="5">
        <v>44523</v>
      </c>
      <c r="E59" s="5">
        <v>44495</v>
      </c>
      <c r="F59" s="1"/>
      <c r="G59" s="5">
        <v>44496</v>
      </c>
      <c r="H59" s="106">
        <v>14.9</v>
      </c>
      <c r="I59" s="5">
        <v>44491</v>
      </c>
      <c r="J59" s="106">
        <v>69.8</v>
      </c>
      <c r="K59" s="1">
        <v>21.4</v>
      </c>
      <c r="L59" s="1">
        <v>3689</v>
      </c>
      <c r="M59" s="1">
        <v>1148</v>
      </c>
      <c r="N59" s="1">
        <v>48.9</v>
      </c>
      <c r="O59" s="1">
        <v>2550</v>
      </c>
      <c r="P59" s="1">
        <v>16</v>
      </c>
      <c r="Q59" s="1">
        <v>834</v>
      </c>
      <c r="R59" s="1">
        <v>3.1</v>
      </c>
      <c r="S59" s="1">
        <v>6.1</v>
      </c>
      <c r="T59" s="1">
        <v>328</v>
      </c>
      <c r="U59" s="1"/>
    </row>
    <row r="60" spans="1:21" ht="16">
      <c r="A60" s="1" t="s">
        <v>278</v>
      </c>
      <c r="B60" s="1">
        <v>22106996</v>
      </c>
      <c r="C60" s="14" t="s">
        <v>2442</v>
      </c>
      <c r="D60" s="5">
        <v>44523</v>
      </c>
      <c r="E60" s="5">
        <v>44512</v>
      </c>
      <c r="F60" s="1"/>
      <c r="G60" s="5">
        <v>44515</v>
      </c>
      <c r="H60" s="106">
        <v>4.7300000000000004</v>
      </c>
      <c r="I60" s="5">
        <v>44509</v>
      </c>
      <c r="J60" s="106">
        <v>74.7</v>
      </c>
      <c r="K60" s="1">
        <v>16.7</v>
      </c>
      <c r="L60" s="1">
        <v>3070</v>
      </c>
      <c r="M60" s="1">
        <v>666</v>
      </c>
      <c r="N60" s="1">
        <v>53.4</v>
      </c>
      <c r="O60" s="1">
        <v>2262</v>
      </c>
      <c r="P60" s="1">
        <v>16.2</v>
      </c>
      <c r="Q60" s="1">
        <v>687</v>
      </c>
      <c r="R60" s="1">
        <v>3.3</v>
      </c>
      <c r="S60" s="1">
        <v>7.1</v>
      </c>
      <c r="T60" s="1">
        <v>281</v>
      </c>
      <c r="U60" s="1"/>
    </row>
    <row r="61" spans="1:21" ht="16">
      <c r="A61" s="1" t="s">
        <v>283</v>
      </c>
      <c r="B61" s="1">
        <v>22106997</v>
      </c>
      <c r="C61" s="14" t="s">
        <v>2443</v>
      </c>
      <c r="D61" s="5">
        <v>44523</v>
      </c>
      <c r="E61" s="5">
        <v>44512</v>
      </c>
      <c r="F61" s="1"/>
      <c r="G61" s="5">
        <v>44515</v>
      </c>
      <c r="H61" s="106">
        <v>4.7699999999999996</v>
      </c>
      <c r="I61" s="5">
        <v>44509</v>
      </c>
      <c r="J61" s="106">
        <v>77</v>
      </c>
      <c r="K61" s="1">
        <v>17.8</v>
      </c>
      <c r="L61" s="1">
        <v>4810</v>
      </c>
      <c r="M61" s="1">
        <v>1073</v>
      </c>
      <c r="N61" s="1">
        <v>58.6</v>
      </c>
      <c r="O61" s="1">
        <v>3793</v>
      </c>
      <c r="P61" s="1">
        <v>15.4</v>
      </c>
      <c r="Q61" s="1">
        <v>1000</v>
      </c>
      <c r="R61" s="1">
        <v>3.8</v>
      </c>
      <c r="S61" s="1">
        <v>4.3</v>
      </c>
      <c r="T61" s="1">
        <v>258</v>
      </c>
      <c r="U61" s="1"/>
    </row>
    <row r="62" spans="1:21" s="110" customFormat="1" ht="16">
      <c r="A62" s="107" t="s">
        <v>286</v>
      </c>
      <c r="B62" s="107">
        <v>22108155</v>
      </c>
      <c r="C62" s="107" t="s">
        <v>287</v>
      </c>
      <c r="D62" s="107"/>
      <c r="E62" s="107"/>
      <c r="F62" s="107"/>
      <c r="G62" s="107"/>
      <c r="H62" s="109"/>
      <c r="I62" s="107"/>
      <c r="J62" s="109"/>
      <c r="K62" s="107"/>
      <c r="L62" s="107"/>
      <c r="M62" s="107"/>
      <c r="N62" s="107"/>
      <c r="O62" s="107"/>
      <c r="P62" s="107"/>
      <c r="Q62" s="107"/>
      <c r="R62" s="107"/>
      <c r="S62" s="107"/>
      <c r="T62" s="107"/>
      <c r="U62" s="107"/>
    </row>
    <row r="63" spans="1:21" ht="16">
      <c r="A63" s="1" t="s">
        <v>291</v>
      </c>
      <c r="B63" s="1">
        <v>22106340</v>
      </c>
      <c r="C63" s="1" t="s">
        <v>292</v>
      </c>
      <c r="D63" s="5">
        <v>44447</v>
      </c>
      <c r="E63" s="5">
        <v>44439</v>
      </c>
      <c r="F63" s="1"/>
      <c r="G63" s="5">
        <v>44441</v>
      </c>
      <c r="H63" s="106">
        <v>39.6</v>
      </c>
      <c r="I63" s="5">
        <v>44439</v>
      </c>
      <c r="J63" s="106">
        <v>66.5</v>
      </c>
      <c r="K63" s="1">
        <v>27</v>
      </c>
      <c r="L63" s="1">
        <v>2956</v>
      </c>
      <c r="M63" s="1">
        <v>1189</v>
      </c>
      <c r="N63" s="1">
        <v>51.6</v>
      </c>
      <c r="O63" s="1">
        <v>2318</v>
      </c>
      <c r="P63" s="1">
        <v>13.4</v>
      </c>
      <c r="Q63" s="1">
        <v>601</v>
      </c>
      <c r="R63" s="1">
        <v>3.9</v>
      </c>
      <c r="S63" s="1">
        <v>4.8</v>
      </c>
      <c r="T63" s="1">
        <v>213</v>
      </c>
      <c r="U63" s="1"/>
    </row>
    <row r="64" spans="1:21" s="114" customFormat="1" ht="16">
      <c r="A64" s="112" t="s">
        <v>296</v>
      </c>
      <c r="B64" s="112">
        <v>22103195</v>
      </c>
      <c r="C64" s="112" t="s">
        <v>297</v>
      </c>
      <c r="D64" s="112"/>
      <c r="E64" s="112"/>
      <c r="F64" s="112"/>
      <c r="G64" s="112"/>
      <c r="H64" s="113"/>
      <c r="I64" s="112"/>
      <c r="J64" s="113"/>
      <c r="K64" s="112"/>
      <c r="L64" s="112"/>
      <c r="M64" s="112"/>
      <c r="N64" s="112"/>
      <c r="O64" s="112"/>
      <c r="P64" s="112"/>
      <c r="Q64" s="112"/>
      <c r="R64" s="112"/>
      <c r="S64" s="112"/>
      <c r="T64" s="112"/>
      <c r="U64" s="112"/>
    </row>
    <row r="65" spans="1:21" s="110" customFormat="1" ht="16">
      <c r="A65" s="107" t="s">
        <v>301</v>
      </c>
      <c r="B65" s="107">
        <v>22107168</v>
      </c>
      <c r="C65" s="107" t="s">
        <v>302</v>
      </c>
      <c r="D65" s="108">
        <v>44540</v>
      </c>
      <c r="E65" s="108">
        <v>44512</v>
      </c>
      <c r="F65" s="107"/>
      <c r="G65" s="108">
        <v>44515</v>
      </c>
      <c r="H65" s="109">
        <v>3.6</v>
      </c>
      <c r="I65" s="108">
        <v>44511</v>
      </c>
      <c r="J65" s="109">
        <v>64.8</v>
      </c>
      <c r="K65" s="107">
        <v>16.899999999999999</v>
      </c>
      <c r="L65" s="107">
        <v>4630</v>
      </c>
      <c r="M65" s="107">
        <v>1207</v>
      </c>
      <c r="N65" s="107">
        <v>44.3</v>
      </c>
      <c r="O65" s="107">
        <v>3155</v>
      </c>
      <c r="P65" s="107">
        <v>19.399999999999999</v>
      </c>
      <c r="Q65" s="107">
        <v>1383</v>
      </c>
      <c r="R65" s="107">
        <v>2.2999999999999998</v>
      </c>
      <c r="S65" s="107">
        <v>16.5</v>
      </c>
      <c r="T65" s="107">
        <v>1180</v>
      </c>
      <c r="U65" s="107"/>
    </row>
    <row r="66" spans="1:21" s="127" customFormat="1" ht="16">
      <c r="A66" s="123" t="s">
        <v>306</v>
      </c>
      <c r="B66" s="123">
        <v>22107334</v>
      </c>
      <c r="C66" s="123" t="s">
        <v>307</v>
      </c>
      <c r="D66" s="123"/>
      <c r="E66" s="123"/>
      <c r="F66" s="123"/>
      <c r="G66" s="123"/>
      <c r="H66" s="128"/>
      <c r="I66" s="123"/>
      <c r="J66" s="128"/>
      <c r="K66" s="123"/>
      <c r="L66" s="123"/>
      <c r="M66" s="123"/>
      <c r="N66" s="123"/>
      <c r="O66" s="123"/>
      <c r="P66" s="123"/>
      <c r="Q66" s="123"/>
      <c r="R66" s="123"/>
      <c r="S66" s="123"/>
      <c r="T66" s="123"/>
      <c r="U66" s="123"/>
    </row>
    <row r="67" spans="1:21" s="127" customFormat="1" ht="16">
      <c r="A67" s="123" t="s">
        <v>309</v>
      </c>
      <c r="B67" s="123">
        <v>22107336</v>
      </c>
      <c r="C67" s="123" t="s">
        <v>310</v>
      </c>
      <c r="D67" s="123"/>
      <c r="E67" s="123"/>
      <c r="F67" s="123"/>
      <c r="G67" s="123"/>
      <c r="H67" s="128"/>
      <c r="I67" s="123"/>
      <c r="J67" s="128"/>
      <c r="K67" s="123"/>
      <c r="L67" s="123"/>
      <c r="M67" s="123"/>
      <c r="N67" s="123"/>
      <c r="O67" s="123"/>
      <c r="P67" s="123"/>
      <c r="Q67" s="123"/>
      <c r="R67" s="123"/>
      <c r="S67" s="123"/>
      <c r="T67" s="123"/>
      <c r="U67" s="123"/>
    </row>
    <row r="68" spans="1:21" ht="16">
      <c r="A68" s="1" t="s">
        <v>312</v>
      </c>
      <c r="B68" s="1">
        <v>22106885</v>
      </c>
      <c r="C68" s="1" t="s">
        <v>313</v>
      </c>
      <c r="D68" s="5">
        <v>44581</v>
      </c>
      <c r="E68" s="5">
        <v>44572</v>
      </c>
      <c r="F68" s="1"/>
      <c r="G68" s="5">
        <v>44564</v>
      </c>
      <c r="H68" s="106">
        <v>2.15</v>
      </c>
      <c r="I68" s="5">
        <v>44568</v>
      </c>
      <c r="J68" s="106">
        <v>77.8</v>
      </c>
      <c r="K68" s="1">
        <v>16.899999999999999</v>
      </c>
      <c r="L68" s="1">
        <v>5853</v>
      </c>
      <c r="M68" s="1">
        <v>1256</v>
      </c>
      <c r="N68" s="1">
        <v>49.7</v>
      </c>
      <c r="O68" s="1">
        <v>3770</v>
      </c>
      <c r="P68" s="1">
        <v>26</v>
      </c>
      <c r="Q68" s="1">
        <v>1972</v>
      </c>
      <c r="R68" s="1">
        <v>1.9</v>
      </c>
      <c r="S68" s="1">
        <v>3.6</v>
      </c>
      <c r="T68" s="1">
        <v>268</v>
      </c>
      <c r="U68" s="1"/>
    </row>
    <row r="69" spans="1:21" ht="16">
      <c r="A69" s="1" t="s">
        <v>316</v>
      </c>
      <c r="B69" s="1">
        <v>22106005</v>
      </c>
      <c r="C69" s="1" t="s">
        <v>317</v>
      </c>
      <c r="D69" s="5">
        <v>44496</v>
      </c>
      <c r="E69" s="5">
        <v>44467</v>
      </c>
      <c r="F69" s="1"/>
      <c r="G69" s="5">
        <v>44468</v>
      </c>
      <c r="H69" s="106">
        <v>23.5</v>
      </c>
      <c r="I69" s="5">
        <v>44463</v>
      </c>
      <c r="J69" s="106">
        <v>52.4</v>
      </c>
      <c r="K69" s="1">
        <v>38.299999999999997</v>
      </c>
      <c r="L69" s="1">
        <v>4099</v>
      </c>
      <c r="M69" s="1">
        <v>2957</v>
      </c>
      <c r="N69" s="1">
        <v>33</v>
      </c>
      <c r="O69" s="1">
        <v>2611</v>
      </c>
      <c r="P69" s="1">
        <v>17.8</v>
      </c>
      <c r="Q69" s="1">
        <v>1406</v>
      </c>
      <c r="R69" s="1">
        <v>1.9</v>
      </c>
      <c r="S69" s="1">
        <v>8.5</v>
      </c>
      <c r="T69" s="1">
        <v>659</v>
      </c>
      <c r="U69" s="1"/>
    </row>
    <row r="70" spans="1:21" ht="16">
      <c r="A70" s="1" t="s">
        <v>320</v>
      </c>
      <c r="B70" s="1">
        <v>22108151</v>
      </c>
      <c r="C70" s="1" t="s">
        <v>321</v>
      </c>
      <c r="D70" s="5">
        <v>44750</v>
      </c>
      <c r="E70" s="5">
        <v>44757</v>
      </c>
      <c r="F70" s="5">
        <v>44761</v>
      </c>
      <c r="G70" s="5">
        <v>44760</v>
      </c>
      <c r="H70" s="106">
        <v>27</v>
      </c>
      <c r="I70" s="1"/>
      <c r="J70" s="106"/>
      <c r="K70" s="1"/>
      <c r="L70" s="1"/>
      <c r="M70" s="1"/>
      <c r="N70" s="1"/>
      <c r="O70" s="1"/>
      <c r="P70" s="1"/>
      <c r="Q70" s="1"/>
      <c r="R70" s="1"/>
      <c r="S70" s="1"/>
      <c r="T70" s="1"/>
      <c r="U70" s="1"/>
    </row>
    <row r="71" spans="1:21" s="110" customFormat="1" ht="16">
      <c r="A71" s="107" t="s">
        <v>325</v>
      </c>
      <c r="B71" s="107">
        <v>22108143</v>
      </c>
      <c r="C71" s="107" t="s">
        <v>326</v>
      </c>
      <c r="D71" s="107" t="s">
        <v>18</v>
      </c>
      <c r="E71" s="107"/>
      <c r="F71" s="107"/>
      <c r="G71" s="107"/>
      <c r="H71" s="109"/>
      <c r="I71" s="107"/>
      <c r="J71" s="109"/>
      <c r="K71" s="107"/>
      <c r="L71" s="107"/>
      <c r="M71" s="107"/>
      <c r="N71" s="107"/>
      <c r="O71" s="107"/>
      <c r="P71" s="107"/>
      <c r="Q71" s="107"/>
      <c r="R71" s="107"/>
      <c r="S71" s="107"/>
      <c r="T71" s="107"/>
      <c r="U71" s="107"/>
    </row>
    <row r="72" spans="1:21" ht="16">
      <c r="A72" s="1" t="s">
        <v>329</v>
      </c>
      <c r="B72" s="1">
        <v>22107452</v>
      </c>
      <c r="C72" s="14" t="s">
        <v>2424</v>
      </c>
      <c r="D72" s="5">
        <v>44650</v>
      </c>
      <c r="E72" s="5">
        <v>44635</v>
      </c>
      <c r="F72" s="1"/>
      <c r="G72" s="5">
        <v>44637</v>
      </c>
      <c r="H72" s="106">
        <v>3.68</v>
      </c>
      <c r="I72" s="5">
        <v>44631</v>
      </c>
      <c r="J72" s="106">
        <v>68.5</v>
      </c>
      <c r="K72" s="1">
        <v>25.4</v>
      </c>
      <c r="L72" s="1">
        <v>3344</v>
      </c>
      <c r="M72" s="1">
        <v>1257</v>
      </c>
      <c r="N72" s="1">
        <v>44.9</v>
      </c>
      <c r="O72" s="1">
        <v>2157</v>
      </c>
      <c r="P72" s="1">
        <v>20.5</v>
      </c>
      <c r="Q72" s="1">
        <v>986</v>
      </c>
      <c r="R72" s="1">
        <v>2.2000000000000002</v>
      </c>
      <c r="S72" s="1">
        <v>3.7</v>
      </c>
      <c r="T72" s="1">
        <v>184</v>
      </c>
      <c r="U72" s="1"/>
    </row>
    <row r="73" spans="1:21" ht="16">
      <c r="A73" s="1" t="s">
        <v>333</v>
      </c>
      <c r="B73" s="1">
        <v>22105672</v>
      </c>
      <c r="C73" s="1" t="s">
        <v>334</v>
      </c>
      <c r="D73" s="5">
        <v>44508</v>
      </c>
      <c r="E73" s="5">
        <v>44502</v>
      </c>
      <c r="F73" s="1"/>
      <c r="G73" s="5">
        <v>44503</v>
      </c>
      <c r="H73" s="106">
        <v>29.4</v>
      </c>
      <c r="I73" s="5">
        <v>44498</v>
      </c>
      <c r="J73" s="106">
        <v>64</v>
      </c>
      <c r="K73" s="1">
        <v>23.7</v>
      </c>
      <c r="L73" s="1">
        <v>5840</v>
      </c>
      <c r="M73" s="1">
        <v>2161</v>
      </c>
      <c r="N73" s="1">
        <v>46.8</v>
      </c>
      <c r="O73" s="1">
        <v>4263</v>
      </c>
      <c r="P73" s="1">
        <v>15.8</v>
      </c>
      <c r="Q73" s="1">
        <v>1435</v>
      </c>
      <c r="R73" s="1">
        <v>3</v>
      </c>
      <c r="S73" s="1">
        <v>10.9</v>
      </c>
      <c r="T73" s="1">
        <v>997</v>
      </c>
      <c r="U73" s="1"/>
    </row>
    <row r="74" spans="1:21" s="127" customFormat="1" ht="16">
      <c r="A74" s="123" t="s">
        <v>337</v>
      </c>
      <c r="B74" s="123">
        <v>22108394</v>
      </c>
      <c r="C74" s="123" t="s">
        <v>338</v>
      </c>
      <c r="D74" s="123"/>
      <c r="E74" s="125"/>
      <c r="F74" s="125"/>
      <c r="G74" s="125"/>
      <c r="H74" s="126"/>
      <c r="I74" s="125"/>
      <c r="J74" s="126"/>
      <c r="K74" s="125"/>
      <c r="L74" s="125"/>
      <c r="M74" s="125"/>
      <c r="N74" s="125"/>
      <c r="O74" s="125"/>
      <c r="P74" s="125"/>
      <c r="Q74" s="125"/>
      <c r="R74" s="125"/>
      <c r="S74" s="125"/>
      <c r="T74" s="125"/>
      <c r="U74" s="125"/>
    </row>
    <row r="75" spans="1:21" s="127" customFormat="1" ht="16">
      <c r="A75" s="123" t="s">
        <v>341</v>
      </c>
      <c r="B75" s="123">
        <v>22108395</v>
      </c>
      <c r="C75" s="123" t="s">
        <v>342</v>
      </c>
      <c r="D75" s="123"/>
      <c r="E75" s="125"/>
      <c r="F75" s="125"/>
      <c r="G75" s="125"/>
      <c r="H75" s="126"/>
      <c r="I75" s="125"/>
      <c r="J75" s="126"/>
      <c r="K75" s="125"/>
      <c r="L75" s="125"/>
      <c r="M75" s="125"/>
      <c r="N75" s="125"/>
      <c r="O75" s="125"/>
      <c r="P75" s="125"/>
      <c r="Q75" s="125"/>
      <c r="R75" s="125"/>
      <c r="S75" s="125"/>
      <c r="T75" s="125"/>
      <c r="U75" s="125"/>
    </row>
    <row r="76" spans="1:21" s="114" customFormat="1" ht="16">
      <c r="A76" s="112" t="s">
        <v>344</v>
      </c>
      <c r="B76" s="112">
        <v>21929897</v>
      </c>
      <c r="C76" s="112" t="s">
        <v>345</v>
      </c>
      <c r="D76" s="112"/>
      <c r="E76" s="112"/>
      <c r="F76" s="112"/>
      <c r="G76" s="112"/>
      <c r="H76" s="113"/>
      <c r="I76" s="112"/>
      <c r="J76" s="113"/>
      <c r="K76" s="112"/>
      <c r="L76" s="112"/>
      <c r="M76" s="112"/>
      <c r="N76" s="112"/>
      <c r="O76" s="112"/>
      <c r="P76" s="112"/>
      <c r="Q76" s="112"/>
      <c r="R76" s="112"/>
      <c r="S76" s="112"/>
      <c r="T76" s="112"/>
      <c r="U76" s="112"/>
    </row>
    <row r="77" spans="1:21" s="114" customFormat="1" ht="16">
      <c r="A77" s="112" t="s">
        <v>349</v>
      </c>
      <c r="B77" s="112">
        <v>22102403</v>
      </c>
      <c r="C77" s="112" t="s">
        <v>350</v>
      </c>
      <c r="D77" s="112"/>
      <c r="E77" s="112"/>
      <c r="F77" s="112"/>
      <c r="G77" s="112"/>
      <c r="H77" s="113"/>
      <c r="I77" s="112"/>
      <c r="J77" s="113"/>
      <c r="K77" s="112"/>
      <c r="L77" s="112"/>
      <c r="M77" s="112"/>
      <c r="N77" s="112"/>
      <c r="O77" s="112"/>
      <c r="P77" s="112"/>
      <c r="Q77" s="112"/>
      <c r="R77" s="112"/>
      <c r="S77" s="112"/>
      <c r="T77" s="112"/>
      <c r="U77" s="112"/>
    </row>
    <row r="78" spans="1:21" ht="16">
      <c r="A78" s="1" t="s">
        <v>353</v>
      </c>
      <c r="B78" s="1">
        <v>22107823</v>
      </c>
      <c r="C78" s="1" t="s">
        <v>354</v>
      </c>
      <c r="D78" s="5">
        <v>44705</v>
      </c>
      <c r="E78" s="5">
        <v>44631</v>
      </c>
      <c r="F78" s="1"/>
      <c r="G78" s="5">
        <v>44635</v>
      </c>
      <c r="H78" s="106">
        <v>7.37</v>
      </c>
      <c r="I78" s="5">
        <v>44629</v>
      </c>
      <c r="J78" s="106">
        <v>56.1</v>
      </c>
      <c r="K78" s="1">
        <v>21.7</v>
      </c>
      <c r="L78" s="1">
        <v>1535</v>
      </c>
      <c r="M78" s="1">
        <v>589</v>
      </c>
      <c r="N78" s="1">
        <v>43.8</v>
      </c>
      <c r="O78" s="1">
        <v>1205</v>
      </c>
      <c r="P78" s="1">
        <v>6.1</v>
      </c>
      <c r="Q78" s="1">
        <v>168</v>
      </c>
      <c r="R78" s="1">
        <v>7.2</v>
      </c>
      <c r="S78" s="1">
        <v>20.100000000000001</v>
      </c>
      <c r="T78" s="1">
        <v>545</v>
      </c>
      <c r="U78" s="1"/>
    </row>
    <row r="79" spans="1:21" ht="16">
      <c r="A79" s="1" t="s">
        <v>357</v>
      </c>
      <c r="B79" s="1">
        <v>4998396</v>
      </c>
      <c r="C79" s="1" t="s">
        <v>358</v>
      </c>
      <c r="D79" s="5">
        <v>44487</v>
      </c>
      <c r="E79" s="5">
        <v>44463</v>
      </c>
      <c r="F79" s="1"/>
      <c r="G79" s="5">
        <v>44468</v>
      </c>
      <c r="H79" s="106" t="s">
        <v>1789</v>
      </c>
      <c r="I79" s="5">
        <v>44462</v>
      </c>
      <c r="J79" s="106">
        <v>65.7</v>
      </c>
      <c r="K79" s="1">
        <v>23.9</v>
      </c>
      <c r="L79" s="1">
        <v>5425</v>
      </c>
      <c r="M79" s="1">
        <v>1969</v>
      </c>
      <c r="N79" s="1">
        <v>40.6</v>
      </c>
      <c r="O79" s="1">
        <v>3360</v>
      </c>
      <c r="P79" s="1">
        <v>23.4</v>
      </c>
      <c r="Q79" s="1">
        <v>1937</v>
      </c>
      <c r="R79" s="1">
        <v>1.7</v>
      </c>
      <c r="S79" s="1">
        <v>9.5</v>
      </c>
      <c r="T79" s="1">
        <v>781</v>
      </c>
      <c r="U79" s="1"/>
    </row>
    <row r="80" spans="1:21" ht="16">
      <c r="A80" s="1" t="s">
        <v>359</v>
      </c>
      <c r="B80" s="1">
        <v>22270695</v>
      </c>
      <c r="C80" s="1" t="s">
        <v>360</v>
      </c>
      <c r="D80" s="5">
        <v>44523</v>
      </c>
      <c r="E80" s="5">
        <v>44509</v>
      </c>
      <c r="F80" s="1"/>
      <c r="G80" s="5">
        <v>44510</v>
      </c>
      <c r="H80" s="106">
        <v>8.18</v>
      </c>
      <c r="I80" s="5">
        <v>44508</v>
      </c>
      <c r="J80" s="106">
        <v>61.7</v>
      </c>
      <c r="K80" s="1">
        <v>29.6</v>
      </c>
      <c r="L80" s="1">
        <v>3074</v>
      </c>
      <c r="M80" s="1">
        <v>1394</v>
      </c>
      <c r="N80" s="1">
        <v>41.5</v>
      </c>
      <c r="O80" s="1">
        <v>2183</v>
      </c>
      <c r="P80" s="1">
        <v>14.5</v>
      </c>
      <c r="Q80" s="1">
        <v>762</v>
      </c>
      <c r="R80" s="1">
        <v>2.9</v>
      </c>
      <c r="S80" s="1">
        <v>5.9</v>
      </c>
      <c r="T80" s="1">
        <v>277</v>
      </c>
      <c r="U80" s="1"/>
    </row>
    <row r="81" spans="1:21" ht="16">
      <c r="A81" s="1" t="s">
        <v>363</v>
      </c>
      <c r="B81" s="1">
        <v>22107485</v>
      </c>
      <c r="C81" s="1" t="s">
        <v>364</v>
      </c>
      <c r="D81" s="5">
        <v>44567</v>
      </c>
      <c r="E81" s="5">
        <v>44547</v>
      </c>
      <c r="F81" s="1"/>
      <c r="G81" s="5">
        <v>44550</v>
      </c>
      <c r="H81" s="106">
        <v>9.58</v>
      </c>
      <c r="I81" s="5">
        <v>44545</v>
      </c>
      <c r="J81" s="106">
        <v>69.900000000000006</v>
      </c>
      <c r="K81" s="1">
        <v>23.9</v>
      </c>
      <c r="L81" s="1">
        <v>4326</v>
      </c>
      <c r="M81" s="1">
        <v>1470</v>
      </c>
      <c r="N81" s="1">
        <v>49.3</v>
      </c>
      <c r="O81" s="1">
        <v>3070</v>
      </c>
      <c r="P81" s="1">
        <v>17.8</v>
      </c>
      <c r="Q81" s="1">
        <v>1105</v>
      </c>
      <c r="R81" s="1">
        <v>2.8</v>
      </c>
      <c r="S81" s="1">
        <v>4.7</v>
      </c>
      <c r="T81" s="1">
        <v>290</v>
      </c>
      <c r="U81" s="1"/>
    </row>
    <row r="82" spans="1:21" ht="16">
      <c r="A82" s="1" t="s">
        <v>367</v>
      </c>
      <c r="B82" s="1">
        <v>22107486</v>
      </c>
      <c r="C82" s="1" t="s">
        <v>368</v>
      </c>
      <c r="D82" s="5">
        <v>44567</v>
      </c>
      <c r="E82" s="5">
        <v>44547</v>
      </c>
      <c r="F82" s="1"/>
      <c r="G82" s="5">
        <v>44550</v>
      </c>
      <c r="H82" s="106">
        <v>54.5</v>
      </c>
      <c r="I82" s="5">
        <v>44545</v>
      </c>
      <c r="J82" s="106">
        <v>71.3</v>
      </c>
      <c r="K82" s="1">
        <v>23.5</v>
      </c>
      <c r="L82" s="1">
        <v>4042</v>
      </c>
      <c r="M82" s="1">
        <v>1331</v>
      </c>
      <c r="N82" s="1">
        <v>51.1</v>
      </c>
      <c r="O82" s="1">
        <v>2896</v>
      </c>
      <c r="P82" s="1">
        <v>17.600000000000001</v>
      </c>
      <c r="Q82" s="1">
        <v>996</v>
      </c>
      <c r="R82" s="1">
        <v>2.9</v>
      </c>
      <c r="S82" s="1">
        <v>4.9000000000000004</v>
      </c>
      <c r="T82" s="1">
        <v>276</v>
      </c>
      <c r="U82" s="1"/>
    </row>
    <row r="83" spans="1:21" ht="16">
      <c r="A83" s="1" t="s">
        <v>370</v>
      </c>
      <c r="B83" s="1">
        <v>22108150</v>
      </c>
      <c r="C83" s="1" t="s">
        <v>371</v>
      </c>
      <c r="D83" s="5">
        <v>44631</v>
      </c>
      <c r="E83" s="5">
        <v>44628</v>
      </c>
      <c r="F83" s="1"/>
      <c r="G83" s="5">
        <v>44630</v>
      </c>
      <c r="H83" s="106">
        <v>12.7</v>
      </c>
      <c r="I83" s="5">
        <v>44624</v>
      </c>
      <c r="J83" s="106">
        <v>49.7</v>
      </c>
      <c r="K83" s="1">
        <v>29.4</v>
      </c>
      <c r="L83" s="1">
        <v>2226</v>
      </c>
      <c r="M83" s="1">
        <v>1232</v>
      </c>
      <c r="N83" s="1">
        <v>32.200000000000003</v>
      </c>
      <c r="O83" s="1">
        <v>1537</v>
      </c>
      <c r="P83" s="1">
        <v>13.8</v>
      </c>
      <c r="Q83" s="1">
        <v>660</v>
      </c>
      <c r="R83" s="1">
        <v>2.2999999999999998</v>
      </c>
      <c r="S83" s="1">
        <v>17.399999999999999</v>
      </c>
      <c r="T83" s="1">
        <v>731</v>
      </c>
      <c r="U83" s="1"/>
    </row>
    <row r="84" spans="1:21" s="127" customFormat="1" ht="16">
      <c r="A84" s="125" t="s">
        <v>373</v>
      </c>
      <c r="B84" s="125">
        <v>22107133</v>
      </c>
      <c r="C84" s="125" t="s">
        <v>374</v>
      </c>
      <c r="D84" s="125"/>
      <c r="E84" s="125"/>
      <c r="F84" s="125"/>
      <c r="G84" s="125"/>
      <c r="H84" s="126"/>
      <c r="I84" s="125"/>
      <c r="J84" s="126"/>
      <c r="K84" s="125"/>
      <c r="L84" s="125"/>
      <c r="M84" s="125"/>
      <c r="N84" s="125"/>
      <c r="O84" s="125"/>
      <c r="P84" s="125"/>
      <c r="Q84" s="125"/>
      <c r="R84" s="125"/>
      <c r="S84" s="125"/>
      <c r="T84" s="125"/>
      <c r="U84" s="125"/>
    </row>
    <row r="85" spans="1:21" ht="16">
      <c r="A85" s="1" t="s">
        <v>377</v>
      </c>
      <c r="B85" s="1">
        <v>22108726</v>
      </c>
      <c r="C85" s="1" t="s">
        <v>378</v>
      </c>
      <c r="D85" s="5">
        <v>44621</v>
      </c>
      <c r="E85" s="5">
        <v>44610</v>
      </c>
      <c r="F85" s="1"/>
      <c r="G85" s="5">
        <v>44613</v>
      </c>
      <c r="H85" s="106">
        <v>2.56</v>
      </c>
      <c r="I85" s="5">
        <v>44608</v>
      </c>
      <c r="J85" s="106">
        <v>66.900000000000006</v>
      </c>
      <c r="K85" s="1">
        <v>23.9</v>
      </c>
      <c r="L85" s="1">
        <v>5350</v>
      </c>
      <c r="M85" s="1">
        <v>1931</v>
      </c>
      <c r="N85" s="1">
        <v>43.2</v>
      </c>
      <c r="O85" s="1">
        <v>3426</v>
      </c>
      <c r="P85" s="1">
        <v>22.6</v>
      </c>
      <c r="Q85" s="1">
        <v>1790</v>
      </c>
      <c r="R85" s="1">
        <v>1.9</v>
      </c>
      <c r="S85" s="1">
        <v>8.3000000000000007</v>
      </c>
      <c r="T85" s="1">
        <v>671</v>
      </c>
      <c r="U85" s="1"/>
    </row>
    <row r="86" spans="1:21" ht="16">
      <c r="A86" s="1" t="s">
        <v>381</v>
      </c>
      <c r="B86" s="1">
        <v>22104406</v>
      </c>
      <c r="C86" s="1" t="s">
        <v>382</v>
      </c>
      <c r="D86" s="5">
        <v>44575</v>
      </c>
      <c r="E86" s="5">
        <v>44488</v>
      </c>
      <c r="F86" s="1"/>
      <c r="G86" s="5">
        <v>44489</v>
      </c>
      <c r="H86" s="106">
        <v>114</v>
      </c>
      <c r="I86" s="5">
        <v>44487</v>
      </c>
      <c r="J86" s="106">
        <v>77.900000000000006</v>
      </c>
      <c r="K86" s="1">
        <v>16.3</v>
      </c>
      <c r="L86" s="1">
        <v>3577</v>
      </c>
      <c r="M86" s="1">
        <v>740</v>
      </c>
      <c r="N86" s="1">
        <v>60.8</v>
      </c>
      <c r="O86" s="1">
        <v>2822</v>
      </c>
      <c r="P86" s="1">
        <v>14.4</v>
      </c>
      <c r="Q86" s="1">
        <v>671</v>
      </c>
      <c r="R86" s="1">
        <v>4.2</v>
      </c>
      <c r="S86" s="1">
        <v>4.9000000000000004</v>
      </c>
      <c r="T86" s="1">
        <v>221</v>
      </c>
      <c r="U86" s="1"/>
    </row>
    <row r="87" spans="1:21" ht="16">
      <c r="A87" s="1" t="s">
        <v>384</v>
      </c>
      <c r="B87" s="1">
        <v>22108755</v>
      </c>
      <c r="C87" s="1" t="s">
        <v>385</v>
      </c>
      <c r="D87" s="5">
        <v>44676</v>
      </c>
      <c r="E87" s="5">
        <v>44628</v>
      </c>
      <c r="F87" s="1"/>
      <c r="G87" s="5">
        <v>44630</v>
      </c>
      <c r="H87" s="106">
        <v>3.65</v>
      </c>
      <c r="I87" s="5">
        <v>44624</v>
      </c>
      <c r="J87" s="106">
        <v>59.8</v>
      </c>
      <c r="K87" s="1">
        <v>27.5</v>
      </c>
      <c r="L87" s="1">
        <v>3182</v>
      </c>
      <c r="M87" s="1">
        <v>1451</v>
      </c>
      <c r="N87" s="1">
        <v>39.200000000000003</v>
      </c>
      <c r="O87" s="1">
        <v>2111</v>
      </c>
      <c r="P87" s="1">
        <v>19</v>
      </c>
      <c r="Q87" s="1">
        <v>1020</v>
      </c>
      <c r="R87" s="1">
        <v>2.1</v>
      </c>
      <c r="S87" s="1">
        <v>10.9</v>
      </c>
      <c r="T87" s="1">
        <v>577</v>
      </c>
      <c r="U87" s="1"/>
    </row>
    <row r="88" spans="1:21" ht="16">
      <c r="A88" s="1" t="s">
        <v>388</v>
      </c>
      <c r="B88" s="1">
        <v>22108762</v>
      </c>
      <c r="C88" s="1" t="s">
        <v>389</v>
      </c>
      <c r="D88" s="5">
        <v>44650</v>
      </c>
      <c r="E88" s="5">
        <v>44628</v>
      </c>
      <c r="F88" s="1"/>
      <c r="G88" s="5">
        <v>44630</v>
      </c>
      <c r="H88" s="106">
        <v>3.87</v>
      </c>
      <c r="I88" s="5">
        <v>44624</v>
      </c>
      <c r="J88" s="106">
        <v>62.8</v>
      </c>
      <c r="K88" s="1">
        <v>26.8</v>
      </c>
      <c r="L88" s="1">
        <v>2749</v>
      </c>
      <c r="M88" s="1">
        <v>1193</v>
      </c>
      <c r="N88" s="1">
        <v>42</v>
      </c>
      <c r="O88" s="1">
        <v>1812</v>
      </c>
      <c r="P88" s="1">
        <v>17.5</v>
      </c>
      <c r="Q88" s="1">
        <v>756</v>
      </c>
      <c r="R88" s="1">
        <v>2.4</v>
      </c>
      <c r="S88" s="1">
        <v>9.1</v>
      </c>
      <c r="T88" s="1">
        <v>403</v>
      </c>
      <c r="U88" s="1"/>
    </row>
    <row r="89" spans="1:21" s="110" customFormat="1" ht="16">
      <c r="A89" s="107" t="s">
        <v>393</v>
      </c>
      <c r="B89" s="107">
        <v>22105932</v>
      </c>
      <c r="C89" s="107" t="s">
        <v>394</v>
      </c>
      <c r="D89" s="107"/>
      <c r="E89" s="107"/>
      <c r="F89" s="107"/>
      <c r="G89" s="107"/>
      <c r="H89" s="109"/>
      <c r="I89" s="107"/>
      <c r="J89" s="109"/>
      <c r="K89" s="107"/>
      <c r="L89" s="107"/>
      <c r="M89" s="107"/>
      <c r="N89" s="107"/>
      <c r="O89" s="107"/>
      <c r="P89" s="107"/>
      <c r="Q89" s="107"/>
      <c r="R89" s="107"/>
      <c r="S89" s="107"/>
      <c r="T89" s="107"/>
      <c r="U89" s="107"/>
    </row>
    <row r="90" spans="1:21" s="110" customFormat="1" ht="16">
      <c r="A90" s="107" t="s">
        <v>397</v>
      </c>
      <c r="B90" s="107">
        <v>22105933</v>
      </c>
      <c r="C90" s="107" t="s">
        <v>398</v>
      </c>
      <c r="D90" s="107"/>
      <c r="E90" s="107"/>
      <c r="F90" s="107"/>
      <c r="G90" s="107"/>
      <c r="H90" s="109"/>
      <c r="I90" s="107"/>
      <c r="J90" s="109"/>
      <c r="K90" s="107"/>
      <c r="L90" s="107"/>
      <c r="M90" s="107"/>
      <c r="N90" s="107"/>
      <c r="O90" s="107"/>
      <c r="P90" s="107"/>
      <c r="Q90" s="107"/>
      <c r="R90" s="107"/>
      <c r="S90" s="107"/>
      <c r="T90" s="107"/>
      <c r="U90" s="107"/>
    </row>
    <row r="91" spans="1:21" ht="16">
      <c r="A91" s="1" t="s">
        <v>399</v>
      </c>
      <c r="B91" s="1">
        <v>22107573</v>
      </c>
      <c r="C91" s="1" t="s">
        <v>400</v>
      </c>
      <c r="D91" s="5">
        <v>44572</v>
      </c>
      <c r="E91" s="5">
        <v>44568</v>
      </c>
      <c r="F91" s="1"/>
      <c r="G91" s="5">
        <v>44571</v>
      </c>
      <c r="H91" s="106">
        <v>2.35</v>
      </c>
      <c r="I91" s="5">
        <v>44566</v>
      </c>
      <c r="J91" s="106">
        <v>54.5</v>
      </c>
      <c r="K91" s="1">
        <v>27.9</v>
      </c>
      <c r="L91" s="1">
        <v>2519</v>
      </c>
      <c r="M91" s="1">
        <v>1241</v>
      </c>
      <c r="N91" s="1">
        <v>38</v>
      </c>
      <c r="O91" s="1">
        <v>1823</v>
      </c>
      <c r="P91" s="1">
        <v>13.9</v>
      </c>
      <c r="Q91" s="1">
        <v>666</v>
      </c>
      <c r="R91" s="1">
        <v>2.7</v>
      </c>
      <c r="S91" s="1">
        <v>16.8</v>
      </c>
      <c r="T91" s="1">
        <v>747</v>
      </c>
      <c r="U91" s="1"/>
    </row>
    <row r="92" spans="1:21" ht="16">
      <c r="A92" s="1" t="s">
        <v>403</v>
      </c>
      <c r="B92" s="1">
        <v>22105890</v>
      </c>
      <c r="C92" s="1" t="s">
        <v>404</v>
      </c>
      <c r="D92" s="5">
        <v>44496</v>
      </c>
      <c r="E92" s="5">
        <v>44477</v>
      </c>
      <c r="F92" s="1"/>
      <c r="G92" s="5">
        <v>44481</v>
      </c>
      <c r="H92" s="106">
        <v>83.1</v>
      </c>
      <c r="I92" s="5">
        <v>44474</v>
      </c>
      <c r="J92" s="106">
        <v>61.3</v>
      </c>
      <c r="K92" s="1">
        <v>25.2</v>
      </c>
      <c r="L92" s="1">
        <v>4399</v>
      </c>
      <c r="M92" s="1">
        <v>1757</v>
      </c>
      <c r="N92" s="1">
        <v>37.9</v>
      </c>
      <c r="O92" s="1">
        <v>2794</v>
      </c>
      <c r="P92" s="1">
        <v>19.7</v>
      </c>
      <c r="Q92" s="1">
        <v>1456</v>
      </c>
      <c r="R92" s="1">
        <v>1.9</v>
      </c>
      <c r="S92" s="1">
        <v>11.9</v>
      </c>
      <c r="T92" s="1">
        <v>830</v>
      </c>
      <c r="U92" s="1"/>
    </row>
    <row r="93" spans="1:21" s="110" customFormat="1" ht="16">
      <c r="A93" s="107" t="s">
        <v>407</v>
      </c>
      <c r="B93" s="107">
        <v>22108642</v>
      </c>
      <c r="C93" s="107" t="s">
        <v>408</v>
      </c>
      <c r="D93" s="107" t="s">
        <v>18</v>
      </c>
      <c r="E93" s="107"/>
      <c r="F93" s="107"/>
      <c r="G93" s="107"/>
      <c r="H93" s="109"/>
      <c r="I93" s="107"/>
      <c r="J93" s="109"/>
      <c r="K93" s="107"/>
      <c r="L93" s="107"/>
      <c r="M93" s="107"/>
      <c r="N93" s="107"/>
      <c r="O93" s="107"/>
      <c r="P93" s="107"/>
      <c r="Q93" s="107"/>
      <c r="R93" s="107"/>
      <c r="S93" s="107"/>
      <c r="T93" s="107"/>
      <c r="U93" s="107"/>
    </row>
    <row r="94" spans="1:21" s="114" customFormat="1" ht="16">
      <c r="A94" s="112" t="s">
        <v>411</v>
      </c>
      <c r="B94" s="112">
        <v>22102895</v>
      </c>
      <c r="C94" s="112" t="s">
        <v>412</v>
      </c>
      <c r="D94" s="112"/>
      <c r="E94" s="112"/>
      <c r="F94" s="112"/>
      <c r="G94" s="112"/>
      <c r="H94" s="113"/>
      <c r="I94" s="112"/>
      <c r="J94" s="113"/>
      <c r="K94" s="112"/>
      <c r="L94" s="112"/>
      <c r="M94" s="112"/>
      <c r="N94" s="112"/>
      <c r="O94" s="112"/>
      <c r="P94" s="112"/>
      <c r="Q94" s="112"/>
      <c r="R94" s="112"/>
      <c r="S94" s="112"/>
      <c r="T94" s="112"/>
      <c r="U94" s="112"/>
    </row>
    <row r="95" spans="1:21" s="114" customFormat="1" ht="16">
      <c r="A95" s="112" t="s">
        <v>415</v>
      </c>
      <c r="B95" s="112">
        <v>22102896</v>
      </c>
      <c r="C95" s="112" t="s">
        <v>416</v>
      </c>
      <c r="D95" s="112"/>
      <c r="E95" s="112"/>
      <c r="F95" s="112"/>
      <c r="G95" s="112"/>
      <c r="H95" s="113"/>
      <c r="I95" s="112"/>
      <c r="J95" s="113"/>
      <c r="K95" s="112"/>
      <c r="L95" s="112"/>
      <c r="M95" s="112"/>
      <c r="N95" s="112"/>
      <c r="O95" s="112"/>
      <c r="P95" s="112"/>
      <c r="Q95" s="112"/>
      <c r="R95" s="112"/>
      <c r="S95" s="112"/>
      <c r="T95" s="112"/>
      <c r="U95" s="112"/>
    </row>
    <row r="96" spans="1:21" ht="16">
      <c r="A96" s="1" t="s">
        <v>418</v>
      </c>
      <c r="B96" s="1">
        <v>22104599</v>
      </c>
      <c r="C96" s="1" t="s">
        <v>419</v>
      </c>
      <c r="D96" s="5">
        <v>44483</v>
      </c>
      <c r="E96" s="5">
        <v>44477</v>
      </c>
      <c r="F96" s="1"/>
      <c r="G96" s="5">
        <v>44481</v>
      </c>
      <c r="H96" s="106">
        <v>65</v>
      </c>
      <c r="I96" s="5">
        <v>44476</v>
      </c>
      <c r="J96" s="106">
        <v>56.1</v>
      </c>
      <c r="K96" s="1">
        <v>38.4</v>
      </c>
      <c r="L96" s="1">
        <v>2871</v>
      </c>
      <c r="M96" s="1">
        <v>1955</v>
      </c>
      <c r="N96" s="1">
        <v>35.4</v>
      </c>
      <c r="O96" s="1">
        <v>1819</v>
      </c>
      <c r="P96" s="1">
        <v>16.3</v>
      </c>
      <c r="Q96" s="1">
        <v>840</v>
      </c>
      <c r="R96" s="1">
        <v>2.2000000000000002</v>
      </c>
      <c r="S96" s="1">
        <v>3.9</v>
      </c>
      <c r="T96" s="1">
        <v>197</v>
      </c>
      <c r="U96" s="1"/>
    </row>
    <row r="97" spans="1:21" ht="16">
      <c r="A97" s="1" t="s">
        <v>422</v>
      </c>
      <c r="B97" s="1">
        <v>5085718</v>
      </c>
      <c r="C97" s="1" t="s">
        <v>423</v>
      </c>
      <c r="D97" s="5">
        <v>44497</v>
      </c>
      <c r="E97" s="5">
        <v>44481</v>
      </c>
      <c r="F97" s="1"/>
      <c r="G97" s="5">
        <v>44482</v>
      </c>
      <c r="H97" s="106">
        <v>7.89</v>
      </c>
      <c r="I97" s="5">
        <v>44477</v>
      </c>
      <c r="J97" s="106">
        <v>67.7</v>
      </c>
      <c r="K97" s="1">
        <v>18.600000000000001</v>
      </c>
      <c r="L97" s="1">
        <v>4310</v>
      </c>
      <c r="M97" s="1">
        <v>1156</v>
      </c>
      <c r="N97" s="1">
        <v>42.9</v>
      </c>
      <c r="O97" s="1">
        <v>2793</v>
      </c>
      <c r="P97" s="1">
        <v>21.2</v>
      </c>
      <c r="Q97" s="1">
        <v>1382</v>
      </c>
      <c r="R97" s="1">
        <v>2</v>
      </c>
      <c r="S97" s="1">
        <v>12.2</v>
      </c>
      <c r="T97" s="1">
        <v>758</v>
      </c>
      <c r="U97" s="1"/>
    </row>
    <row r="98" spans="1:21" ht="16">
      <c r="A98" s="1" t="s">
        <v>426</v>
      </c>
      <c r="B98" s="1">
        <v>22107919</v>
      </c>
      <c r="C98" s="1" t="s">
        <v>427</v>
      </c>
      <c r="D98" s="5">
        <v>44621</v>
      </c>
      <c r="E98" s="5">
        <v>44603</v>
      </c>
      <c r="F98" s="1"/>
      <c r="G98" s="5">
        <v>44606</v>
      </c>
      <c r="H98" s="106">
        <v>23.8</v>
      </c>
      <c r="I98" s="5">
        <v>44600</v>
      </c>
      <c r="J98" s="106">
        <v>65.900000000000006</v>
      </c>
      <c r="K98" s="1">
        <v>24</v>
      </c>
      <c r="L98" s="1">
        <v>5635</v>
      </c>
      <c r="M98" s="1">
        <v>2045</v>
      </c>
      <c r="N98" s="1">
        <v>49.5</v>
      </c>
      <c r="O98" s="1">
        <v>4237</v>
      </c>
      <c r="P98" s="1">
        <v>16.2</v>
      </c>
      <c r="Q98" s="1">
        <v>1388</v>
      </c>
      <c r="R98" s="1">
        <v>3</v>
      </c>
      <c r="S98" s="1">
        <v>8.1999999999999993</v>
      </c>
      <c r="T98" s="1">
        <v>695</v>
      </c>
      <c r="U98" s="1"/>
    </row>
    <row r="99" spans="1:21" ht="16">
      <c r="A99" s="1" t="s">
        <v>429</v>
      </c>
      <c r="B99" s="1">
        <v>22108733</v>
      </c>
      <c r="C99" s="1" t="s">
        <v>430</v>
      </c>
      <c r="D99" s="5">
        <v>44687</v>
      </c>
      <c r="E99" s="5">
        <v>44673</v>
      </c>
      <c r="F99" s="5">
        <v>44677</v>
      </c>
      <c r="G99" s="5">
        <v>44676</v>
      </c>
      <c r="H99" s="106">
        <v>13.8</v>
      </c>
      <c r="I99" s="5">
        <v>44670</v>
      </c>
      <c r="J99" s="106">
        <v>55.7</v>
      </c>
      <c r="K99" s="1">
        <v>34</v>
      </c>
      <c r="L99" s="1">
        <v>4464</v>
      </c>
      <c r="M99" s="1">
        <v>2700</v>
      </c>
      <c r="N99" s="1">
        <v>42.7</v>
      </c>
      <c r="O99" s="1">
        <v>3447</v>
      </c>
      <c r="P99" s="1">
        <v>10.7</v>
      </c>
      <c r="Q99" s="1">
        <v>862</v>
      </c>
      <c r="R99" s="1">
        <v>4</v>
      </c>
      <c r="S99" s="1">
        <v>581</v>
      </c>
      <c r="T99" s="1">
        <v>7.3</v>
      </c>
      <c r="U99" s="1"/>
    </row>
    <row r="100" spans="1:21" s="114" customFormat="1" ht="16">
      <c r="A100" s="112" t="s">
        <v>433</v>
      </c>
      <c r="B100" s="112">
        <v>22139029</v>
      </c>
      <c r="C100" s="112" t="s">
        <v>434</v>
      </c>
      <c r="D100" s="112"/>
      <c r="E100" s="112"/>
      <c r="F100" s="112"/>
      <c r="G100" s="112"/>
      <c r="H100" s="113"/>
      <c r="I100" s="112"/>
      <c r="J100" s="113"/>
      <c r="K100" s="112"/>
      <c r="L100" s="112"/>
      <c r="M100" s="112"/>
      <c r="N100" s="112"/>
      <c r="O100" s="112"/>
      <c r="P100" s="112"/>
      <c r="Q100" s="112"/>
      <c r="R100" s="112"/>
      <c r="S100" s="112"/>
      <c r="T100" s="112"/>
      <c r="U100" s="112"/>
    </row>
    <row r="101" spans="1:21" ht="16">
      <c r="A101" s="1" t="s">
        <v>437</v>
      </c>
      <c r="B101" s="1">
        <v>22107875</v>
      </c>
      <c r="C101" s="1" t="s">
        <v>438</v>
      </c>
      <c r="D101" s="5">
        <v>44800</v>
      </c>
      <c r="E101" s="5">
        <v>44565</v>
      </c>
      <c r="F101" s="1"/>
      <c r="G101" s="5">
        <v>44566</v>
      </c>
      <c r="H101" s="106">
        <v>17</v>
      </c>
      <c r="I101" s="5">
        <v>44558</v>
      </c>
      <c r="J101" s="106">
        <v>65</v>
      </c>
      <c r="K101" s="1">
        <v>30.1</v>
      </c>
      <c r="L101" s="1">
        <v>2854</v>
      </c>
      <c r="M101" s="1">
        <v>1313</v>
      </c>
      <c r="N101" s="1">
        <v>46</v>
      </c>
      <c r="O101" s="1">
        <v>2034</v>
      </c>
      <c r="P101" s="1">
        <v>15.6</v>
      </c>
      <c r="Q101" s="1">
        <v>688</v>
      </c>
      <c r="R101" s="1">
        <v>3</v>
      </c>
      <c r="S101" s="1">
        <v>3.6</v>
      </c>
      <c r="T101" s="1">
        <v>159</v>
      </c>
      <c r="U101" s="1"/>
    </row>
    <row r="102" spans="1:21" ht="16">
      <c r="A102" s="1" t="s">
        <v>441</v>
      </c>
      <c r="B102" s="1">
        <v>22105502</v>
      </c>
      <c r="C102" s="1" t="s">
        <v>442</v>
      </c>
      <c r="D102" s="5">
        <v>44516</v>
      </c>
      <c r="E102" s="5">
        <v>44484</v>
      </c>
      <c r="F102" s="1"/>
      <c r="G102" s="5">
        <v>44487</v>
      </c>
      <c r="H102" s="106">
        <v>5.19</v>
      </c>
      <c r="I102" s="5">
        <v>44482</v>
      </c>
      <c r="J102" s="106">
        <v>68</v>
      </c>
      <c r="K102" s="1">
        <v>26.4</v>
      </c>
      <c r="L102" s="1">
        <v>4711</v>
      </c>
      <c r="M102" s="1">
        <v>1778</v>
      </c>
      <c r="N102" s="1">
        <v>50</v>
      </c>
      <c r="O102" s="1">
        <v>3566</v>
      </c>
      <c r="P102" s="1">
        <v>13.6</v>
      </c>
      <c r="Q102" s="1">
        <v>972</v>
      </c>
      <c r="R102" s="1">
        <v>3.7</v>
      </c>
      <c r="S102" s="1">
        <v>4.2</v>
      </c>
      <c r="T102" s="1">
        <v>286</v>
      </c>
      <c r="U102" s="1"/>
    </row>
    <row r="103" spans="1:21" s="114" customFormat="1" ht="16">
      <c r="A103" s="112" t="s">
        <v>445</v>
      </c>
      <c r="B103" s="112">
        <v>22103078</v>
      </c>
      <c r="C103" s="112" t="s">
        <v>446</v>
      </c>
      <c r="D103" s="112"/>
      <c r="E103" s="112"/>
      <c r="F103" s="112"/>
      <c r="G103" s="112"/>
      <c r="H103" s="113"/>
      <c r="I103" s="112"/>
      <c r="J103" s="113"/>
      <c r="K103" s="112"/>
      <c r="L103" s="112"/>
      <c r="M103" s="112"/>
      <c r="N103" s="112"/>
      <c r="O103" s="112"/>
      <c r="P103" s="112"/>
      <c r="Q103" s="112"/>
      <c r="R103" s="112"/>
      <c r="S103" s="112"/>
      <c r="T103" s="112"/>
      <c r="U103" s="112"/>
    </row>
    <row r="104" spans="1:21" ht="16">
      <c r="A104" s="1" t="s">
        <v>449</v>
      </c>
      <c r="B104" s="1">
        <v>22105498</v>
      </c>
      <c r="C104" s="1" t="s">
        <v>450</v>
      </c>
      <c r="D104" s="5">
        <v>44490</v>
      </c>
      <c r="E104" s="5">
        <v>44488</v>
      </c>
      <c r="F104" s="1"/>
      <c r="G104" s="5">
        <v>44489</v>
      </c>
      <c r="H104" s="106">
        <v>57</v>
      </c>
      <c r="I104" s="5">
        <v>44484</v>
      </c>
      <c r="J104" s="106">
        <v>67.099999999999994</v>
      </c>
      <c r="K104" s="1">
        <v>27.3</v>
      </c>
      <c r="L104" s="1">
        <v>6329</v>
      </c>
      <c r="M104" s="1">
        <v>2534</v>
      </c>
      <c r="N104" s="1">
        <v>34.9</v>
      </c>
      <c r="O104" s="1">
        <v>3352</v>
      </c>
      <c r="P104" s="1">
        <v>30.4</v>
      </c>
      <c r="Q104" s="1">
        <v>2918</v>
      </c>
      <c r="R104" s="1">
        <v>1.1000000000000001</v>
      </c>
      <c r="S104" s="1">
        <v>4.2</v>
      </c>
      <c r="T104" s="1">
        <v>388</v>
      </c>
      <c r="U104" s="1"/>
    </row>
    <row r="105" spans="1:21" s="110" customFormat="1" ht="16">
      <c r="A105" s="107" t="s">
        <v>454</v>
      </c>
      <c r="B105" s="107">
        <v>22107550</v>
      </c>
      <c r="C105" s="107" t="s">
        <v>455</v>
      </c>
      <c r="D105" s="107"/>
      <c r="E105" s="107"/>
      <c r="F105" s="107"/>
      <c r="G105" s="107"/>
      <c r="H105" s="109"/>
      <c r="I105" s="107"/>
      <c r="J105" s="109"/>
      <c r="K105" s="107"/>
      <c r="L105" s="107"/>
      <c r="M105" s="107"/>
      <c r="N105" s="107"/>
      <c r="O105" s="107"/>
      <c r="P105" s="107"/>
      <c r="Q105" s="107"/>
      <c r="R105" s="107"/>
      <c r="S105" s="107"/>
      <c r="T105" s="107"/>
      <c r="U105" s="107"/>
    </row>
    <row r="106" spans="1:21" ht="16">
      <c r="A106" s="1" t="s">
        <v>458</v>
      </c>
      <c r="B106" s="1">
        <v>22107191</v>
      </c>
      <c r="C106" s="1" t="s">
        <v>459</v>
      </c>
      <c r="D106" s="5">
        <v>44575</v>
      </c>
      <c r="E106" s="5">
        <v>44544</v>
      </c>
      <c r="F106" s="1"/>
      <c r="G106" s="5">
        <v>44545</v>
      </c>
      <c r="H106" s="106">
        <v>13.6</v>
      </c>
      <c r="I106" s="5">
        <v>44540</v>
      </c>
      <c r="J106" s="106">
        <v>62.5</v>
      </c>
      <c r="K106" s="1">
        <v>23.7</v>
      </c>
      <c r="L106" s="1">
        <v>3025</v>
      </c>
      <c r="M106" s="1">
        <v>1157</v>
      </c>
      <c r="N106" s="1">
        <v>40.799999999999997</v>
      </c>
      <c r="O106" s="1">
        <v>1958</v>
      </c>
      <c r="P106" s="1">
        <v>19.899999999999999</v>
      </c>
      <c r="Q106" s="1">
        <v>954</v>
      </c>
      <c r="R106" s="1">
        <v>2</v>
      </c>
      <c r="S106" s="1">
        <v>12</v>
      </c>
      <c r="T106" s="1">
        <v>585</v>
      </c>
      <c r="U106" s="1"/>
    </row>
    <row r="107" spans="1:21" ht="16">
      <c r="A107" s="1" t="s">
        <v>463</v>
      </c>
      <c r="B107" s="1">
        <v>22107192</v>
      </c>
      <c r="C107" s="1" t="s">
        <v>464</v>
      </c>
      <c r="D107" s="5">
        <v>44575</v>
      </c>
      <c r="E107" s="5">
        <v>44544</v>
      </c>
      <c r="F107" s="1"/>
      <c r="G107" s="5">
        <v>44545</v>
      </c>
      <c r="H107" s="106">
        <v>10.4</v>
      </c>
      <c r="I107" s="5">
        <v>44540</v>
      </c>
      <c r="J107" s="106">
        <v>63.2</v>
      </c>
      <c r="K107" s="1">
        <v>30.4</v>
      </c>
      <c r="L107" s="1">
        <v>2484</v>
      </c>
      <c r="M107" s="1">
        <v>1197</v>
      </c>
      <c r="N107" s="1">
        <v>41.2</v>
      </c>
      <c r="O107" s="1">
        <v>1616</v>
      </c>
      <c r="P107" s="1">
        <v>20.5</v>
      </c>
      <c r="Q107" s="1">
        <v>804</v>
      </c>
      <c r="R107" s="1">
        <v>2</v>
      </c>
      <c r="S107" s="1">
        <v>5.4</v>
      </c>
      <c r="T107" s="1">
        <v>214</v>
      </c>
      <c r="U107" s="1"/>
    </row>
    <row r="108" spans="1:21" s="127" customFormat="1" ht="16">
      <c r="A108" s="125" t="s">
        <v>466</v>
      </c>
      <c r="B108" s="125">
        <v>22108569</v>
      </c>
      <c r="C108" s="125" t="s">
        <v>467</v>
      </c>
      <c r="D108" s="125"/>
      <c r="E108" s="125"/>
      <c r="F108" s="125"/>
      <c r="G108" s="125"/>
      <c r="H108" s="126"/>
      <c r="I108" s="125"/>
      <c r="J108" s="126"/>
      <c r="K108" s="125"/>
      <c r="L108" s="125"/>
      <c r="M108" s="125"/>
      <c r="N108" s="125"/>
      <c r="O108" s="125"/>
      <c r="P108" s="125"/>
      <c r="Q108" s="125"/>
      <c r="R108" s="125"/>
      <c r="S108" s="125"/>
      <c r="T108" s="125"/>
      <c r="U108" s="125"/>
    </row>
    <row r="109" spans="1:21" s="114" customFormat="1" ht="16">
      <c r="A109" s="112" t="s">
        <v>470</v>
      </c>
      <c r="B109" s="112">
        <v>22103283</v>
      </c>
      <c r="C109" s="112" t="s">
        <v>471</v>
      </c>
      <c r="D109" s="112"/>
      <c r="E109" s="112"/>
      <c r="F109" s="112"/>
      <c r="G109" s="112"/>
      <c r="H109" s="113"/>
      <c r="I109" s="112"/>
      <c r="J109" s="113"/>
      <c r="K109" s="112"/>
      <c r="L109" s="112"/>
      <c r="M109" s="112"/>
      <c r="N109" s="112"/>
      <c r="O109" s="112"/>
      <c r="P109" s="112"/>
      <c r="Q109" s="112"/>
      <c r="R109" s="112"/>
      <c r="S109" s="112"/>
      <c r="T109" s="112"/>
      <c r="U109" s="112"/>
    </row>
    <row r="110" spans="1:21" ht="16">
      <c r="A110" s="1" t="s">
        <v>474</v>
      </c>
      <c r="B110" s="1">
        <v>22107215</v>
      </c>
      <c r="C110" s="1" t="s">
        <v>475</v>
      </c>
      <c r="D110" s="5">
        <v>44580</v>
      </c>
      <c r="E110" s="5">
        <v>44572</v>
      </c>
      <c r="F110" s="1"/>
      <c r="G110" s="5">
        <v>44574</v>
      </c>
      <c r="H110" s="106">
        <v>8.39</v>
      </c>
      <c r="I110" s="5">
        <v>44568</v>
      </c>
      <c r="J110" s="106">
        <v>54.6</v>
      </c>
      <c r="K110" s="1">
        <v>30.3</v>
      </c>
      <c r="L110" s="1">
        <v>3296</v>
      </c>
      <c r="M110" s="1">
        <v>1842</v>
      </c>
      <c r="N110" s="1">
        <v>29.8</v>
      </c>
      <c r="O110" s="1">
        <v>1784</v>
      </c>
      <c r="P110" s="1">
        <v>22.8</v>
      </c>
      <c r="Q110" s="1">
        <v>1367</v>
      </c>
      <c r="R110" s="1">
        <v>1.3</v>
      </c>
      <c r="S110" s="1">
        <v>14.1</v>
      </c>
      <c r="T110" s="1">
        <v>857</v>
      </c>
      <c r="U110" s="1"/>
    </row>
    <row r="111" spans="1:21" s="110" customFormat="1" ht="16">
      <c r="A111" s="107" t="s">
        <v>478</v>
      </c>
      <c r="B111" s="107">
        <v>22106269</v>
      </c>
      <c r="C111" s="107" t="s">
        <v>479</v>
      </c>
      <c r="D111" s="107"/>
      <c r="E111" s="107"/>
      <c r="F111" s="107"/>
      <c r="G111" s="107"/>
      <c r="H111" s="109"/>
      <c r="I111" s="107"/>
      <c r="J111" s="109"/>
      <c r="K111" s="107"/>
      <c r="L111" s="107"/>
      <c r="M111" s="107"/>
      <c r="N111" s="107"/>
      <c r="O111" s="107"/>
      <c r="P111" s="107"/>
      <c r="Q111" s="107"/>
      <c r="R111" s="107"/>
      <c r="S111" s="107"/>
      <c r="T111" s="107"/>
      <c r="U111" s="107"/>
    </row>
    <row r="112" spans="1:21" s="114" customFormat="1" ht="16">
      <c r="A112" s="112" t="s">
        <v>482</v>
      </c>
      <c r="B112" s="112">
        <v>21928733</v>
      </c>
      <c r="C112" s="112" t="s">
        <v>483</v>
      </c>
      <c r="D112" s="112"/>
      <c r="E112" s="112"/>
      <c r="F112" s="112"/>
      <c r="G112" s="112"/>
      <c r="H112" s="113"/>
      <c r="I112" s="112"/>
      <c r="J112" s="113"/>
      <c r="K112" s="112"/>
      <c r="L112" s="112"/>
      <c r="M112" s="112"/>
      <c r="N112" s="112"/>
      <c r="O112" s="112"/>
      <c r="P112" s="112"/>
      <c r="Q112" s="112"/>
      <c r="R112" s="112"/>
      <c r="S112" s="112"/>
      <c r="T112" s="112"/>
      <c r="U112" s="112"/>
    </row>
    <row r="113" spans="1:21" s="127" customFormat="1" ht="16">
      <c r="A113" s="125" t="s">
        <v>486</v>
      </c>
      <c r="B113" s="125">
        <v>22104710</v>
      </c>
      <c r="C113" s="125" t="s">
        <v>487</v>
      </c>
      <c r="D113" s="125"/>
      <c r="E113" s="125"/>
      <c r="F113" s="125"/>
      <c r="G113" s="125"/>
      <c r="H113" s="126"/>
      <c r="I113" s="125"/>
      <c r="J113" s="126"/>
      <c r="K113" s="125"/>
      <c r="L113" s="125"/>
      <c r="M113" s="125"/>
      <c r="N113" s="125"/>
      <c r="O113" s="125"/>
      <c r="P113" s="125"/>
      <c r="Q113" s="125"/>
      <c r="R113" s="125"/>
      <c r="S113" s="125"/>
      <c r="T113" s="125"/>
      <c r="U113" s="125"/>
    </row>
    <row r="114" spans="1:21" ht="16">
      <c r="A114" s="1" t="s">
        <v>490</v>
      </c>
      <c r="B114" s="1">
        <v>22105636</v>
      </c>
      <c r="C114" s="1" t="s">
        <v>491</v>
      </c>
      <c r="D114" s="5">
        <v>44526</v>
      </c>
      <c r="E114" s="5">
        <v>44498</v>
      </c>
      <c r="F114" s="1"/>
      <c r="G114" s="5">
        <v>44501</v>
      </c>
      <c r="H114" s="106">
        <v>38.799999999999997</v>
      </c>
      <c r="I114" s="5">
        <v>44495</v>
      </c>
      <c r="J114" s="106">
        <v>61.4</v>
      </c>
      <c r="K114" s="1">
        <v>25.4</v>
      </c>
      <c r="L114" s="1">
        <v>3214</v>
      </c>
      <c r="M114" s="1">
        <v>1322</v>
      </c>
      <c r="N114" s="1">
        <v>37.6</v>
      </c>
      <c r="O114" s="1">
        <v>1979</v>
      </c>
      <c r="P114" s="1">
        <v>20.399999999999999</v>
      </c>
      <c r="Q114" s="1">
        <v>1075</v>
      </c>
      <c r="R114" s="1">
        <v>1.8</v>
      </c>
      <c r="S114" s="1">
        <v>11.4</v>
      </c>
      <c r="T114" s="1">
        <v>593</v>
      </c>
      <c r="U114" s="1"/>
    </row>
    <row r="115" spans="1:21" s="114" customFormat="1" ht="16">
      <c r="A115" s="112" t="s">
        <v>494</v>
      </c>
      <c r="B115" s="112">
        <v>22104579</v>
      </c>
      <c r="C115" s="112" t="s">
        <v>495</v>
      </c>
      <c r="D115" s="112"/>
      <c r="E115" s="112"/>
      <c r="F115" s="112"/>
      <c r="G115" s="112"/>
      <c r="H115" s="113"/>
      <c r="I115" s="112"/>
      <c r="J115" s="113"/>
      <c r="K115" s="112"/>
      <c r="L115" s="112"/>
      <c r="M115" s="112"/>
      <c r="N115" s="112"/>
      <c r="O115" s="112"/>
      <c r="P115" s="112"/>
      <c r="Q115" s="112"/>
      <c r="R115" s="112"/>
      <c r="S115" s="112"/>
      <c r="T115" s="112"/>
      <c r="U115" s="112"/>
    </row>
    <row r="116" spans="1:21" ht="16">
      <c r="A116" s="1" t="s">
        <v>499</v>
      </c>
      <c r="B116" s="1">
        <v>22108091</v>
      </c>
      <c r="C116" s="1" t="s">
        <v>500</v>
      </c>
      <c r="D116" s="5">
        <v>44586</v>
      </c>
      <c r="E116" s="5">
        <v>44565</v>
      </c>
      <c r="F116" s="1"/>
      <c r="G116" s="5">
        <v>44566</v>
      </c>
      <c r="H116" s="106">
        <v>5.97</v>
      </c>
      <c r="I116" s="5">
        <v>44558</v>
      </c>
      <c r="J116" s="106">
        <v>73.400000000000006</v>
      </c>
      <c r="K116" s="1">
        <v>21.3</v>
      </c>
      <c r="L116" s="1">
        <v>5159</v>
      </c>
      <c r="M116" s="1">
        <v>1452</v>
      </c>
      <c r="N116" s="1">
        <v>55.7</v>
      </c>
      <c r="O116" s="1">
        <v>4034</v>
      </c>
      <c r="P116" s="1">
        <v>14.3</v>
      </c>
      <c r="Q116" s="1">
        <v>1035</v>
      </c>
      <c r="R116" s="1">
        <v>3.9</v>
      </c>
      <c r="S116" s="1">
        <v>4.3</v>
      </c>
      <c r="T116" s="1">
        <v>294</v>
      </c>
      <c r="U116" s="1"/>
    </row>
    <row r="117" spans="1:21" ht="16">
      <c r="A117" s="1" t="s">
        <v>503</v>
      </c>
      <c r="B117" s="1">
        <v>22108353</v>
      </c>
      <c r="C117" s="1" t="s">
        <v>504</v>
      </c>
      <c r="D117" s="5">
        <v>44669</v>
      </c>
      <c r="E117" s="5">
        <v>44663</v>
      </c>
      <c r="F117" s="5">
        <v>44670</v>
      </c>
      <c r="G117" s="5">
        <v>44664</v>
      </c>
      <c r="H117" s="106">
        <v>5.52</v>
      </c>
      <c r="I117" s="5">
        <v>44659</v>
      </c>
      <c r="J117" s="106">
        <v>55.7</v>
      </c>
      <c r="K117" s="1">
        <v>36.5</v>
      </c>
      <c r="L117" s="1">
        <v>2900</v>
      </c>
      <c r="M117" s="1">
        <v>1891</v>
      </c>
      <c r="N117" s="1">
        <v>36.9</v>
      </c>
      <c r="O117" s="1">
        <v>1937</v>
      </c>
      <c r="P117" s="1">
        <v>17.100000000000001</v>
      </c>
      <c r="Q117" s="1">
        <v>897</v>
      </c>
      <c r="R117" s="1">
        <v>2.2000000000000002</v>
      </c>
      <c r="S117" s="1">
        <v>6.1</v>
      </c>
      <c r="T117" s="1">
        <v>315</v>
      </c>
      <c r="U117" s="1"/>
    </row>
    <row r="118" spans="1:21" s="114" customFormat="1" ht="16">
      <c r="A118" s="112" t="s">
        <v>507</v>
      </c>
      <c r="B118" s="112">
        <v>22102665</v>
      </c>
      <c r="C118" s="112" t="s">
        <v>508</v>
      </c>
      <c r="D118" s="112"/>
      <c r="E118" s="112"/>
      <c r="F118" s="112"/>
      <c r="G118" s="112"/>
      <c r="H118" s="113"/>
      <c r="I118" s="112"/>
      <c r="J118" s="113"/>
      <c r="K118" s="112"/>
      <c r="L118" s="112"/>
      <c r="M118" s="112"/>
      <c r="N118" s="112"/>
      <c r="O118" s="112"/>
      <c r="P118" s="112"/>
      <c r="Q118" s="112"/>
      <c r="R118" s="112"/>
      <c r="S118" s="112"/>
      <c r="T118" s="112"/>
      <c r="U118" s="112"/>
    </row>
    <row r="119" spans="1:21" ht="16">
      <c r="A119" s="1" t="s">
        <v>510</v>
      </c>
      <c r="B119" s="1">
        <v>22108869</v>
      </c>
      <c r="C119" s="1" t="s">
        <v>511</v>
      </c>
      <c r="D119" s="5">
        <v>44748</v>
      </c>
      <c r="E119" s="5">
        <v>44694</v>
      </c>
      <c r="F119" s="5">
        <v>44698</v>
      </c>
      <c r="G119" s="5">
        <v>44697</v>
      </c>
      <c r="H119" s="106">
        <v>2.99</v>
      </c>
      <c r="I119" s="5">
        <v>44692</v>
      </c>
      <c r="J119" s="106">
        <v>60.9</v>
      </c>
      <c r="K119" s="1">
        <v>26.3</v>
      </c>
      <c r="L119" s="1">
        <v>4365</v>
      </c>
      <c r="M119" s="1">
        <v>1903</v>
      </c>
      <c r="N119" s="1">
        <v>41.6</v>
      </c>
      <c r="O119" s="1">
        <v>2947</v>
      </c>
      <c r="P119" s="1">
        <v>17.2</v>
      </c>
      <c r="Q119" s="1">
        <v>1220</v>
      </c>
      <c r="R119" s="1">
        <v>2.4</v>
      </c>
      <c r="S119" s="1">
        <v>11</v>
      </c>
      <c r="T119" s="1">
        <v>796</v>
      </c>
      <c r="U119" s="1"/>
    </row>
    <row r="120" spans="1:21" ht="16">
      <c r="A120" s="1" t="s">
        <v>514</v>
      </c>
      <c r="B120" s="1">
        <v>22107197</v>
      </c>
      <c r="C120" s="1" t="s">
        <v>515</v>
      </c>
      <c r="D120" s="5">
        <v>44567</v>
      </c>
      <c r="E120" s="5">
        <v>44558</v>
      </c>
      <c r="F120" s="1"/>
      <c r="G120" s="5">
        <v>44559</v>
      </c>
      <c r="H120" s="106">
        <v>37.5</v>
      </c>
      <c r="I120" s="5">
        <v>44554</v>
      </c>
      <c r="J120" s="106">
        <v>61.5</v>
      </c>
      <c r="K120" s="1">
        <v>26.7</v>
      </c>
      <c r="L120" s="1">
        <v>4716</v>
      </c>
      <c r="M120" s="1">
        <v>2034</v>
      </c>
      <c r="N120" s="1">
        <v>41.2</v>
      </c>
      <c r="O120" s="1">
        <v>3179</v>
      </c>
      <c r="P120" s="1">
        <v>18.600000000000001</v>
      </c>
      <c r="Q120" s="1">
        <v>1431</v>
      </c>
      <c r="R120" s="1">
        <v>2.2000000000000002</v>
      </c>
      <c r="S120" s="1">
        <v>10.3</v>
      </c>
      <c r="T120" s="1">
        <v>781</v>
      </c>
      <c r="U120" s="1"/>
    </row>
    <row r="121" spans="1:21" ht="16">
      <c r="A121" s="1" t="s">
        <v>517</v>
      </c>
      <c r="B121" s="1">
        <v>5085978</v>
      </c>
      <c r="C121" s="1" t="s">
        <v>518</v>
      </c>
      <c r="D121" s="5">
        <v>44567</v>
      </c>
      <c r="E121" s="5">
        <v>44558</v>
      </c>
      <c r="F121" s="1"/>
      <c r="G121" s="5">
        <v>44559</v>
      </c>
      <c r="H121" s="106">
        <v>5.26</v>
      </c>
      <c r="I121" s="5">
        <v>44554</v>
      </c>
      <c r="J121" s="106">
        <v>65</v>
      </c>
      <c r="K121" s="1">
        <v>19.399999999999999</v>
      </c>
      <c r="L121" s="1">
        <v>5290</v>
      </c>
      <c r="M121" s="1">
        <v>1565</v>
      </c>
      <c r="N121" s="1">
        <v>52.8</v>
      </c>
      <c r="O121" s="1">
        <v>4337</v>
      </c>
      <c r="P121" s="1">
        <v>10.8</v>
      </c>
      <c r="Q121" s="1">
        <v>888</v>
      </c>
      <c r="R121" s="1">
        <v>4.9000000000000004</v>
      </c>
      <c r="S121" s="1">
        <v>13.8</v>
      </c>
      <c r="T121" s="1">
        <v>1112</v>
      </c>
      <c r="U121" s="1"/>
    </row>
    <row r="122" spans="1:21" s="110" customFormat="1" ht="16">
      <c r="A122" s="107" t="s">
        <v>522</v>
      </c>
      <c r="B122" s="107">
        <v>22107708</v>
      </c>
      <c r="C122" s="107" t="s">
        <v>523</v>
      </c>
      <c r="D122" s="108">
        <v>44610</v>
      </c>
      <c r="E122" s="108">
        <v>44579</v>
      </c>
      <c r="F122" s="107"/>
      <c r="G122" s="108">
        <v>44580</v>
      </c>
      <c r="H122" s="109">
        <v>16.899999999999999</v>
      </c>
      <c r="I122" s="108">
        <v>44575</v>
      </c>
      <c r="J122" s="109">
        <v>65.2</v>
      </c>
      <c r="K122" s="107">
        <v>25.5</v>
      </c>
      <c r="L122" s="107">
        <v>3423</v>
      </c>
      <c r="M122" s="107">
        <v>1355</v>
      </c>
      <c r="N122" s="107">
        <v>47.8</v>
      </c>
      <c r="O122" s="107">
        <v>2480</v>
      </c>
      <c r="P122" s="107">
        <v>15.8</v>
      </c>
      <c r="Q122" s="107">
        <v>823</v>
      </c>
      <c r="R122" s="107">
        <v>3</v>
      </c>
      <c r="S122" s="107">
        <v>8.3000000000000007</v>
      </c>
      <c r="T122" s="107">
        <v>441</v>
      </c>
      <c r="U122" s="107"/>
    </row>
    <row r="123" spans="1:21" ht="16">
      <c r="A123" s="1" t="s">
        <v>527</v>
      </c>
      <c r="B123" s="1">
        <v>22107105</v>
      </c>
      <c r="C123" s="1" t="s">
        <v>528</v>
      </c>
      <c r="D123" s="5">
        <v>44560</v>
      </c>
      <c r="E123" s="5">
        <v>44551</v>
      </c>
      <c r="F123" s="1"/>
      <c r="G123" s="5">
        <v>44552</v>
      </c>
      <c r="H123" s="106">
        <v>8.5500000000000007</v>
      </c>
      <c r="I123" s="5">
        <v>44551</v>
      </c>
      <c r="J123" s="106">
        <v>49.3</v>
      </c>
      <c r="K123" s="1">
        <v>40.799999999999997</v>
      </c>
      <c r="L123" s="1">
        <v>4921</v>
      </c>
      <c r="M123" s="1">
        <v>4040</v>
      </c>
      <c r="N123" s="1">
        <v>32</v>
      </c>
      <c r="O123" s="1">
        <v>3221</v>
      </c>
      <c r="P123" s="1">
        <v>15.1</v>
      </c>
      <c r="Q123" s="1">
        <v>1521</v>
      </c>
      <c r="R123" s="1">
        <v>2.1</v>
      </c>
      <c r="S123" s="1">
        <v>7.4</v>
      </c>
      <c r="T123" s="1">
        <v>731</v>
      </c>
      <c r="U123" s="1"/>
    </row>
    <row r="124" spans="1:21" ht="16">
      <c r="A124" s="1" t="s">
        <v>531</v>
      </c>
      <c r="B124" s="1">
        <v>22107106</v>
      </c>
      <c r="C124" s="1" t="s">
        <v>532</v>
      </c>
      <c r="D124" s="5">
        <v>44560</v>
      </c>
      <c r="E124" s="5">
        <v>44551</v>
      </c>
      <c r="F124" s="1"/>
      <c r="G124" s="5">
        <v>44552</v>
      </c>
      <c r="H124" s="106">
        <v>8.3699999999999992</v>
      </c>
      <c r="I124" s="5">
        <v>44551</v>
      </c>
      <c r="J124" s="106">
        <v>46.1</v>
      </c>
      <c r="K124" s="1">
        <v>46.1</v>
      </c>
      <c r="L124" s="1">
        <v>4147</v>
      </c>
      <c r="M124" s="1">
        <v>4051</v>
      </c>
      <c r="N124" s="1">
        <v>30.2</v>
      </c>
      <c r="O124" s="1">
        <v>2781</v>
      </c>
      <c r="P124" s="1">
        <v>13.9</v>
      </c>
      <c r="Q124" s="1">
        <v>1285</v>
      </c>
      <c r="R124" s="1">
        <v>2.2000000000000002</v>
      </c>
      <c r="S124" s="1">
        <v>6.1</v>
      </c>
      <c r="T124" s="1">
        <v>534</v>
      </c>
      <c r="U124" s="1"/>
    </row>
    <row r="125" spans="1:21" s="114" customFormat="1" ht="16">
      <c r="A125" s="112" t="s">
        <v>533</v>
      </c>
      <c r="B125" s="112">
        <v>22100078</v>
      </c>
      <c r="C125" s="112" t="s">
        <v>534</v>
      </c>
      <c r="D125" s="112"/>
      <c r="E125" s="112"/>
      <c r="F125" s="112"/>
      <c r="G125" s="112"/>
      <c r="H125" s="113"/>
      <c r="I125" s="112"/>
      <c r="J125" s="113"/>
      <c r="K125" s="112"/>
      <c r="L125" s="112"/>
      <c r="M125" s="112"/>
      <c r="N125" s="112"/>
      <c r="O125" s="112"/>
      <c r="P125" s="112"/>
      <c r="Q125" s="112"/>
      <c r="R125" s="112"/>
      <c r="S125" s="112"/>
      <c r="T125" s="112"/>
      <c r="U125" s="112"/>
    </row>
    <row r="126" spans="1:21" ht="16">
      <c r="A126" s="1" t="s">
        <v>537</v>
      </c>
      <c r="B126" s="1">
        <v>22108137</v>
      </c>
      <c r="C126" s="1" t="s">
        <v>538</v>
      </c>
      <c r="D126" s="5">
        <v>44579</v>
      </c>
      <c r="E126" s="5">
        <v>44568</v>
      </c>
      <c r="F126" s="1"/>
      <c r="G126" s="5">
        <v>44571</v>
      </c>
      <c r="H126" s="106">
        <v>16.8</v>
      </c>
      <c r="I126" s="5">
        <v>44566</v>
      </c>
      <c r="J126" s="106">
        <v>75.099999999999994</v>
      </c>
      <c r="K126" s="1">
        <v>19</v>
      </c>
      <c r="L126" s="1">
        <v>3643</v>
      </c>
      <c r="M126" s="1">
        <v>917</v>
      </c>
      <c r="N126" s="1">
        <v>59.9</v>
      </c>
      <c r="O126" s="1">
        <v>2929</v>
      </c>
      <c r="P126" s="1">
        <v>15.3</v>
      </c>
      <c r="Q126" s="1">
        <v>747</v>
      </c>
      <c r="R126" s="1">
        <v>3.9</v>
      </c>
      <c r="S126" s="1">
        <v>5.5</v>
      </c>
      <c r="T126" s="1">
        <v>265</v>
      </c>
      <c r="U126" s="1"/>
    </row>
    <row r="127" spans="1:21" ht="16">
      <c r="A127" s="1" t="s">
        <v>541</v>
      </c>
      <c r="B127" s="1">
        <v>22108221</v>
      </c>
      <c r="C127" s="1" t="s">
        <v>542</v>
      </c>
      <c r="D127" s="5">
        <v>44581</v>
      </c>
      <c r="E127" s="5">
        <v>44579</v>
      </c>
      <c r="F127" s="1"/>
      <c r="G127" s="5">
        <v>44580</v>
      </c>
      <c r="H127" s="106">
        <v>10.1</v>
      </c>
      <c r="I127" s="5">
        <v>44575</v>
      </c>
      <c r="J127" s="106">
        <v>63.4</v>
      </c>
      <c r="K127" s="1">
        <v>26.2</v>
      </c>
      <c r="L127" s="1">
        <v>6795</v>
      </c>
      <c r="M127" s="1">
        <v>2907</v>
      </c>
      <c r="N127" s="1">
        <v>43.9</v>
      </c>
      <c r="O127" s="1">
        <v>4546</v>
      </c>
      <c r="P127" s="1">
        <v>18.899999999999999</v>
      </c>
      <c r="Q127" s="1">
        <v>1954</v>
      </c>
      <c r="R127" s="1">
        <v>2.2999999999999998</v>
      </c>
      <c r="S127" s="1">
        <v>9.1</v>
      </c>
      <c r="T127" s="1">
        <v>1008</v>
      </c>
      <c r="U127" s="1"/>
    </row>
    <row r="128" spans="1:21" s="114" customFormat="1" ht="16">
      <c r="A128" s="112" t="s">
        <v>544</v>
      </c>
      <c r="B128" s="112">
        <v>22100560</v>
      </c>
      <c r="C128" s="112" t="s">
        <v>545</v>
      </c>
      <c r="D128" s="112"/>
      <c r="E128" s="112"/>
      <c r="F128" s="112"/>
      <c r="G128" s="112"/>
      <c r="H128" s="113"/>
      <c r="I128" s="112"/>
      <c r="J128" s="113"/>
      <c r="K128" s="112"/>
      <c r="L128" s="112"/>
      <c r="M128" s="112"/>
      <c r="N128" s="112"/>
      <c r="O128" s="112"/>
      <c r="P128" s="112"/>
      <c r="Q128" s="112"/>
      <c r="R128" s="112"/>
      <c r="S128" s="112"/>
      <c r="T128" s="112"/>
      <c r="U128" s="112"/>
    </row>
    <row r="129" spans="1:21" ht="16">
      <c r="A129" s="1" t="s">
        <v>548</v>
      </c>
      <c r="B129" s="1">
        <v>22108557</v>
      </c>
      <c r="C129" s="1" t="s">
        <v>549</v>
      </c>
      <c r="D129" s="5">
        <v>44691</v>
      </c>
      <c r="E129" s="5">
        <v>44670</v>
      </c>
      <c r="F129" s="5">
        <v>44673</v>
      </c>
      <c r="G129" s="5">
        <v>44671</v>
      </c>
      <c r="H129" s="106">
        <v>7.42</v>
      </c>
      <c r="I129" s="5">
        <v>44663</v>
      </c>
      <c r="J129" s="106">
        <v>66.599999999999994</v>
      </c>
      <c r="K129" s="1">
        <v>25.9</v>
      </c>
      <c r="L129" s="1">
        <v>4908</v>
      </c>
      <c r="M129" s="1">
        <v>1894</v>
      </c>
      <c r="N129" s="1">
        <v>47.8</v>
      </c>
      <c r="O129" s="1">
        <v>3544</v>
      </c>
      <c r="P129" s="1">
        <v>15.6</v>
      </c>
      <c r="Q129" s="1">
        <v>1156</v>
      </c>
      <c r="R129" s="1">
        <v>3.1</v>
      </c>
      <c r="S129" s="1">
        <v>5.9</v>
      </c>
      <c r="T129" s="1">
        <v>429</v>
      </c>
      <c r="U129" s="1"/>
    </row>
    <row r="130" spans="1:21" s="127" customFormat="1" ht="16">
      <c r="A130" s="125" t="s">
        <v>551</v>
      </c>
      <c r="B130" s="125">
        <v>22103485</v>
      </c>
      <c r="C130" s="125" t="s">
        <v>552</v>
      </c>
      <c r="D130" s="125"/>
      <c r="E130" s="125"/>
      <c r="F130" s="125"/>
      <c r="G130" s="125"/>
      <c r="H130" s="126"/>
      <c r="I130" s="125"/>
      <c r="J130" s="126"/>
      <c r="K130" s="125"/>
      <c r="L130" s="125"/>
      <c r="M130" s="125"/>
      <c r="N130" s="125"/>
      <c r="O130" s="125"/>
      <c r="P130" s="125"/>
      <c r="Q130" s="125"/>
      <c r="R130" s="125"/>
      <c r="S130" s="125"/>
      <c r="T130" s="125"/>
      <c r="U130" s="125"/>
    </row>
    <row r="131" spans="1:21" s="110" customFormat="1" ht="16">
      <c r="A131" s="107" t="s">
        <v>555</v>
      </c>
      <c r="B131" s="107">
        <v>22282241</v>
      </c>
      <c r="C131" s="107" t="s">
        <v>556</v>
      </c>
      <c r="D131" s="108">
        <v>44568</v>
      </c>
      <c r="E131" s="108">
        <v>44565</v>
      </c>
      <c r="F131" s="107"/>
      <c r="G131" s="108">
        <v>44566</v>
      </c>
      <c r="H131" s="109">
        <v>13.7</v>
      </c>
      <c r="I131" s="108">
        <v>44559</v>
      </c>
      <c r="J131" s="109">
        <v>55.3</v>
      </c>
      <c r="K131" s="107">
        <v>33.6</v>
      </c>
      <c r="L131" s="107">
        <v>2466</v>
      </c>
      <c r="M131" s="107">
        <v>1464</v>
      </c>
      <c r="N131" s="107">
        <v>35.799999999999997</v>
      </c>
      <c r="O131" s="107">
        <v>1632</v>
      </c>
      <c r="P131" s="107">
        <v>16.899999999999999</v>
      </c>
      <c r="Q131" s="107">
        <v>768</v>
      </c>
      <c r="R131" s="107">
        <v>2.1</v>
      </c>
      <c r="S131" s="107">
        <v>10.1</v>
      </c>
      <c r="T131" s="107">
        <v>442</v>
      </c>
      <c r="U131" s="107"/>
    </row>
    <row r="132" spans="1:21" ht="16">
      <c r="A132" s="1" t="s">
        <v>558</v>
      </c>
      <c r="B132" s="1">
        <v>22108320</v>
      </c>
      <c r="C132" s="1" t="s">
        <v>559</v>
      </c>
      <c r="D132" s="120">
        <v>44579</v>
      </c>
      <c r="E132" s="5">
        <v>44582</v>
      </c>
      <c r="F132" s="1"/>
      <c r="G132" s="5">
        <v>44585</v>
      </c>
      <c r="H132" s="106">
        <v>8.42</v>
      </c>
      <c r="I132" s="5">
        <v>44579</v>
      </c>
      <c r="J132" s="106">
        <v>71.7</v>
      </c>
      <c r="K132" s="1">
        <v>20</v>
      </c>
      <c r="L132" s="1">
        <v>859</v>
      </c>
      <c r="M132" s="1">
        <v>236</v>
      </c>
      <c r="N132" s="1">
        <v>56.7</v>
      </c>
      <c r="O132" s="1">
        <v>691</v>
      </c>
      <c r="P132" s="1">
        <v>12.7</v>
      </c>
      <c r="Q132" s="1">
        <v>155</v>
      </c>
      <c r="R132" s="1">
        <v>4.5</v>
      </c>
      <c r="S132" s="1">
        <v>6.3</v>
      </c>
      <c r="T132" s="1">
        <v>75</v>
      </c>
      <c r="U132" s="1"/>
    </row>
    <row r="133" spans="1:21" ht="16">
      <c r="A133" s="1" t="s">
        <v>562</v>
      </c>
      <c r="B133" s="1">
        <v>22108974</v>
      </c>
      <c r="C133" s="1" t="s">
        <v>563</v>
      </c>
      <c r="D133" s="5">
        <v>44718</v>
      </c>
      <c r="E133" s="5">
        <v>44708</v>
      </c>
      <c r="F133" s="5">
        <v>44712</v>
      </c>
      <c r="G133" s="5">
        <v>44711</v>
      </c>
      <c r="H133" s="106">
        <v>4.0199999999999996</v>
      </c>
      <c r="I133" s="5">
        <v>44705</v>
      </c>
      <c r="J133" s="106">
        <v>70</v>
      </c>
      <c r="K133" s="1">
        <v>24.4</v>
      </c>
      <c r="L133" s="1">
        <v>4960</v>
      </c>
      <c r="M133" s="1">
        <v>1714</v>
      </c>
      <c r="N133" s="1">
        <v>56.3</v>
      </c>
      <c r="O133" s="1">
        <v>4016</v>
      </c>
      <c r="P133" s="1">
        <v>12.4</v>
      </c>
      <c r="Q133" s="1">
        <v>887</v>
      </c>
      <c r="R133" s="1">
        <v>4.5</v>
      </c>
      <c r="S133" s="1">
        <v>4</v>
      </c>
      <c r="T133" s="1">
        <v>280</v>
      </c>
      <c r="U133" s="1"/>
    </row>
    <row r="134" spans="1:21" ht="16">
      <c r="A134" s="1" t="s">
        <v>566</v>
      </c>
      <c r="B134" s="1">
        <v>22107651</v>
      </c>
      <c r="C134" s="1" t="s">
        <v>567</v>
      </c>
      <c r="D134" s="5">
        <v>44558</v>
      </c>
      <c r="E134" s="5">
        <v>44544</v>
      </c>
      <c r="F134" s="1"/>
      <c r="G134" s="5">
        <v>44545</v>
      </c>
      <c r="H134" s="106">
        <v>2.09</v>
      </c>
      <c r="I134" s="5">
        <v>44540</v>
      </c>
      <c r="J134" s="106">
        <v>64.5</v>
      </c>
      <c r="K134" s="1">
        <v>26.4</v>
      </c>
      <c r="L134" s="1">
        <v>3920</v>
      </c>
      <c r="M134" s="1">
        <v>1580</v>
      </c>
      <c r="N134" s="1">
        <v>45.2</v>
      </c>
      <c r="O134" s="1">
        <v>2788</v>
      </c>
      <c r="P134" s="1">
        <v>15.6</v>
      </c>
      <c r="Q134" s="1">
        <v>962</v>
      </c>
      <c r="R134" s="1">
        <v>2.9</v>
      </c>
      <c r="S134" s="1">
        <v>8.1</v>
      </c>
      <c r="T134" s="1">
        <v>483</v>
      </c>
      <c r="U134" s="1"/>
    </row>
    <row r="135" spans="1:21" ht="16">
      <c r="A135" s="1" t="s">
        <v>570</v>
      </c>
      <c r="B135" s="1">
        <v>22108335</v>
      </c>
      <c r="C135" s="1" t="s">
        <v>571</v>
      </c>
      <c r="D135" s="5">
        <v>44614</v>
      </c>
      <c r="E135" s="5">
        <v>44589</v>
      </c>
      <c r="F135" s="1"/>
      <c r="G135" s="5">
        <v>44599</v>
      </c>
      <c r="H135" s="106">
        <v>7.74</v>
      </c>
      <c r="I135" s="5">
        <v>44586</v>
      </c>
      <c r="J135" s="106">
        <v>60.5</v>
      </c>
      <c r="K135" s="1">
        <v>26.4</v>
      </c>
      <c r="L135" s="1">
        <v>3903</v>
      </c>
      <c r="M135" s="1">
        <v>1683</v>
      </c>
      <c r="N135" s="1">
        <v>45.4</v>
      </c>
      <c r="O135" s="1">
        <v>2964</v>
      </c>
      <c r="P135" s="1">
        <v>12.6</v>
      </c>
      <c r="Q135" s="1">
        <v>826</v>
      </c>
      <c r="R135" s="1">
        <v>3.6</v>
      </c>
      <c r="S135" s="1">
        <v>11.5</v>
      </c>
      <c r="T135" s="1">
        <v>734</v>
      </c>
      <c r="U135" s="1"/>
    </row>
    <row r="136" spans="1:21" ht="16">
      <c r="A136" s="1" t="s">
        <v>573</v>
      </c>
      <c r="B136" s="1">
        <v>22107996</v>
      </c>
      <c r="C136" s="1" t="s">
        <v>574</v>
      </c>
      <c r="D136" s="5">
        <v>44607</v>
      </c>
      <c r="E136" s="5">
        <v>44582</v>
      </c>
      <c r="F136" s="1"/>
      <c r="G136" s="5">
        <v>44585</v>
      </c>
      <c r="H136" s="106">
        <v>2.5099999999999998</v>
      </c>
      <c r="I136" s="5">
        <v>44579</v>
      </c>
      <c r="J136" s="106">
        <v>57.4</v>
      </c>
      <c r="K136" s="1">
        <v>33.1</v>
      </c>
      <c r="L136" s="1">
        <v>4509</v>
      </c>
      <c r="M136" s="1">
        <v>2594</v>
      </c>
      <c r="N136" s="1">
        <v>41.6</v>
      </c>
      <c r="O136" s="1">
        <v>3287</v>
      </c>
      <c r="P136" s="1">
        <v>14.4</v>
      </c>
      <c r="Q136" s="1">
        <v>1139</v>
      </c>
      <c r="R136" s="1">
        <v>2.9</v>
      </c>
      <c r="S136" s="1">
        <v>8</v>
      </c>
      <c r="T136" s="1">
        <v>627</v>
      </c>
      <c r="U136" s="1"/>
    </row>
    <row r="137" spans="1:21" ht="16">
      <c r="A137" s="1" t="s">
        <v>576</v>
      </c>
      <c r="B137" s="1">
        <v>22108333</v>
      </c>
      <c r="C137" s="1" t="s">
        <v>577</v>
      </c>
      <c r="D137" s="5">
        <v>44621</v>
      </c>
      <c r="E137" s="5">
        <v>44589</v>
      </c>
      <c r="F137" s="1"/>
      <c r="G137" s="5">
        <v>44599</v>
      </c>
      <c r="H137" s="106">
        <v>2.13</v>
      </c>
      <c r="I137" s="5">
        <v>44586</v>
      </c>
      <c r="J137" s="106">
        <v>54.6</v>
      </c>
      <c r="K137" s="1">
        <v>35.799999999999997</v>
      </c>
      <c r="L137" s="1">
        <v>2888</v>
      </c>
      <c r="M137" s="1">
        <v>1897</v>
      </c>
      <c r="N137" s="1">
        <v>37.799999999999997</v>
      </c>
      <c r="O137" s="1">
        <v>1997</v>
      </c>
      <c r="P137" s="1">
        <v>14.8</v>
      </c>
      <c r="Q137" s="1">
        <v>783</v>
      </c>
      <c r="R137" s="1">
        <v>2.5</v>
      </c>
      <c r="S137" s="1">
        <v>7.8</v>
      </c>
      <c r="T137" s="1">
        <v>414</v>
      </c>
      <c r="U137" s="1"/>
    </row>
    <row r="138" spans="1:21" s="110" customFormat="1" ht="16">
      <c r="A138" s="107" t="s">
        <v>580</v>
      </c>
      <c r="B138" s="107">
        <v>22107506</v>
      </c>
      <c r="C138" s="107" t="s">
        <v>581</v>
      </c>
      <c r="D138" s="108">
        <v>44568</v>
      </c>
      <c r="E138" s="108">
        <v>44565</v>
      </c>
      <c r="F138" s="107"/>
      <c r="G138" s="108">
        <v>44566</v>
      </c>
      <c r="H138" s="109">
        <v>334</v>
      </c>
      <c r="I138" s="108">
        <v>44558</v>
      </c>
      <c r="J138" s="109">
        <v>62.7</v>
      </c>
      <c r="K138" s="107">
        <v>27.3</v>
      </c>
      <c r="L138" s="107">
        <v>4792</v>
      </c>
      <c r="M138" s="107">
        <v>2148</v>
      </c>
      <c r="N138" s="107">
        <v>41</v>
      </c>
      <c r="O138" s="107">
        <v>3033</v>
      </c>
      <c r="P138" s="107">
        <v>16.399999999999999</v>
      </c>
      <c r="Q138" s="107">
        <v>1217</v>
      </c>
      <c r="R138" s="107">
        <v>2.5</v>
      </c>
      <c r="S138" s="107">
        <v>7.4</v>
      </c>
      <c r="T138" s="107">
        <v>579</v>
      </c>
      <c r="U138" s="107"/>
    </row>
    <row r="139" spans="1:21" s="127" customFormat="1" ht="16">
      <c r="A139" s="125" t="s">
        <v>584</v>
      </c>
      <c r="B139" s="125">
        <v>22106433</v>
      </c>
      <c r="C139" s="125" t="s">
        <v>585</v>
      </c>
      <c r="D139" s="125"/>
      <c r="E139" s="125"/>
      <c r="F139" s="125"/>
      <c r="G139" s="125"/>
      <c r="H139" s="126"/>
      <c r="I139" s="125"/>
      <c r="J139" s="126"/>
      <c r="K139" s="125"/>
      <c r="L139" s="125"/>
      <c r="M139" s="125"/>
      <c r="N139" s="125"/>
      <c r="O139" s="125"/>
      <c r="P139" s="125"/>
      <c r="Q139" s="125"/>
      <c r="R139" s="125"/>
      <c r="S139" s="125"/>
      <c r="T139" s="125"/>
      <c r="U139" s="125"/>
    </row>
    <row r="140" spans="1:21" s="110" customFormat="1" ht="16">
      <c r="A140" s="107" t="s">
        <v>589</v>
      </c>
      <c r="B140" s="107">
        <v>22108915</v>
      </c>
      <c r="C140" s="107" t="s">
        <v>590</v>
      </c>
      <c r="D140" s="107"/>
      <c r="E140" s="107"/>
      <c r="F140" s="107"/>
      <c r="G140" s="107"/>
      <c r="H140" s="109"/>
      <c r="I140" s="107"/>
      <c r="J140" s="109"/>
      <c r="K140" s="107"/>
      <c r="L140" s="107"/>
      <c r="M140" s="107"/>
      <c r="N140" s="107"/>
      <c r="O140" s="107"/>
      <c r="P140" s="107"/>
      <c r="Q140" s="107"/>
      <c r="R140" s="107"/>
      <c r="S140" s="107"/>
      <c r="T140" s="107"/>
      <c r="U140" s="107"/>
    </row>
    <row r="141" spans="1:21" ht="16">
      <c r="A141" s="1" t="s">
        <v>593</v>
      </c>
      <c r="B141" s="1">
        <v>16902223</v>
      </c>
      <c r="C141" s="1" t="s">
        <v>594</v>
      </c>
      <c r="D141" s="5">
        <v>44650</v>
      </c>
      <c r="E141" s="5">
        <v>44631</v>
      </c>
      <c r="F141" s="1"/>
      <c r="G141" s="5">
        <v>44635</v>
      </c>
      <c r="H141" s="106">
        <v>67.3</v>
      </c>
      <c r="I141" s="5">
        <v>44630</v>
      </c>
      <c r="J141" s="106">
        <v>61.4</v>
      </c>
      <c r="K141" s="1">
        <v>25.8</v>
      </c>
      <c r="L141" s="1">
        <v>3982</v>
      </c>
      <c r="M141" s="1">
        <v>1663</v>
      </c>
      <c r="N141" s="1">
        <v>43</v>
      </c>
      <c r="O141" s="1">
        <v>2808</v>
      </c>
      <c r="P141" s="1">
        <v>17</v>
      </c>
      <c r="Q141" s="1">
        <v>1112</v>
      </c>
      <c r="R141" s="1">
        <v>2.5</v>
      </c>
      <c r="S141" s="1">
        <v>11.6</v>
      </c>
      <c r="T141" s="1">
        <v>746</v>
      </c>
      <c r="U141" s="1"/>
    </row>
    <row r="142" spans="1:21" ht="16">
      <c r="A142" s="1" t="s">
        <v>597</v>
      </c>
      <c r="B142" s="1">
        <v>22108084</v>
      </c>
      <c r="C142" s="1" t="s">
        <v>598</v>
      </c>
      <c r="D142" s="5">
        <v>44642</v>
      </c>
      <c r="E142" s="5">
        <v>44565</v>
      </c>
      <c r="F142" s="1"/>
      <c r="G142" s="5">
        <v>44566</v>
      </c>
      <c r="H142" s="106">
        <v>17.2</v>
      </c>
      <c r="I142" s="5">
        <v>44558</v>
      </c>
      <c r="J142" s="106">
        <v>64</v>
      </c>
      <c r="K142" s="1">
        <v>30.6</v>
      </c>
      <c r="L142" s="1">
        <v>4235</v>
      </c>
      <c r="M142" s="1">
        <v>1991</v>
      </c>
      <c r="N142" s="1">
        <v>50.2</v>
      </c>
      <c r="O142" s="1">
        <v>3367</v>
      </c>
      <c r="P142" s="1">
        <v>13.1</v>
      </c>
      <c r="Q142" s="1">
        <v>881</v>
      </c>
      <c r="R142" s="1">
        <v>3.8</v>
      </c>
      <c r="S142" s="1">
        <v>5</v>
      </c>
      <c r="T142" s="1">
        <v>327</v>
      </c>
      <c r="U142" s="1"/>
    </row>
    <row r="143" spans="1:21" ht="16">
      <c r="A143" s="1" t="s">
        <v>601</v>
      </c>
      <c r="B143" s="1">
        <v>22107115</v>
      </c>
      <c r="C143" s="1" t="s">
        <v>602</v>
      </c>
      <c r="D143" s="5">
        <v>44579</v>
      </c>
      <c r="E143" s="5">
        <v>44554</v>
      </c>
      <c r="F143" s="1"/>
      <c r="G143" s="5">
        <v>44557</v>
      </c>
      <c r="H143" s="106">
        <v>10.199999999999999</v>
      </c>
      <c r="I143" s="5">
        <v>44551</v>
      </c>
      <c r="J143" s="106">
        <v>49.5</v>
      </c>
      <c r="K143" s="1">
        <v>33.1</v>
      </c>
      <c r="L143" s="1">
        <v>2081</v>
      </c>
      <c r="M143" s="1">
        <v>1398</v>
      </c>
      <c r="N143" s="1">
        <v>31.9</v>
      </c>
      <c r="O143" s="1">
        <v>1332</v>
      </c>
      <c r="P143" s="1">
        <v>15.8</v>
      </c>
      <c r="Q143" s="1">
        <v>661</v>
      </c>
      <c r="R143" s="1">
        <v>2</v>
      </c>
      <c r="S143" s="1">
        <v>16.5</v>
      </c>
      <c r="T143" s="1">
        <v>698</v>
      </c>
      <c r="U143" s="1"/>
    </row>
    <row r="144" spans="1:21" ht="16">
      <c r="A144" s="1" t="s">
        <v>604</v>
      </c>
      <c r="B144" s="1">
        <v>22106626</v>
      </c>
      <c r="C144" s="1" t="s">
        <v>605</v>
      </c>
      <c r="D144" s="5">
        <v>44587</v>
      </c>
      <c r="E144" s="5">
        <v>44565</v>
      </c>
      <c r="F144" s="1"/>
      <c r="G144" s="5">
        <v>44566</v>
      </c>
      <c r="H144" s="106">
        <v>13.3</v>
      </c>
      <c r="I144" s="5">
        <v>44559</v>
      </c>
      <c r="J144" s="106">
        <v>65.599999999999994</v>
      </c>
      <c r="K144" s="1">
        <v>25.4</v>
      </c>
      <c r="L144" s="1">
        <v>3882</v>
      </c>
      <c r="M144" s="1">
        <v>1462</v>
      </c>
      <c r="N144" s="1">
        <v>21.9</v>
      </c>
      <c r="O144" s="1">
        <v>1330</v>
      </c>
      <c r="P144" s="1">
        <v>42.1</v>
      </c>
      <c r="Q144" s="1">
        <v>2564</v>
      </c>
      <c r="R144" s="1">
        <v>0.5</v>
      </c>
      <c r="S144" s="1">
        <v>6.7</v>
      </c>
      <c r="T144" s="1">
        <v>383</v>
      </c>
      <c r="U144" s="1"/>
    </row>
    <row r="145" spans="1:21" ht="16">
      <c r="A145" s="1" t="s">
        <v>608</v>
      </c>
      <c r="B145" s="1">
        <v>22109189</v>
      </c>
      <c r="C145" s="1" t="s">
        <v>609</v>
      </c>
      <c r="D145" s="5">
        <v>44690</v>
      </c>
      <c r="E145" s="5">
        <v>44680</v>
      </c>
      <c r="F145" s="5">
        <v>44684</v>
      </c>
      <c r="G145" s="5">
        <v>44684</v>
      </c>
      <c r="H145" s="106">
        <v>2.17</v>
      </c>
      <c r="I145" s="5">
        <v>44678</v>
      </c>
      <c r="J145" s="106">
        <v>54.2</v>
      </c>
      <c r="K145" s="1">
        <v>31.4</v>
      </c>
      <c r="L145" s="1">
        <v>2979</v>
      </c>
      <c r="M145" s="1">
        <v>1732</v>
      </c>
      <c r="N145" s="1">
        <v>33.4</v>
      </c>
      <c r="O145" s="1">
        <v>1825</v>
      </c>
      <c r="P145" s="1">
        <v>21</v>
      </c>
      <c r="Q145" s="1">
        <v>1145</v>
      </c>
      <c r="R145" s="1">
        <v>1.3</v>
      </c>
      <c r="S145" s="1">
        <v>13</v>
      </c>
      <c r="T145" s="1">
        <v>718</v>
      </c>
      <c r="U145" s="1"/>
    </row>
    <row r="146" spans="1:21" ht="16">
      <c r="A146" s="1" t="s">
        <v>611</v>
      </c>
      <c r="B146" s="1">
        <v>22109134</v>
      </c>
      <c r="C146" s="1" t="s">
        <v>612</v>
      </c>
      <c r="D146" s="5">
        <v>44785</v>
      </c>
      <c r="E146" s="5">
        <v>44743</v>
      </c>
      <c r="F146" s="5">
        <v>44747</v>
      </c>
      <c r="G146" s="5">
        <v>44746</v>
      </c>
      <c r="H146" s="106">
        <v>28.2</v>
      </c>
      <c r="I146" s="5">
        <v>44740</v>
      </c>
      <c r="J146" s="106">
        <v>71.599999999999994</v>
      </c>
      <c r="K146" s="1">
        <v>22.5</v>
      </c>
      <c r="L146" s="1">
        <v>4087</v>
      </c>
      <c r="M146" s="1">
        <v>1277</v>
      </c>
      <c r="N146" s="1">
        <v>48.7</v>
      </c>
      <c r="O146" s="1">
        <v>2798</v>
      </c>
      <c r="P146" s="1">
        <v>18.7</v>
      </c>
      <c r="Q146" s="1">
        <v>1074</v>
      </c>
      <c r="R146" s="1">
        <v>2.6</v>
      </c>
      <c r="S146" s="1">
        <v>4.5</v>
      </c>
      <c r="T146" s="1">
        <v>257</v>
      </c>
      <c r="U146" s="1"/>
    </row>
    <row r="147" spans="1:21" s="114" customFormat="1" ht="16">
      <c r="A147" s="112" t="s">
        <v>615</v>
      </c>
      <c r="B147" s="112">
        <v>22101864</v>
      </c>
      <c r="C147" s="112" t="s">
        <v>616</v>
      </c>
      <c r="D147" s="112"/>
      <c r="E147" s="112"/>
      <c r="F147" s="112"/>
      <c r="G147" s="112"/>
      <c r="H147" s="113"/>
      <c r="I147" s="112"/>
      <c r="J147" s="113"/>
      <c r="K147" s="112"/>
      <c r="L147" s="112"/>
      <c r="M147" s="112"/>
      <c r="N147" s="112"/>
      <c r="O147" s="112"/>
      <c r="P147" s="112"/>
      <c r="Q147" s="112"/>
      <c r="R147" s="112"/>
      <c r="S147" s="112"/>
      <c r="T147" s="112"/>
      <c r="U147" s="112"/>
    </row>
    <row r="148" spans="1:21" s="114" customFormat="1" ht="16">
      <c r="A148" s="112" t="s">
        <v>619</v>
      </c>
      <c r="B148" s="112">
        <v>22101865</v>
      </c>
      <c r="C148" s="112" t="s">
        <v>620</v>
      </c>
      <c r="D148" s="112"/>
      <c r="E148" s="112"/>
      <c r="F148" s="112"/>
      <c r="G148" s="112"/>
      <c r="H148" s="113"/>
      <c r="I148" s="112"/>
      <c r="J148" s="113"/>
      <c r="K148" s="112"/>
      <c r="L148" s="112"/>
      <c r="M148" s="112"/>
      <c r="N148" s="112"/>
      <c r="O148" s="112"/>
      <c r="P148" s="112"/>
      <c r="Q148" s="112"/>
      <c r="R148" s="112"/>
      <c r="S148" s="112"/>
      <c r="T148" s="112"/>
      <c r="U148" s="112"/>
    </row>
    <row r="149" spans="1:21" ht="16">
      <c r="A149" s="1" t="s">
        <v>622</v>
      </c>
      <c r="B149" s="1">
        <v>22107821</v>
      </c>
      <c r="C149" s="1" t="s">
        <v>623</v>
      </c>
      <c r="D149" s="5">
        <v>44785</v>
      </c>
      <c r="E149" s="5">
        <v>44614</v>
      </c>
      <c r="F149" s="1"/>
      <c r="G149" s="5">
        <v>44615</v>
      </c>
      <c r="H149" s="106">
        <v>9.26</v>
      </c>
      <c r="I149" s="5">
        <v>44613</v>
      </c>
      <c r="J149" s="106">
        <v>62.9</v>
      </c>
      <c r="K149" s="1">
        <v>22.4</v>
      </c>
      <c r="L149" s="1">
        <v>3941</v>
      </c>
      <c r="M149" s="1">
        <v>1391</v>
      </c>
      <c r="N149" s="1">
        <v>37.299999999999997</v>
      </c>
      <c r="O149" s="1">
        <v>2357</v>
      </c>
      <c r="P149" s="1">
        <v>23.8</v>
      </c>
      <c r="Q149" s="1">
        <v>1505</v>
      </c>
      <c r="R149" s="1">
        <v>1.6</v>
      </c>
      <c r="S149" s="1">
        <v>13.4</v>
      </c>
      <c r="T149" s="1">
        <v>830</v>
      </c>
      <c r="U149" s="1"/>
    </row>
    <row r="150" spans="1:21" ht="16">
      <c r="A150" s="1" t="s">
        <v>626</v>
      </c>
      <c r="B150" s="1">
        <v>22109239</v>
      </c>
      <c r="C150" s="1" t="s">
        <v>627</v>
      </c>
      <c r="D150" s="5">
        <v>44698</v>
      </c>
      <c r="E150" s="5">
        <v>44687</v>
      </c>
      <c r="F150" s="5">
        <v>44691</v>
      </c>
      <c r="G150" s="5">
        <v>44690</v>
      </c>
      <c r="H150" s="106">
        <v>55.5</v>
      </c>
      <c r="I150" s="5">
        <v>44686</v>
      </c>
      <c r="J150" s="106">
        <v>65.599999999999994</v>
      </c>
      <c r="K150" s="1">
        <v>28.2</v>
      </c>
      <c r="L150" s="1">
        <v>5469</v>
      </c>
      <c r="M150" s="1">
        <v>2347</v>
      </c>
      <c r="N150" s="1">
        <v>42.9</v>
      </c>
      <c r="O150" s="1">
        <v>3580</v>
      </c>
      <c r="P150" s="1">
        <v>19.7</v>
      </c>
      <c r="Q150" s="1">
        <v>1946</v>
      </c>
      <c r="R150" s="1">
        <v>2.2000000000000002</v>
      </c>
      <c r="S150" s="1">
        <v>3.7</v>
      </c>
      <c r="T150" s="1">
        <v>312</v>
      </c>
      <c r="U150" s="1"/>
    </row>
    <row r="151" spans="1:21" ht="16">
      <c r="A151" s="1" t="s">
        <v>630</v>
      </c>
      <c r="B151" s="1">
        <v>22107774</v>
      </c>
      <c r="C151" s="14" t="s">
        <v>2425</v>
      </c>
      <c r="D151" s="5">
        <v>44621</v>
      </c>
      <c r="E151" s="5">
        <v>44568</v>
      </c>
      <c r="F151" s="1"/>
      <c r="G151" s="5">
        <v>44571</v>
      </c>
      <c r="H151" s="106">
        <v>10.7</v>
      </c>
      <c r="I151" s="5">
        <v>44565</v>
      </c>
      <c r="J151" s="106">
        <v>62</v>
      </c>
      <c r="K151" s="1">
        <v>22.4</v>
      </c>
      <c r="L151" s="1">
        <v>5496</v>
      </c>
      <c r="M151" s="1">
        <v>2005</v>
      </c>
      <c r="N151" s="1">
        <v>33.4</v>
      </c>
      <c r="O151" s="1">
        <v>2922</v>
      </c>
      <c r="P151" s="1">
        <v>26.4</v>
      </c>
      <c r="Q151" s="1">
        <v>2309</v>
      </c>
      <c r="R151" s="1">
        <v>1.3</v>
      </c>
      <c r="S151" s="1">
        <v>13.6</v>
      </c>
      <c r="T151" s="1">
        <v>1222</v>
      </c>
      <c r="U151" s="1"/>
    </row>
    <row r="152" spans="1:21" ht="16">
      <c r="A152" s="1" t="s">
        <v>633</v>
      </c>
      <c r="B152" s="1">
        <v>22109051</v>
      </c>
      <c r="C152" s="1" t="s">
        <v>634</v>
      </c>
      <c r="D152" s="5">
        <v>44739</v>
      </c>
      <c r="E152" s="5">
        <v>44726</v>
      </c>
      <c r="F152" s="5">
        <v>44729</v>
      </c>
      <c r="G152" s="5">
        <v>44727</v>
      </c>
      <c r="H152" s="106">
        <v>19.5</v>
      </c>
      <c r="I152" s="5">
        <v>44722</v>
      </c>
      <c r="J152" s="106">
        <v>54.4</v>
      </c>
      <c r="K152" s="1">
        <v>31.6</v>
      </c>
      <c r="L152" s="1">
        <v>5104</v>
      </c>
      <c r="M152" s="1">
        <v>2921</v>
      </c>
      <c r="N152" s="1">
        <v>40</v>
      </c>
      <c r="O152" s="1">
        <v>3813</v>
      </c>
      <c r="P152" s="1">
        <v>12.2</v>
      </c>
      <c r="Q152" s="1">
        <v>1159</v>
      </c>
      <c r="R152" s="1">
        <v>3.3</v>
      </c>
      <c r="S152" s="1">
        <v>12.2</v>
      </c>
      <c r="T152" s="1">
        <v>1130</v>
      </c>
      <c r="U152" s="1"/>
    </row>
    <row r="153" spans="1:21" ht="16">
      <c r="A153" s="1" t="s">
        <v>636</v>
      </c>
      <c r="B153" s="1">
        <v>22109052</v>
      </c>
      <c r="C153" s="1" t="s">
        <v>637</v>
      </c>
      <c r="D153" s="5">
        <v>44739</v>
      </c>
      <c r="E153" s="5">
        <v>44726</v>
      </c>
      <c r="F153" s="5">
        <v>44729</v>
      </c>
      <c r="G153" s="5">
        <v>44727</v>
      </c>
      <c r="H153" s="106">
        <v>28.3</v>
      </c>
      <c r="I153" s="5">
        <v>44722</v>
      </c>
      <c r="J153" s="106">
        <v>63.8</v>
      </c>
      <c r="K153" s="1">
        <v>29.2</v>
      </c>
      <c r="L153" s="1">
        <v>2115</v>
      </c>
      <c r="M153" s="1">
        <v>981</v>
      </c>
      <c r="N153" s="1">
        <v>41.5</v>
      </c>
      <c r="O153" s="1">
        <v>1356</v>
      </c>
      <c r="P153" s="1">
        <v>19</v>
      </c>
      <c r="Q153" s="1">
        <v>621</v>
      </c>
      <c r="R153" s="1">
        <v>2.2000000000000002</v>
      </c>
      <c r="S153" s="1">
        <v>5.2</v>
      </c>
      <c r="T153" s="1">
        <v>175</v>
      </c>
      <c r="U153" s="1"/>
    </row>
    <row r="154" spans="1:21" s="114" customFormat="1" ht="16">
      <c r="A154" s="112" t="s">
        <v>638</v>
      </c>
      <c r="B154" s="112">
        <v>22100387</v>
      </c>
      <c r="C154" s="112" t="s">
        <v>639</v>
      </c>
      <c r="D154" s="112"/>
      <c r="E154" s="112"/>
      <c r="F154" s="112"/>
      <c r="G154" s="112"/>
      <c r="H154" s="113"/>
      <c r="I154" s="112"/>
      <c r="J154" s="113"/>
      <c r="K154" s="112"/>
      <c r="L154" s="112"/>
      <c r="M154" s="112"/>
      <c r="N154" s="112"/>
      <c r="O154" s="112"/>
      <c r="P154" s="112"/>
      <c r="Q154" s="112"/>
      <c r="R154" s="112"/>
      <c r="S154" s="112"/>
      <c r="T154" s="112"/>
      <c r="U154" s="112"/>
    </row>
    <row r="155" spans="1:21" ht="16">
      <c r="A155" s="1" t="s">
        <v>642</v>
      </c>
      <c r="B155" s="1">
        <v>22108829</v>
      </c>
      <c r="C155" s="1" t="s">
        <v>643</v>
      </c>
      <c r="D155" s="5">
        <v>44719</v>
      </c>
      <c r="E155" s="5">
        <v>44694</v>
      </c>
      <c r="F155" s="5">
        <v>44698</v>
      </c>
      <c r="G155" s="5">
        <v>44697</v>
      </c>
      <c r="H155" s="106">
        <v>2.92</v>
      </c>
      <c r="I155" s="5">
        <v>44693</v>
      </c>
      <c r="J155" s="106">
        <v>58.2</v>
      </c>
      <c r="K155" s="1">
        <v>23.9</v>
      </c>
      <c r="L155" s="1">
        <v>4534</v>
      </c>
      <c r="M155" s="1">
        <v>1860</v>
      </c>
      <c r="N155" s="1">
        <v>38.299999999999997</v>
      </c>
      <c r="O155" s="1">
        <v>2983</v>
      </c>
      <c r="P155" s="1">
        <v>17.2</v>
      </c>
      <c r="Q155" s="1">
        <v>1337</v>
      </c>
      <c r="R155" s="1">
        <v>2.2000000000000002</v>
      </c>
      <c r="S155" s="1">
        <v>15.7</v>
      </c>
      <c r="T155" s="1">
        <v>1224</v>
      </c>
      <c r="U155" s="1"/>
    </row>
    <row r="156" spans="1:21" s="127" customFormat="1" ht="16">
      <c r="A156" s="123" t="s">
        <v>645</v>
      </c>
      <c r="B156" s="123">
        <v>4998631</v>
      </c>
      <c r="C156" s="123" t="s">
        <v>646</v>
      </c>
      <c r="D156" s="123"/>
      <c r="E156" s="125"/>
      <c r="F156" s="125"/>
      <c r="G156" s="125"/>
      <c r="H156" s="126"/>
      <c r="I156" s="125"/>
      <c r="J156" s="126"/>
      <c r="K156" s="125"/>
      <c r="L156" s="125"/>
      <c r="M156" s="125"/>
      <c r="N156" s="125"/>
      <c r="O156" s="125"/>
      <c r="P156" s="125"/>
      <c r="Q156" s="125"/>
      <c r="R156" s="125"/>
      <c r="S156" s="125"/>
      <c r="T156" s="125"/>
      <c r="U156" s="125"/>
    </row>
    <row r="157" spans="1:21" ht="16">
      <c r="A157" s="1" t="s">
        <v>649</v>
      </c>
      <c r="B157" s="1">
        <v>22106106</v>
      </c>
      <c r="C157" s="1" t="s">
        <v>650</v>
      </c>
      <c r="D157" s="5">
        <v>44630</v>
      </c>
      <c r="E157" s="5">
        <v>44582</v>
      </c>
      <c r="F157" s="1"/>
      <c r="G157" s="5">
        <v>44585</v>
      </c>
      <c r="H157" s="106">
        <v>35.200000000000003</v>
      </c>
      <c r="I157" s="5">
        <v>44580</v>
      </c>
      <c r="J157" s="106">
        <v>56.9</v>
      </c>
      <c r="K157" s="1">
        <v>34.1</v>
      </c>
      <c r="L157" s="1">
        <v>4934</v>
      </c>
      <c r="M157" s="1">
        <v>3071</v>
      </c>
      <c r="N157" s="1">
        <v>36</v>
      </c>
      <c r="O157" s="1">
        <v>3011</v>
      </c>
      <c r="P157" s="1">
        <v>18.399999999999999</v>
      </c>
      <c r="Q157" s="1">
        <v>1541</v>
      </c>
      <c r="R157" s="1">
        <v>1.9</v>
      </c>
      <c r="S157" s="1">
        <v>8.5</v>
      </c>
      <c r="T157" s="1">
        <v>763</v>
      </c>
      <c r="U157" s="1"/>
    </row>
    <row r="158" spans="1:21" ht="16">
      <c r="A158" s="1" t="s">
        <v>652</v>
      </c>
      <c r="B158" s="1">
        <v>22106107</v>
      </c>
      <c r="C158" s="1" t="s">
        <v>653</v>
      </c>
      <c r="D158" s="5">
        <v>44630</v>
      </c>
      <c r="E158" s="5">
        <v>44582</v>
      </c>
      <c r="F158" s="1"/>
      <c r="G158" s="5">
        <v>44585</v>
      </c>
      <c r="H158" s="106">
        <v>88.7</v>
      </c>
      <c r="I158" s="5">
        <v>44580</v>
      </c>
      <c r="J158" s="106">
        <v>70.900000000000006</v>
      </c>
      <c r="K158" s="1">
        <v>18.2</v>
      </c>
      <c r="L158" s="1">
        <v>4911</v>
      </c>
      <c r="M158" s="1">
        <v>1242</v>
      </c>
      <c r="N158" s="1">
        <v>48.8</v>
      </c>
      <c r="O158" s="1">
        <v>3429</v>
      </c>
      <c r="P158" s="1">
        <v>17.100000000000001</v>
      </c>
      <c r="Q158" s="1">
        <v>1201</v>
      </c>
      <c r="R158" s="1">
        <v>2.9</v>
      </c>
      <c r="S158" s="1">
        <v>9.4</v>
      </c>
      <c r="T158" s="1">
        <v>640</v>
      </c>
      <c r="U158" s="1"/>
    </row>
    <row r="159" spans="1:21" ht="16">
      <c r="A159" s="1" t="s">
        <v>655</v>
      </c>
      <c r="B159" s="1">
        <v>22107905</v>
      </c>
      <c r="C159" s="1" t="s">
        <v>656</v>
      </c>
      <c r="D159" s="5">
        <v>44607</v>
      </c>
      <c r="E159" s="5">
        <v>44582</v>
      </c>
      <c r="F159" s="1"/>
      <c r="G159" s="5">
        <v>44585</v>
      </c>
      <c r="H159" s="106">
        <v>32</v>
      </c>
      <c r="I159" s="5">
        <v>44580</v>
      </c>
      <c r="J159" s="106">
        <v>59.7</v>
      </c>
      <c r="K159" s="1">
        <v>32.200000000000003</v>
      </c>
      <c r="L159" s="1">
        <v>3393</v>
      </c>
      <c r="M159" s="1">
        <v>1828</v>
      </c>
      <c r="N159" s="1">
        <v>39.9</v>
      </c>
      <c r="O159" s="1">
        <v>2272</v>
      </c>
      <c r="P159" s="1">
        <v>16.5</v>
      </c>
      <c r="Q159" s="1">
        <v>939</v>
      </c>
      <c r="R159" s="1">
        <v>2.4</v>
      </c>
      <c r="S159" s="1">
        <v>7</v>
      </c>
      <c r="T159" s="1">
        <v>397</v>
      </c>
      <c r="U159" s="1"/>
    </row>
    <row r="160" spans="1:21" ht="16">
      <c r="A160" s="1" t="s">
        <v>660</v>
      </c>
      <c r="B160" s="1">
        <v>22105736</v>
      </c>
      <c r="C160" s="1" t="s">
        <v>846</v>
      </c>
      <c r="D160" s="5">
        <v>44607</v>
      </c>
      <c r="E160" s="5">
        <v>44589</v>
      </c>
      <c r="F160" s="1"/>
      <c r="G160" s="5">
        <v>44599</v>
      </c>
      <c r="H160" s="106">
        <v>10.9</v>
      </c>
      <c r="I160" s="5">
        <v>44586</v>
      </c>
      <c r="J160" s="106">
        <v>68.400000000000006</v>
      </c>
      <c r="K160" s="1">
        <v>22.1</v>
      </c>
      <c r="L160" s="1">
        <v>2468</v>
      </c>
      <c r="M160" s="1">
        <v>789</v>
      </c>
      <c r="N160" s="1">
        <v>41.7</v>
      </c>
      <c r="O160" s="1">
        <v>1518</v>
      </c>
      <c r="P160" s="1">
        <v>22.1</v>
      </c>
      <c r="Q160" s="1">
        <v>807</v>
      </c>
      <c r="R160" s="1">
        <v>1.9</v>
      </c>
      <c r="S160" s="1">
        <v>7.6</v>
      </c>
      <c r="T160" s="1">
        <v>271</v>
      </c>
      <c r="U160" s="1"/>
    </row>
    <row r="161" spans="1:21" ht="16">
      <c r="A161" s="1" t="s">
        <v>664</v>
      </c>
      <c r="B161" s="1">
        <v>22105737</v>
      </c>
      <c r="C161" s="1" t="s">
        <v>665</v>
      </c>
      <c r="D161" s="5">
        <v>44607</v>
      </c>
      <c r="E161" s="5">
        <v>44589</v>
      </c>
      <c r="F161" s="1"/>
      <c r="G161" s="5">
        <v>44599</v>
      </c>
      <c r="H161" s="106">
        <v>21.2</v>
      </c>
      <c r="I161" s="5">
        <v>44586</v>
      </c>
      <c r="J161" s="106">
        <v>65.900000000000006</v>
      </c>
      <c r="K161" s="1">
        <v>25.3</v>
      </c>
      <c r="L161" s="1">
        <v>3083</v>
      </c>
      <c r="M161" s="1">
        <v>1180</v>
      </c>
      <c r="N161" s="1">
        <v>50.1</v>
      </c>
      <c r="O161" s="1">
        <v>2347</v>
      </c>
      <c r="P161" s="1">
        <v>13.2</v>
      </c>
      <c r="Q161" s="1">
        <v>617</v>
      </c>
      <c r="R161" s="1">
        <v>3.8</v>
      </c>
      <c r="S161" s="1">
        <v>6.9</v>
      </c>
      <c r="T161" s="1">
        <v>322</v>
      </c>
      <c r="U161" s="1"/>
    </row>
    <row r="162" spans="1:21" s="127" customFormat="1" ht="16">
      <c r="A162" s="125" t="s">
        <v>667</v>
      </c>
      <c r="B162" s="125">
        <v>22107737</v>
      </c>
      <c r="C162" s="125" t="s">
        <v>668</v>
      </c>
      <c r="D162" s="125"/>
      <c r="E162" s="125"/>
      <c r="F162" s="125"/>
      <c r="G162" s="125"/>
      <c r="H162" s="126"/>
      <c r="I162" s="125"/>
      <c r="J162" s="126"/>
      <c r="K162" s="125"/>
      <c r="L162" s="125"/>
      <c r="M162" s="125"/>
      <c r="N162" s="125"/>
      <c r="O162" s="125"/>
      <c r="P162" s="125"/>
      <c r="Q162" s="125"/>
      <c r="R162" s="125"/>
      <c r="S162" s="125"/>
      <c r="T162" s="125"/>
      <c r="U162" s="125"/>
    </row>
    <row r="163" spans="1:21" ht="16">
      <c r="A163" s="1" t="s">
        <v>670</v>
      </c>
      <c r="B163" s="1">
        <v>22107854</v>
      </c>
      <c r="C163" s="1" t="s">
        <v>671</v>
      </c>
      <c r="D163" s="5">
        <v>44582</v>
      </c>
      <c r="E163" s="5">
        <v>44551</v>
      </c>
      <c r="F163" s="1"/>
      <c r="G163" s="5">
        <v>44552</v>
      </c>
      <c r="H163" s="106">
        <v>25</v>
      </c>
      <c r="I163" s="5">
        <v>44547</v>
      </c>
      <c r="J163" s="106">
        <v>74.7</v>
      </c>
      <c r="K163" s="1">
        <v>16.2</v>
      </c>
      <c r="L163" s="1">
        <v>4047</v>
      </c>
      <c r="M163" s="1">
        <v>872</v>
      </c>
      <c r="N163" s="1">
        <v>58.7</v>
      </c>
      <c r="O163" s="1">
        <v>3208</v>
      </c>
      <c r="P163" s="1">
        <v>14.9</v>
      </c>
      <c r="Q163" s="1">
        <v>815</v>
      </c>
      <c r="R163" s="1">
        <v>3.9</v>
      </c>
      <c r="S163" s="1">
        <v>6.23</v>
      </c>
      <c r="T163" s="1">
        <v>335</v>
      </c>
      <c r="U163" s="1"/>
    </row>
    <row r="164" spans="1:21" s="114" customFormat="1" ht="16">
      <c r="A164" s="112" t="s">
        <v>673</v>
      </c>
      <c r="B164" s="112">
        <v>22101304</v>
      </c>
      <c r="C164" s="112" t="s">
        <v>674</v>
      </c>
      <c r="D164" s="112"/>
      <c r="E164" s="112"/>
      <c r="F164" s="112"/>
      <c r="G164" s="112"/>
      <c r="H164" s="113"/>
      <c r="I164" s="112"/>
      <c r="J164" s="113"/>
      <c r="K164" s="112"/>
      <c r="L164" s="112"/>
      <c r="M164" s="112"/>
      <c r="N164" s="112"/>
      <c r="O164" s="112"/>
      <c r="P164" s="112"/>
      <c r="Q164" s="112"/>
      <c r="R164" s="112"/>
      <c r="S164" s="112"/>
      <c r="T164" s="112"/>
      <c r="U164" s="112"/>
    </row>
    <row r="165" spans="1:21" s="110" customFormat="1" ht="16">
      <c r="A165" s="107" t="s">
        <v>677</v>
      </c>
      <c r="B165" s="107">
        <v>22109289</v>
      </c>
      <c r="C165" s="107" t="s">
        <v>678</v>
      </c>
      <c r="D165" s="107"/>
      <c r="E165" s="107"/>
      <c r="F165" s="107"/>
      <c r="G165" s="107"/>
      <c r="H165" s="109"/>
      <c r="I165" s="107"/>
      <c r="J165" s="109"/>
      <c r="K165" s="107"/>
      <c r="L165" s="107"/>
      <c r="M165" s="107"/>
      <c r="N165" s="107"/>
      <c r="O165" s="107"/>
      <c r="P165" s="107"/>
      <c r="Q165" s="107"/>
      <c r="R165" s="107"/>
      <c r="S165" s="107"/>
      <c r="T165" s="107"/>
      <c r="U165" s="107"/>
    </row>
    <row r="166" spans="1:21" s="110" customFormat="1" ht="16">
      <c r="A166" s="107" t="s">
        <v>681</v>
      </c>
      <c r="B166" s="107">
        <v>22109290</v>
      </c>
      <c r="C166" s="107" t="s">
        <v>682</v>
      </c>
      <c r="D166" s="107"/>
      <c r="E166" s="107"/>
      <c r="F166" s="107"/>
      <c r="G166" s="107"/>
      <c r="H166" s="109"/>
      <c r="I166" s="107"/>
      <c r="J166" s="109"/>
      <c r="K166" s="107"/>
      <c r="L166" s="107"/>
      <c r="M166" s="107"/>
      <c r="N166" s="107"/>
      <c r="O166" s="107"/>
      <c r="P166" s="107"/>
      <c r="Q166" s="107"/>
      <c r="R166" s="107"/>
      <c r="S166" s="107"/>
      <c r="T166" s="107"/>
      <c r="U166" s="107"/>
    </row>
    <row r="167" spans="1:21" ht="16">
      <c r="A167" s="1" t="s">
        <v>683</v>
      </c>
      <c r="B167" s="1">
        <v>22108656</v>
      </c>
      <c r="C167" s="1" t="s">
        <v>684</v>
      </c>
      <c r="D167" s="5">
        <v>44617</v>
      </c>
      <c r="E167" s="5">
        <v>44607</v>
      </c>
      <c r="F167" s="1"/>
      <c r="G167" s="5">
        <v>44608</v>
      </c>
      <c r="H167" s="106">
        <v>8.2799999999999994</v>
      </c>
      <c r="I167" s="5">
        <v>44603</v>
      </c>
      <c r="J167" s="106">
        <v>65.599999999999994</v>
      </c>
      <c r="K167" s="1">
        <v>23</v>
      </c>
      <c r="L167" s="1">
        <v>3343</v>
      </c>
      <c r="M167" s="1">
        <v>1160</v>
      </c>
      <c r="N167" s="1">
        <v>39.9</v>
      </c>
      <c r="O167" s="1">
        <v>2052</v>
      </c>
      <c r="P167" s="1">
        <v>23.4</v>
      </c>
      <c r="Q167" s="1">
        <v>1206</v>
      </c>
      <c r="R167" s="1">
        <v>1.7</v>
      </c>
      <c r="S167" s="1">
        <v>9</v>
      </c>
      <c r="T167" s="1">
        <v>456</v>
      </c>
      <c r="U167" s="1"/>
    </row>
    <row r="168" spans="1:21" ht="16">
      <c r="A168" s="1" t="s">
        <v>686</v>
      </c>
      <c r="B168" s="1">
        <v>22105237</v>
      </c>
      <c r="C168" s="1" t="s">
        <v>687</v>
      </c>
      <c r="D168" s="5">
        <v>44572</v>
      </c>
      <c r="E168" s="5">
        <v>44568</v>
      </c>
      <c r="F168" s="1"/>
      <c r="G168" s="5">
        <v>44571</v>
      </c>
      <c r="H168" s="106">
        <v>21.9</v>
      </c>
      <c r="I168" s="5">
        <v>44567</v>
      </c>
      <c r="J168" s="106">
        <v>64.400000000000006</v>
      </c>
      <c r="K168" s="1">
        <v>29.2</v>
      </c>
      <c r="L168" s="1">
        <v>2476</v>
      </c>
      <c r="M168" s="1">
        <v>1117</v>
      </c>
      <c r="N168" s="1">
        <v>42</v>
      </c>
      <c r="O168" s="1">
        <v>1628</v>
      </c>
      <c r="P168" s="1">
        <v>17.7</v>
      </c>
      <c r="Q168" s="1">
        <v>686</v>
      </c>
      <c r="R168" s="1">
        <v>2.4</v>
      </c>
      <c r="S168" s="1">
        <v>4.4000000000000004</v>
      </c>
      <c r="T168" s="1">
        <v>168</v>
      </c>
      <c r="U168" s="1"/>
    </row>
    <row r="169" spans="1:21" s="127" customFormat="1" ht="16">
      <c r="A169" s="125" t="s">
        <v>690</v>
      </c>
      <c r="B169" s="125">
        <v>22108457</v>
      </c>
      <c r="C169" s="125" t="s">
        <v>691</v>
      </c>
      <c r="D169" s="125"/>
      <c r="E169" s="125"/>
      <c r="F169" s="125"/>
      <c r="G169" s="125"/>
      <c r="H169" s="126"/>
      <c r="I169" s="125"/>
      <c r="J169" s="126"/>
      <c r="K169" s="125"/>
      <c r="L169" s="125"/>
      <c r="M169" s="125"/>
      <c r="N169" s="125"/>
      <c r="O169" s="125"/>
      <c r="P169" s="125"/>
      <c r="Q169" s="125"/>
      <c r="R169" s="125"/>
      <c r="S169" s="125"/>
      <c r="T169" s="125"/>
      <c r="U169" s="125"/>
    </row>
    <row r="170" spans="1:21" ht="16">
      <c r="A170" s="1" t="s">
        <v>694</v>
      </c>
      <c r="B170" s="1">
        <v>22109237</v>
      </c>
      <c r="C170" s="1" t="s">
        <v>695</v>
      </c>
      <c r="D170" s="5">
        <v>44768</v>
      </c>
      <c r="E170" s="5">
        <v>44694</v>
      </c>
      <c r="F170" s="5">
        <v>44698</v>
      </c>
      <c r="G170" s="5">
        <v>44697</v>
      </c>
      <c r="H170" s="106">
        <v>7.03</v>
      </c>
      <c r="I170" s="5">
        <v>44692</v>
      </c>
      <c r="J170" s="106">
        <v>70.3</v>
      </c>
      <c r="K170" s="1">
        <v>18.600000000000001</v>
      </c>
      <c r="L170" s="1">
        <v>3018</v>
      </c>
      <c r="M170" s="1">
        <v>813</v>
      </c>
      <c r="N170" s="1">
        <v>51.3</v>
      </c>
      <c r="O170" s="1">
        <v>2159</v>
      </c>
      <c r="P170" s="1">
        <v>16.899999999999999</v>
      </c>
      <c r="Q170" s="1">
        <v>709</v>
      </c>
      <c r="R170" s="1">
        <v>3</v>
      </c>
      <c r="S170" s="1">
        <v>9.1999999999999993</v>
      </c>
      <c r="T170" s="1">
        <v>404</v>
      </c>
      <c r="U170" s="1"/>
    </row>
    <row r="171" spans="1:21" ht="16">
      <c r="A171" s="1" t="s">
        <v>699</v>
      </c>
      <c r="B171" s="1">
        <v>22108488</v>
      </c>
      <c r="C171" s="14" t="s">
        <v>2457</v>
      </c>
      <c r="D171" s="5">
        <v>44718</v>
      </c>
      <c r="E171" s="5">
        <v>44701</v>
      </c>
      <c r="F171" s="5">
        <v>44705</v>
      </c>
      <c r="G171" s="5">
        <v>44701</v>
      </c>
      <c r="H171" s="106">
        <v>7.9</v>
      </c>
      <c r="I171" s="5">
        <v>44699</v>
      </c>
      <c r="J171" s="106">
        <v>60.2</v>
      </c>
      <c r="K171" s="1">
        <v>27.7</v>
      </c>
      <c r="L171" s="1">
        <v>4192</v>
      </c>
      <c r="M171" s="1">
        <v>1904</v>
      </c>
      <c r="N171" s="1">
        <v>44.1</v>
      </c>
      <c r="O171" s="1">
        <v>3109</v>
      </c>
      <c r="P171" s="1">
        <v>12</v>
      </c>
      <c r="Q171" s="1">
        <v>846</v>
      </c>
      <c r="R171" s="1">
        <v>3.7</v>
      </c>
      <c r="S171" s="1">
        <v>9.6999999999999993</v>
      </c>
      <c r="T171" s="1">
        <v>664</v>
      </c>
      <c r="U171" s="1"/>
    </row>
    <row r="172" spans="1:21" s="110" customFormat="1" ht="16">
      <c r="A172" s="107" t="s">
        <v>703</v>
      </c>
      <c r="B172" s="107">
        <v>22107816</v>
      </c>
      <c r="C172" s="107" t="s">
        <v>704</v>
      </c>
      <c r="D172" s="108">
        <v>44572</v>
      </c>
      <c r="E172" s="108">
        <v>44568</v>
      </c>
      <c r="F172" s="107"/>
      <c r="G172" s="108">
        <v>44571</v>
      </c>
      <c r="H172" s="109">
        <v>3.07</v>
      </c>
      <c r="I172" s="108">
        <v>44566</v>
      </c>
      <c r="J172" s="109">
        <v>63.9</v>
      </c>
      <c r="K172" s="107">
        <v>22.8</v>
      </c>
      <c r="L172" s="107">
        <v>4491</v>
      </c>
      <c r="M172" s="107">
        <v>1592</v>
      </c>
      <c r="N172" s="107">
        <v>41.8</v>
      </c>
      <c r="O172" s="107">
        <v>2949</v>
      </c>
      <c r="P172" s="107">
        <v>19.399999999999999</v>
      </c>
      <c r="Q172" s="107">
        <v>1372</v>
      </c>
      <c r="R172" s="107">
        <v>2.1</v>
      </c>
      <c r="S172" s="107">
        <v>11.4</v>
      </c>
      <c r="T172" s="107">
        <v>797</v>
      </c>
      <c r="U172" s="107"/>
    </row>
    <row r="173" spans="1:21" ht="16">
      <c r="A173" s="1" t="s">
        <v>707</v>
      </c>
      <c r="B173" s="1">
        <v>22109442</v>
      </c>
      <c r="C173" s="1" t="s">
        <v>708</v>
      </c>
      <c r="D173" s="5">
        <v>44669</v>
      </c>
      <c r="E173" s="5">
        <v>44663</v>
      </c>
      <c r="F173" s="5">
        <v>44670</v>
      </c>
      <c r="G173" s="5">
        <v>44664</v>
      </c>
      <c r="H173" s="106">
        <v>7.59</v>
      </c>
      <c r="I173" s="5">
        <v>44662</v>
      </c>
      <c r="J173" s="106">
        <v>59.5</v>
      </c>
      <c r="K173" s="1">
        <v>29.8</v>
      </c>
      <c r="L173" s="1">
        <v>2695</v>
      </c>
      <c r="M173" s="1">
        <v>1369</v>
      </c>
      <c r="N173" s="1">
        <v>48</v>
      </c>
      <c r="O173" s="1">
        <v>2142</v>
      </c>
      <c r="P173" s="1">
        <v>9.5</v>
      </c>
      <c r="Q173" s="1">
        <v>426</v>
      </c>
      <c r="R173" s="1">
        <v>5</v>
      </c>
      <c r="S173" s="1">
        <v>9.6</v>
      </c>
      <c r="T173" s="1">
        <v>440</v>
      </c>
      <c r="U173" s="1"/>
    </row>
    <row r="174" spans="1:21" ht="16">
      <c r="A174" s="1" t="s">
        <v>711</v>
      </c>
      <c r="B174" s="1">
        <v>22109297</v>
      </c>
      <c r="C174" s="1" t="s">
        <v>712</v>
      </c>
      <c r="D174" s="5">
        <v>44697</v>
      </c>
      <c r="E174" s="5">
        <v>44694</v>
      </c>
      <c r="F174" s="5">
        <v>44698</v>
      </c>
      <c r="G174" s="5">
        <v>44697</v>
      </c>
      <c r="H174" s="106">
        <v>2.17</v>
      </c>
      <c r="I174" s="5">
        <v>44692</v>
      </c>
      <c r="J174" s="106">
        <v>67.8</v>
      </c>
      <c r="K174" s="1">
        <v>25.6</v>
      </c>
      <c r="L174" s="1">
        <v>3679</v>
      </c>
      <c r="M174" s="1">
        <v>1382</v>
      </c>
      <c r="N174" s="1">
        <v>48.6</v>
      </c>
      <c r="O174" s="1">
        <v>2651</v>
      </c>
      <c r="P174" s="1">
        <v>16.8</v>
      </c>
      <c r="Q174" s="1">
        <v>916</v>
      </c>
      <c r="R174" s="1">
        <v>2.9</v>
      </c>
      <c r="S174" s="1">
        <v>4.2</v>
      </c>
      <c r="T174" s="1">
        <v>227</v>
      </c>
      <c r="U174" s="1"/>
    </row>
    <row r="175" spans="1:21" s="114" customFormat="1" ht="16">
      <c r="A175" s="112" t="s">
        <v>714</v>
      </c>
      <c r="B175" s="112">
        <v>22103382</v>
      </c>
      <c r="C175" s="112" t="s">
        <v>715</v>
      </c>
      <c r="D175" s="112"/>
      <c r="E175" s="112"/>
      <c r="F175" s="112"/>
      <c r="G175" s="112"/>
      <c r="H175" s="113"/>
      <c r="I175" s="112"/>
      <c r="J175" s="113"/>
      <c r="K175" s="112"/>
      <c r="L175" s="112"/>
      <c r="M175" s="112"/>
      <c r="N175" s="112"/>
      <c r="O175" s="112"/>
      <c r="P175" s="112"/>
      <c r="Q175" s="112"/>
      <c r="R175" s="112"/>
      <c r="S175" s="112"/>
      <c r="T175" s="112"/>
      <c r="U175" s="112"/>
    </row>
    <row r="176" spans="1:21" s="114" customFormat="1" ht="16">
      <c r="A176" s="112" t="s">
        <v>718</v>
      </c>
      <c r="B176" s="112">
        <v>22103953</v>
      </c>
      <c r="C176" s="112" t="s">
        <v>719</v>
      </c>
      <c r="D176" s="112"/>
      <c r="E176" s="112"/>
      <c r="F176" s="112"/>
      <c r="G176" s="112"/>
      <c r="H176" s="113"/>
      <c r="I176" s="112"/>
      <c r="J176" s="113"/>
      <c r="K176" s="112"/>
      <c r="L176" s="112"/>
      <c r="M176" s="112"/>
      <c r="N176" s="112"/>
      <c r="O176" s="112"/>
      <c r="P176" s="112"/>
      <c r="Q176" s="112"/>
      <c r="R176" s="112"/>
      <c r="S176" s="112"/>
      <c r="T176" s="112"/>
      <c r="U176" s="112"/>
    </row>
    <row r="177" spans="1:21" ht="16">
      <c r="A177" s="1" t="s">
        <v>722</v>
      </c>
      <c r="B177" s="1">
        <v>22109329</v>
      </c>
      <c r="C177" s="1" t="s">
        <v>723</v>
      </c>
      <c r="D177" s="5">
        <v>44740</v>
      </c>
      <c r="E177" s="5">
        <v>44729</v>
      </c>
      <c r="F177" s="5">
        <v>44733</v>
      </c>
      <c r="G177" s="5">
        <v>44732</v>
      </c>
      <c r="H177" s="106">
        <v>54.7</v>
      </c>
      <c r="I177" s="5">
        <v>44726</v>
      </c>
      <c r="J177" s="106">
        <v>68.599999999999994</v>
      </c>
      <c r="K177" s="1">
        <v>24.7</v>
      </c>
      <c r="L177" s="1">
        <v>4502</v>
      </c>
      <c r="M177" s="1">
        <v>1616</v>
      </c>
      <c r="N177" s="1">
        <v>44.5</v>
      </c>
      <c r="O177" s="1">
        <v>2930</v>
      </c>
      <c r="P177" s="1">
        <v>21.5</v>
      </c>
      <c r="Q177" s="1">
        <v>1417</v>
      </c>
      <c r="R177" s="1">
        <v>2.1</v>
      </c>
      <c r="S177" s="1">
        <v>4.8</v>
      </c>
      <c r="T177" s="1">
        <v>310</v>
      </c>
      <c r="U177" s="1"/>
    </row>
    <row r="178" spans="1:21" ht="16">
      <c r="A178" s="1" t="s">
        <v>726</v>
      </c>
      <c r="B178" s="1">
        <v>22108528</v>
      </c>
      <c r="C178" s="1" t="s">
        <v>727</v>
      </c>
      <c r="D178" s="5">
        <v>44629</v>
      </c>
      <c r="E178" s="5">
        <v>44603</v>
      </c>
      <c r="F178" s="1"/>
      <c r="G178" s="5">
        <v>44606</v>
      </c>
      <c r="H178" s="106">
        <v>4.3</v>
      </c>
      <c r="I178" s="5">
        <v>44601</v>
      </c>
      <c r="J178" s="106">
        <v>68</v>
      </c>
      <c r="K178" s="1">
        <v>16.5</v>
      </c>
      <c r="L178" s="1">
        <v>6388</v>
      </c>
      <c r="M178" s="1">
        <v>1510</v>
      </c>
      <c r="N178" s="1">
        <v>49.2</v>
      </c>
      <c r="O178" s="1">
        <v>4753</v>
      </c>
      <c r="P178" s="1">
        <v>16.600000000000001</v>
      </c>
      <c r="Q178" s="1">
        <v>1603</v>
      </c>
      <c r="R178" s="1">
        <v>3</v>
      </c>
      <c r="S178" s="1">
        <v>13.6</v>
      </c>
      <c r="T178" s="1">
        <v>1241</v>
      </c>
      <c r="U178" s="1"/>
    </row>
    <row r="179" spans="1:21" ht="16">
      <c r="A179" s="1" t="s">
        <v>729</v>
      </c>
      <c r="B179" s="1">
        <v>22108317</v>
      </c>
      <c r="C179" s="1" t="s">
        <v>730</v>
      </c>
      <c r="D179" s="5">
        <v>44690</v>
      </c>
      <c r="E179" s="5">
        <v>44680</v>
      </c>
      <c r="F179" s="5">
        <v>44684</v>
      </c>
      <c r="G179" s="5">
        <v>44684</v>
      </c>
      <c r="H179" s="106">
        <v>3.81</v>
      </c>
      <c r="I179" s="5">
        <v>44678</v>
      </c>
      <c r="J179" s="106">
        <v>58.5</v>
      </c>
      <c r="K179" s="1">
        <v>18.3</v>
      </c>
      <c r="L179" s="1">
        <v>3989</v>
      </c>
      <c r="M179" s="1">
        <v>1216</v>
      </c>
      <c r="N179" s="1">
        <v>38.200000000000003</v>
      </c>
      <c r="O179" s="1">
        <v>2675</v>
      </c>
      <c r="P179" s="1">
        <v>16.899999999999999</v>
      </c>
      <c r="Q179" s="1">
        <v>1181</v>
      </c>
      <c r="R179" s="1">
        <v>2.2999999999999998</v>
      </c>
      <c r="S179" s="1">
        <v>19.7</v>
      </c>
      <c r="T179" s="1">
        <v>1310</v>
      </c>
      <c r="U179" s="1"/>
    </row>
    <row r="180" spans="1:21" s="127" customFormat="1" ht="16">
      <c r="A180" s="125" t="s">
        <v>734</v>
      </c>
      <c r="B180" s="125">
        <v>22104263</v>
      </c>
      <c r="C180" s="129" t="s">
        <v>735</v>
      </c>
      <c r="D180" s="125"/>
      <c r="E180" s="125"/>
      <c r="F180" s="125"/>
      <c r="G180" s="125"/>
      <c r="H180" s="126"/>
      <c r="I180" s="125"/>
      <c r="J180" s="126"/>
      <c r="K180" s="125"/>
      <c r="L180" s="125"/>
      <c r="M180" s="125"/>
      <c r="N180" s="125"/>
      <c r="O180" s="125"/>
      <c r="P180" s="125"/>
      <c r="Q180" s="125"/>
      <c r="R180" s="125"/>
      <c r="S180" s="125"/>
      <c r="T180" s="125"/>
      <c r="U180" s="125"/>
    </row>
    <row r="181" spans="1:21" ht="16">
      <c r="A181" s="1" t="s">
        <v>737</v>
      </c>
      <c r="B181" s="1">
        <v>22109759</v>
      </c>
      <c r="C181" s="14" t="s">
        <v>738</v>
      </c>
      <c r="D181" s="5">
        <v>44740</v>
      </c>
      <c r="E181" s="5">
        <v>44729</v>
      </c>
      <c r="F181" s="5">
        <v>44733</v>
      </c>
      <c r="G181" s="5">
        <v>44732</v>
      </c>
      <c r="H181" s="106">
        <v>37.700000000000003</v>
      </c>
      <c r="I181" s="5">
        <v>44727</v>
      </c>
      <c r="J181" s="106">
        <v>62.8</v>
      </c>
      <c r="K181" s="1">
        <v>27.4</v>
      </c>
      <c r="L181" s="1">
        <v>4191</v>
      </c>
      <c r="M181" s="1">
        <v>1788</v>
      </c>
      <c r="N181" s="1">
        <v>33.4</v>
      </c>
      <c r="O181" s="1">
        <v>2283</v>
      </c>
      <c r="P181" s="1">
        <v>27.1</v>
      </c>
      <c r="Q181" s="1">
        <v>1852</v>
      </c>
      <c r="R181" s="1">
        <v>1.2</v>
      </c>
      <c r="S181" s="1">
        <v>7.5</v>
      </c>
      <c r="T181" s="1">
        <v>490</v>
      </c>
      <c r="U181" s="1"/>
    </row>
    <row r="182" spans="1:21" ht="16">
      <c r="A182" s="1" t="s">
        <v>742</v>
      </c>
      <c r="B182" s="1">
        <v>16903095</v>
      </c>
      <c r="C182" s="14" t="s">
        <v>743</v>
      </c>
      <c r="D182" s="5">
        <v>44739</v>
      </c>
      <c r="E182" s="5">
        <v>44722</v>
      </c>
      <c r="F182" s="5">
        <v>44726</v>
      </c>
      <c r="G182" s="5">
        <v>44726</v>
      </c>
      <c r="H182" s="106">
        <v>2.79</v>
      </c>
      <c r="I182" s="5">
        <v>44719</v>
      </c>
      <c r="J182" s="106">
        <v>75.2</v>
      </c>
      <c r="K182" s="1">
        <v>20</v>
      </c>
      <c r="L182" s="1">
        <v>6891</v>
      </c>
      <c r="M182" s="1">
        <v>1861</v>
      </c>
      <c r="N182" s="1">
        <v>48.1</v>
      </c>
      <c r="O182" s="1">
        <v>4353</v>
      </c>
      <c r="P182" s="1">
        <v>25.2</v>
      </c>
      <c r="Q182" s="1">
        <v>2278</v>
      </c>
      <c r="R182" s="1">
        <v>1.9</v>
      </c>
      <c r="S182" s="1">
        <v>3.3</v>
      </c>
      <c r="T182" s="1">
        <v>302</v>
      </c>
      <c r="U182" s="1"/>
    </row>
    <row r="183" spans="1:21" ht="16">
      <c r="A183" s="1" t="s">
        <v>747</v>
      </c>
      <c r="B183" s="1">
        <v>22109538</v>
      </c>
      <c r="C183" s="14" t="s">
        <v>748</v>
      </c>
      <c r="D183" s="5">
        <v>44740</v>
      </c>
      <c r="E183" s="5">
        <v>44733</v>
      </c>
      <c r="F183" s="5">
        <v>44736</v>
      </c>
      <c r="G183" s="5">
        <v>44734</v>
      </c>
      <c r="H183" s="106">
        <v>67</v>
      </c>
      <c r="I183" s="5">
        <v>44733</v>
      </c>
      <c r="J183" s="106">
        <v>63.2</v>
      </c>
      <c r="K183" s="1">
        <v>24.7</v>
      </c>
      <c r="L183" s="1">
        <v>3236</v>
      </c>
      <c r="M183" s="1">
        <v>1260</v>
      </c>
      <c r="N183" s="1">
        <v>48</v>
      </c>
      <c r="O183" s="1">
        <v>2470</v>
      </c>
      <c r="P183" s="1">
        <v>12.7</v>
      </c>
      <c r="Q183" s="1">
        <v>656</v>
      </c>
      <c r="R183" s="1">
        <v>3.8</v>
      </c>
      <c r="S183" s="1">
        <v>10.1</v>
      </c>
      <c r="T183" s="1">
        <v>516</v>
      </c>
      <c r="U183" s="1"/>
    </row>
    <row r="184" spans="1:21" ht="16">
      <c r="A184" s="1" t="s">
        <v>752</v>
      </c>
      <c r="B184" s="1">
        <v>22109793</v>
      </c>
      <c r="C184" s="14" t="s">
        <v>753</v>
      </c>
      <c r="D184" s="5">
        <v>44768</v>
      </c>
      <c r="E184" s="5">
        <v>44743</v>
      </c>
      <c r="F184" s="5">
        <v>44747</v>
      </c>
      <c r="G184" s="5">
        <v>44746</v>
      </c>
      <c r="H184" s="106">
        <v>7.62</v>
      </c>
      <c r="I184" s="5">
        <v>44741</v>
      </c>
      <c r="J184" s="106">
        <v>51</v>
      </c>
      <c r="K184" s="1">
        <v>42.5</v>
      </c>
      <c r="L184" s="1">
        <v>3709</v>
      </c>
      <c r="M184" s="1">
        <v>3058</v>
      </c>
      <c r="N184" s="1">
        <v>28.4</v>
      </c>
      <c r="O184" s="1">
        <v>2084</v>
      </c>
      <c r="P184" s="1">
        <v>19.899999999999999</v>
      </c>
      <c r="Q184" s="1">
        <v>1457</v>
      </c>
      <c r="R184" s="1">
        <v>1.4</v>
      </c>
      <c r="S184" s="1">
        <v>5.4</v>
      </c>
      <c r="T184" s="1">
        <v>388</v>
      </c>
      <c r="U184" s="1"/>
    </row>
    <row r="185" spans="1:21" s="127" customFormat="1" ht="16">
      <c r="A185" s="125" t="s">
        <v>756</v>
      </c>
      <c r="B185" s="125">
        <v>22109501</v>
      </c>
      <c r="C185" s="129" t="s">
        <v>757</v>
      </c>
      <c r="D185" s="125"/>
      <c r="E185" s="125"/>
      <c r="F185" s="125"/>
      <c r="G185" s="125"/>
      <c r="H185" s="126"/>
      <c r="I185" s="125"/>
      <c r="J185" s="126"/>
      <c r="K185" s="125"/>
      <c r="L185" s="125"/>
      <c r="M185" s="125"/>
      <c r="N185" s="125"/>
      <c r="O185" s="125"/>
      <c r="P185" s="125"/>
      <c r="Q185" s="125"/>
      <c r="R185" s="125"/>
      <c r="S185" s="125"/>
      <c r="T185" s="125"/>
      <c r="U185" s="125"/>
    </row>
    <row r="186" spans="1:21" ht="16">
      <c r="A186" s="1" t="s">
        <v>759</v>
      </c>
      <c r="B186" s="1">
        <v>22109705</v>
      </c>
      <c r="C186" s="14" t="s">
        <v>760</v>
      </c>
      <c r="D186" s="5">
        <v>44768</v>
      </c>
      <c r="E186" s="5">
        <v>44761</v>
      </c>
      <c r="F186" s="5">
        <v>44764</v>
      </c>
      <c r="G186" s="5">
        <v>44762</v>
      </c>
      <c r="H186" s="106">
        <v>42.6</v>
      </c>
      <c r="I186" s="5">
        <v>44757</v>
      </c>
      <c r="J186" s="106">
        <v>58.7</v>
      </c>
      <c r="K186" s="1">
        <v>26.4</v>
      </c>
      <c r="L186" s="1">
        <v>6439</v>
      </c>
      <c r="M186" s="1">
        <v>2876</v>
      </c>
      <c r="N186" s="1">
        <v>39.9</v>
      </c>
      <c r="O186" s="1">
        <v>4412</v>
      </c>
      <c r="P186" s="1">
        <v>16.899999999999999</v>
      </c>
      <c r="Q186" s="1">
        <v>1868</v>
      </c>
      <c r="R186" s="1">
        <v>2.4</v>
      </c>
      <c r="S186" s="1">
        <v>13.2</v>
      </c>
      <c r="T186" s="1">
        <v>1439</v>
      </c>
      <c r="U186" s="1"/>
    </row>
    <row r="187" spans="1:21" s="110" customFormat="1" ht="16">
      <c r="A187" s="107" t="s">
        <v>762</v>
      </c>
      <c r="B187" s="107">
        <v>22109441</v>
      </c>
      <c r="C187" s="121" t="s">
        <v>763</v>
      </c>
      <c r="D187" s="108">
        <v>44804</v>
      </c>
      <c r="E187" s="108">
        <v>44796</v>
      </c>
      <c r="F187" s="108">
        <v>44799</v>
      </c>
      <c r="G187" s="108">
        <v>44797</v>
      </c>
      <c r="H187" s="109">
        <v>9.06</v>
      </c>
      <c r="I187" s="108">
        <v>44789</v>
      </c>
      <c r="J187" s="109">
        <v>67.099999999999994</v>
      </c>
      <c r="K187" s="107">
        <v>26.2</v>
      </c>
      <c r="L187" s="107">
        <v>4592</v>
      </c>
      <c r="M187" s="107">
        <v>1791</v>
      </c>
      <c r="N187" s="107">
        <v>48.3</v>
      </c>
      <c r="O187" s="107">
        <v>3307</v>
      </c>
      <c r="P187" s="107">
        <v>16.5</v>
      </c>
      <c r="Q187" s="107">
        <v>1131</v>
      </c>
      <c r="R187" s="107">
        <v>2.9</v>
      </c>
      <c r="S187" s="107">
        <v>5.6</v>
      </c>
      <c r="T187" s="107">
        <v>383</v>
      </c>
      <c r="U187" s="107"/>
    </row>
    <row r="188" spans="1:21" ht="16">
      <c r="A188" s="1" t="s">
        <v>766</v>
      </c>
      <c r="B188" s="1">
        <v>22108398</v>
      </c>
      <c r="C188" s="14" t="s">
        <v>767</v>
      </c>
      <c r="D188" s="5">
        <v>44690</v>
      </c>
      <c r="E188" s="5">
        <v>44680</v>
      </c>
      <c r="F188" s="5">
        <v>44684</v>
      </c>
      <c r="G188" s="5">
        <v>44684</v>
      </c>
      <c r="H188" s="106">
        <v>4.55</v>
      </c>
      <c r="I188" s="5">
        <v>44679</v>
      </c>
      <c r="J188" s="106">
        <v>58.3</v>
      </c>
      <c r="K188" s="1">
        <v>30.4</v>
      </c>
      <c r="L188" s="1">
        <v>4754</v>
      </c>
      <c r="M188" s="1">
        <v>2437</v>
      </c>
      <c r="N188" s="1">
        <v>31.5</v>
      </c>
      <c r="O188" s="1">
        <v>2613</v>
      </c>
      <c r="P188" s="1">
        <v>22.6</v>
      </c>
      <c r="Q188" s="1">
        <v>1878</v>
      </c>
      <c r="R188" s="1">
        <v>1.4</v>
      </c>
      <c r="S188" s="1">
        <v>9</v>
      </c>
      <c r="T188" s="1">
        <v>721</v>
      </c>
      <c r="U188" s="1"/>
    </row>
    <row r="189" spans="1:21" ht="16">
      <c r="A189" s="1" t="s">
        <v>770</v>
      </c>
      <c r="B189" s="1">
        <v>22109053</v>
      </c>
      <c r="C189" s="14" t="s">
        <v>771</v>
      </c>
      <c r="D189" s="5">
        <v>44785</v>
      </c>
      <c r="E189" s="5">
        <v>44764</v>
      </c>
      <c r="F189" s="5">
        <v>44768</v>
      </c>
      <c r="G189" s="5">
        <v>44767</v>
      </c>
      <c r="H189" s="106">
        <v>11.1</v>
      </c>
      <c r="I189" s="5">
        <v>44763</v>
      </c>
      <c r="J189" s="106">
        <v>70.5</v>
      </c>
      <c r="K189" s="1">
        <v>18.100000000000001</v>
      </c>
      <c r="L189" s="1">
        <v>4567</v>
      </c>
      <c r="M189" s="1">
        <v>1153</v>
      </c>
      <c r="N189" s="1">
        <v>50.1</v>
      </c>
      <c r="O189" s="1">
        <v>3312</v>
      </c>
      <c r="P189" s="1">
        <v>16.600000000000001</v>
      </c>
      <c r="Q189" s="1">
        <v>1095</v>
      </c>
      <c r="R189" s="1">
        <v>3</v>
      </c>
      <c r="S189" s="1">
        <v>10.3</v>
      </c>
      <c r="T189" s="1">
        <v>654</v>
      </c>
      <c r="U189" s="1"/>
    </row>
    <row r="190" spans="1:21" ht="16">
      <c r="A190" s="1" t="s">
        <v>773</v>
      </c>
      <c r="B190" s="1">
        <v>22108554</v>
      </c>
      <c r="C190" s="14" t="s">
        <v>774</v>
      </c>
      <c r="D190" s="5">
        <v>44635</v>
      </c>
      <c r="E190" s="5">
        <v>44617</v>
      </c>
      <c r="F190" s="1"/>
      <c r="G190" s="5">
        <v>44621</v>
      </c>
      <c r="H190" s="106">
        <v>22.8</v>
      </c>
      <c r="I190" s="5">
        <v>44615</v>
      </c>
      <c r="J190" s="106">
        <v>70.099999999999994</v>
      </c>
      <c r="K190" s="1">
        <v>20.7</v>
      </c>
      <c r="L190" s="1">
        <v>4834</v>
      </c>
      <c r="M190" s="1">
        <v>1451</v>
      </c>
      <c r="N190" s="1">
        <v>38.9</v>
      </c>
      <c r="O190" s="1">
        <v>2636</v>
      </c>
      <c r="P190" s="1">
        <v>28.9</v>
      </c>
      <c r="Q190" s="1">
        <v>1961</v>
      </c>
      <c r="R190" s="1">
        <v>1.3</v>
      </c>
      <c r="S190" s="1">
        <v>7.1</v>
      </c>
      <c r="T190" s="1">
        <v>500</v>
      </c>
      <c r="U190" s="1"/>
    </row>
    <row r="191" spans="1:21" ht="16">
      <c r="A191" s="1" t="s">
        <v>776</v>
      </c>
      <c r="B191" s="1">
        <v>22108696</v>
      </c>
      <c r="C191" s="14" t="s">
        <v>777</v>
      </c>
      <c r="D191" s="5">
        <v>44650</v>
      </c>
      <c r="E191" s="5">
        <v>44642</v>
      </c>
      <c r="F191" s="1"/>
      <c r="G191" s="5">
        <v>44644</v>
      </c>
      <c r="H191" s="106">
        <v>37.6</v>
      </c>
      <c r="I191" s="5">
        <v>44638</v>
      </c>
      <c r="J191" s="106">
        <v>72.8</v>
      </c>
      <c r="K191" s="1">
        <v>16.2</v>
      </c>
      <c r="L191" s="1">
        <v>3466</v>
      </c>
      <c r="M191" s="1">
        <v>778</v>
      </c>
      <c r="N191" s="1">
        <v>58.2</v>
      </c>
      <c r="O191" s="1">
        <v>2750</v>
      </c>
      <c r="P191" s="1">
        <v>12</v>
      </c>
      <c r="Q191" s="1">
        <v>568</v>
      </c>
      <c r="R191" s="1">
        <v>4.8</v>
      </c>
      <c r="S191" s="1">
        <v>9.4</v>
      </c>
      <c r="T191" s="1">
        <v>453</v>
      </c>
      <c r="U191" s="1"/>
    </row>
    <row r="192" spans="1:21" s="110" customFormat="1" ht="16">
      <c r="A192" s="107" t="s">
        <v>780</v>
      </c>
      <c r="B192" s="107">
        <v>22109754</v>
      </c>
      <c r="C192" s="121" t="s">
        <v>781</v>
      </c>
      <c r="D192" s="107"/>
      <c r="E192" s="107"/>
      <c r="F192" s="107"/>
      <c r="G192" s="107"/>
      <c r="H192" s="109"/>
      <c r="I192" s="107"/>
      <c r="J192" s="109"/>
      <c r="K192" s="107"/>
      <c r="L192" s="107"/>
      <c r="M192" s="107"/>
      <c r="N192" s="107"/>
      <c r="O192" s="107"/>
      <c r="P192" s="107"/>
      <c r="Q192" s="107"/>
      <c r="R192" s="107"/>
      <c r="S192" s="107"/>
      <c r="T192" s="107"/>
      <c r="U192" s="107"/>
    </row>
    <row r="193" spans="1:22" ht="16">
      <c r="A193" s="1" t="s">
        <v>848</v>
      </c>
      <c r="B193" s="1">
        <v>22109131</v>
      </c>
      <c r="C193" s="14" t="s">
        <v>785</v>
      </c>
      <c r="D193" s="5">
        <v>44889</v>
      </c>
      <c r="E193" s="5">
        <v>44855</v>
      </c>
      <c r="F193" s="5">
        <v>44859</v>
      </c>
      <c r="G193" s="5">
        <v>44858</v>
      </c>
      <c r="H193" s="106">
        <v>11.9</v>
      </c>
      <c r="I193" s="5">
        <v>44852</v>
      </c>
      <c r="J193" s="106">
        <v>59</v>
      </c>
      <c r="K193" s="1">
        <v>20.9</v>
      </c>
      <c r="L193" s="1">
        <v>3152</v>
      </c>
      <c r="M193" s="1">
        <v>1094</v>
      </c>
      <c r="N193" s="1">
        <v>42.1</v>
      </c>
      <c r="O193" s="1">
        <v>2299</v>
      </c>
      <c r="P193" s="1">
        <v>14</v>
      </c>
      <c r="Q193" s="1">
        <v>768</v>
      </c>
      <c r="R193" s="1">
        <v>3</v>
      </c>
      <c r="S193" s="1">
        <v>18.399999999999999</v>
      </c>
      <c r="T193" s="1">
        <v>964</v>
      </c>
      <c r="U193" s="1"/>
      <c r="V193" s="1"/>
    </row>
    <row r="194" spans="1:22" ht="16">
      <c r="A194" s="1" t="s">
        <v>788</v>
      </c>
      <c r="B194" s="1">
        <v>22108366</v>
      </c>
      <c r="C194" s="14" t="s">
        <v>789</v>
      </c>
      <c r="D194" s="5">
        <v>44658</v>
      </c>
      <c r="E194" s="5">
        <v>44652</v>
      </c>
      <c r="F194" s="5">
        <v>44659</v>
      </c>
      <c r="G194" s="5">
        <v>44657</v>
      </c>
      <c r="H194" s="106">
        <v>20.6</v>
      </c>
      <c r="I194" s="5">
        <v>44649</v>
      </c>
      <c r="J194" s="106">
        <v>57.8</v>
      </c>
      <c r="K194" s="1">
        <v>25.4</v>
      </c>
      <c r="L194" s="1">
        <v>2044</v>
      </c>
      <c r="M194" s="1">
        <v>915</v>
      </c>
      <c r="N194" s="1">
        <v>37.5</v>
      </c>
      <c r="O194" s="1">
        <v>1300</v>
      </c>
      <c r="P194" s="1">
        <v>17.8</v>
      </c>
      <c r="Q194" s="1">
        <v>618</v>
      </c>
      <c r="R194" s="1">
        <v>3</v>
      </c>
      <c r="S194" s="1">
        <v>16.3</v>
      </c>
      <c r="T194" s="1">
        <v>586</v>
      </c>
      <c r="U194" s="1"/>
    </row>
    <row r="195" spans="1:22" ht="16">
      <c r="A195" s="1" t="s">
        <v>792</v>
      </c>
      <c r="B195" s="1">
        <v>22109864</v>
      </c>
      <c r="C195" s="14" t="s">
        <v>793</v>
      </c>
      <c r="D195" s="5">
        <v>44889</v>
      </c>
      <c r="E195" s="5">
        <v>44859</v>
      </c>
      <c r="F195" s="5">
        <v>44862</v>
      </c>
      <c r="G195" s="5">
        <v>44861</v>
      </c>
      <c r="H195" s="106">
        <v>32.4</v>
      </c>
      <c r="I195" s="5">
        <v>44855</v>
      </c>
      <c r="J195" s="106">
        <v>64.5</v>
      </c>
      <c r="K195" s="1">
        <v>27.1</v>
      </c>
      <c r="L195" s="1">
        <v>7594</v>
      </c>
      <c r="M195" s="1">
        <v>3231</v>
      </c>
      <c r="N195" s="1">
        <v>36</v>
      </c>
      <c r="O195" s="1">
        <v>4184</v>
      </c>
      <c r="P195" s="1">
        <v>25.5</v>
      </c>
      <c r="Q195" s="1">
        <v>2962</v>
      </c>
      <c r="R195" s="1">
        <v>1.4</v>
      </c>
      <c r="S195" s="1">
        <v>5.8</v>
      </c>
      <c r="T195" s="1">
        <v>697</v>
      </c>
      <c r="U195" s="1"/>
    </row>
    <row r="196" spans="1:22" s="110" customFormat="1" ht="16">
      <c r="A196" s="107" t="s">
        <v>796</v>
      </c>
      <c r="B196" s="107">
        <v>22109794</v>
      </c>
      <c r="C196" s="121" t="s">
        <v>797</v>
      </c>
      <c r="D196" s="107"/>
      <c r="E196" s="108"/>
      <c r="F196" s="108"/>
      <c r="G196" s="107"/>
      <c r="H196" s="109"/>
      <c r="I196" s="107"/>
      <c r="J196" s="109"/>
      <c r="K196" s="107"/>
      <c r="L196" s="107"/>
      <c r="M196" s="107"/>
      <c r="N196" s="107"/>
      <c r="O196" s="107"/>
      <c r="P196" s="107"/>
      <c r="Q196" s="107"/>
      <c r="R196" s="107"/>
      <c r="S196" s="107"/>
      <c r="T196" s="107"/>
      <c r="U196" s="107"/>
    </row>
    <row r="197" spans="1:22" s="127" customFormat="1" ht="16">
      <c r="A197" s="123" t="s">
        <v>800</v>
      </c>
      <c r="B197" s="123">
        <v>37900814</v>
      </c>
      <c r="C197" s="130" t="s">
        <v>801</v>
      </c>
      <c r="D197" s="123"/>
      <c r="E197" s="125"/>
      <c r="F197" s="125"/>
      <c r="G197" s="125"/>
      <c r="H197" s="126"/>
      <c r="I197" s="125"/>
      <c r="J197" s="126"/>
      <c r="K197" s="125"/>
      <c r="L197" s="125"/>
      <c r="M197" s="125"/>
      <c r="N197" s="125"/>
      <c r="O197" s="125"/>
      <c r="P197" s="125"/>
      <c r="Q197" s="125"/>
      <c r="R197" s="125"/>
      <c r="S197" s="125"/>
      <c r="T197" s="125"/>
      <c r="U197" s="125"/>
    </row>
    <row r="198" spans="1:22" ht="16">
      <c r="A198" s="1" t="s">
        <v>804</v>
      </c>
      <c r="B198" s="1">
        <v>22108914</v>
      </c>
      <c r="C198" s="14" t="s">
        <v>805</v>
      </c>
      <c r="D198" s="5">
        <v>44742</v>
      </c>
      <c r="E198" s="5">
        <v>44645</v>
      </c>
      <c r="F198" s="1"/>
      <c r="G198" s="5">
        <v>44649</v>
      </c>
      <c r="H198" s="106">
        <v>2.86</v>
      </c>
      <c r="I198" s="5">
        <v>44642</v>
      </c>
      <c r="J198" s="106">
        <v>63.7</v>
      </c>
      <c r="K198" s="1">
        <v>29.9</v>
      </c>
      <c r="L198" s="1">
        <v>2715</v>
      </c>
      <c r="M198" s="1">
        <v>1278</v>
      </c>
      <c r="N198" s="1">
        <v>46.7</v>
      </c>
      <c r="O198" s="1">
        <v>1988</v>
      </c>
      <c r="P198" s="1">
        <v>15</v>
      </c>
      <c r="Q198" s="1">
        <v>637</v>
      </c>
      <c r="R198" s="1">
        <v>3.1</v>
      </c>
      <c r="S198" s="1">
        <v>5.0999999999999996</v>
      </c>
      <c r="T198" s="1">
        <v>216</v>
      </c>
      <c r="U198" s="1"/>
    </row>
    <row r="199" spans="1:22" ht="16">
      <c r="A199" s="1" t="s">
        <v>807</v>
      </c>
      <c r="B199" s="1">
        <v>22108784</v>
      </c>
      <c r="C199" s="14" t="s">
        <v>847</v>
      </c>
      <c r="D199" s="5">
        <v>44698</v>
      </c>
      <c r="E199" s="5">
        <v>44687</v>
      </c>
      <c r="F199" s="5">
        <v>44691</v>
      </c>
      <c r="G199" s="5">
        <v>44690</v>
      </c>
      <c r="H199" s="106">
        <v>7.91</v>
      </c>
      <c r="I199" s="5">
        <v>44684</v>
      </c>
      <c r="J199" s="106">
        <v>62.6</v>
      </c>
      <c r="K199" s="1">
        <v>22.3</v>
      </c>
      <c r="L199" s="1">
        <v>4370</v>
      </c>
      <c r="M199" s="1">
        <v>1560</v>
      </c>
      <c r="N199" s="1">
        <v>42.9</v>
      </c>
      <c r="O199" s="1">
        <v>2987</v>
      </c>
      <c r="P199" s="1">
        <v>15.2</v>
      </c>
      <c r="Q199" s="1">
        <v>1056</v>
      </c>
      <c r="R199" s="1">
        <v>2.8</v>
      </c>
      <c r="S199" s="1">
        <v>13.8</v>
      </c>
      <c r="T199" s="1">
        <v>965</v>
      </c>
      <c r="U199" s="1"/>
    </row>
    <row r="200" spans="1:22" ht="16">
      <c r="A200" s="1" t="s">
        <v>811</v>
      </c>
      <c r="B200" s="1">
        <v>22109526</v>
      </c>
      <c r="C200" s="14" t="s">
        <v>812</v>
      </c>
      <c r="D200" s="5">
        <v>44739</v>
      </c>
      <c r="E200" s="5">
        <v>44714</v>
      </c>
      <c r="F200" s="5">
        <v>44720</v>
      </c>
      <c r="G200" s="5">
        <v>44719</v>
      </c>
      <c r="H200" s="106">
        <v>15.6</v>
      </c>
      <c r="I200" s="5">
        <v>44712</v>
      </c>
      <c r="J200" s="106">
        <v>57.6</v>
      </c>
      <c r="K200" s="1">
        <v>31.5</v>
      </c>
      <c r="L200" s="1">
        <v>2881</v>
      </c>
      <c r="M200" s="1">
        <v>1554</v>
      </c>
      <c r="N200" s="1">
        <v>37.4</v>
      </c>
      <c r="O200" s="1">
        <v>1895</v>
      </c>
      <c r="P200" s="1">
        <v>18</v>
      </c>
      <c r="Q200" s="1">
        <v>913</v>
      </c>
      <c r="R200" s="1">
        <v>2.1</v>
      </c>
      <c r="S200" s="1">
        <v>7.9</v>
      </c>
      <c r="T200" s="1">
        <v>389</v>
      </c>
      <c r="U200" s="1"/>
    </row>
    <row r="201" spans="1:22" ht="16">
      <c r="A201" s="1" t="s">
        <v>815</v>
      </c>
      <c r="B201" s="1">
        <v>22109482</v>
      </c>
      <c r="C201" s="14" t="s">
        <v>816</v>
      </c>
      <c r="D201" s="5">
        <v>44718</v>
      </c>
      <c r="E201" s="5">
        <v>44708</v>
      </c>
      <c r="F201" s="5">
        <v>44712</v>
      </c>
      <c r="G201" s="5">
        <v>44711</v>
      </c>
      <c r="H201" s="106">
        <v>6.29</v>
      </c>
      <c r="I201" s="5">
        <v>44706</v>
      </c>
      <c r="J201" s="106">
        <v>55.1</v>
      </c>
      <c r="K201" s="1">
        <v>37.9</v>
      </c>
      <c r="L201" s="1">
        <v>2894</v>
      </c>
      <c r="M201" s="1">
        <v>1962</v>
      </c>
      <c r="N201" s="1">
        <v>37.1</v>
      </c>
      <c r="O201" s="1">
        <v>1976</v>
      </c>
      <c r="P201" s="1">
        <v>15.4</v>
      </c>
      <c r="Q201" s="1">
        <v>819</v>
      </c>
      <c r="R201" s="1">
        <v>2.4</v>
      </c>
      <c r="S201" s="1">
        <v>4.4000000000000004</v>
      </c>
      <c r="T201" s="1">
        <v>229</v>
      </c>
      <c r="U201" s="1"/>
    </row>
    <row r="202" spans="1:22" s="110" customFormat="1" ht="16">
      <c r="A202" s="107" t="s">
        <v>818</v>
      </c>
      <c r="B202" s="107">
        <v>22109057</v>
      </c>
      <c r="C202" s="121" t="s">
        <v>819</v>
      </c>
      <c r="D202" s="108">
        <v>44804</v>
      </c>
      <c r="E202" s="108">
        <v>44796</v>
      </c>
      <c r="F202" s="108">
        <v>44799</v>
      </c>
      <c r="G202" s="108">
        <v>44797</v>
      </c>
      <c r="H202" s="109">
        <v>11.4</v>
      </c>
      <c r="I202" s="108">
        <v>44792</v>
      </c>
      <c r="J202" s="109">
        <v>62.2</v>
      </c>
      <c r="K202" s="107">
        <v>27.5</v>
      </c>
      <c r="L202" s="107">
        <v>4125</v>
      </c>
      <c r="M202" s="107">
        <v>1771</v>
      </c>
      <c r="N202" s="107">
        <v>42</v>
      </c>
      <c r="O202" s="107">
        <v>2863</v>
      </c>
      <c r="P202" s="107">
        <v>17.3</v>
      </c>
      <c r="Q202" s="107">
        <v>1178</v>
      </c>
      <c r="R202" s="107">
        <v>2.4</v>
      </c>
      <c r="S202" s="107">
        <v>7.6</v>
      </c>
      <c r="T202" s="107">
        <v>487</v>
      </c>
      <c r="U202" s="107"/>
    </row>
    <row r="203" spans="1:22" ht="16">
      <c r="A203" s="1" t="s">
        <v>822</v>
      </c>
      <c r="B203" s="1">
        <v>22109404</v>
      </c>
      <c r="C203" s="14" t="s">
        <v>823</v>
      </c>
      <c r="D203" s="5">
        <v>44740</v>
      </c>
      <c r="E203" s="5">
        <v>44733</v>
      </c>
      <c r="F203" s="5">
        <v>44736</v>
      </c>
      <c r="G203" s="5">
        <v>44734</v>
      </c>
      <c r="H203" s="106">
        <v>118</v>
      </c>
      <c r="I203" s="5">
        <v>44729</v>
      </c>
      <c r="J203" s="106">
        <v>61.8</v>
      </c>
      <c r="K203" s="1">
        <v>23.4</v>
      </c>
      <c r="L203" s="1">
        <v>6638</v>
      </c>
      <c r="M203" s="1">
        <v>2532</v>
      </c>
      <c r="N203" s="1">
        <v>44.9</v>
      </c>
      <c r="O203" s="1">
        <v>4795</v>
      </c>
      <c r="P203" s="1">
        <v>14.8</v>
      </c>
      <c r="Q203" s="1">
        <v>1578</v>
      </c>
      <c r="R203" s="1">
        <v>3</v>
      </c>
      <c r="S203" s="1">
        <v>13.2</v>
      </c>
      <c r="T203" s="1">
        <v>1427</v>
      </c>
      <c r="U203" s="1"/>
    </row>
    <row r="204" spans="1:22" s="127" customFormat="1" ht="16">
      <c r="A204" s="125" t="s">
        <v>825</v>
      </c>
      <c r="B204" s="125">
        <v>22107380</v>
      </c>
      <c r="C204" s="129" t="s">
        <v>826</v>
      </c>
      <c r="D204" s="125"/>
      <c r="E204" s="125"/>
      <c r="F204" s="125"/>
      <c r="G204" s="125"/>
      <c r="H204" s="126"/>
      <c r="I204" s="125"/>
      <c r="J204" s="126"/>
      <c r="K204" s="125"/>
      <c r="L204" s="125"/>
      <c r="M204" s="125"/>
      <c r="N204" s="125"/>
      <c r="O204" s="125"/>
      <c r="P204" s="125"/>
      <c r="Q204" s="125"/>
      <c r="R204" s="125"/>
      <c r="S204" s="125"/>
      <c r="T204" s="125"/>
      <c r="U204" s="125"/>
    </row>
    <row r="205" spans="1:22" ht="16">
      <c r="A205" s="1" t="s">
        <v>829</v>
      </c>
      <c r="B205" s="1">
        <v>22108775</v>
      </c>
      <c r="C205" s="14" t="s">
        <v>830</v>
      </c>
      <c r="D205" s="5">
        <v>44698</v>
      </c>
      <c r="E205" s="5">
        <v>44687</v>
      </c>
      <c r="F205" s="5">
        <v>44691</v>
      </c>
      <c r="G205" s="5">
        <v>44690</v>
      </c>
      <c r="H205" s="106">
        <v>102</v>
      </c>
      <c r="I205" s="5">
        <v>44686</v>
      </c>
      <c r="J205" s="106">
        <v>65.5</v>
      </c>
      <c r="K205" s="1">
        <v>25.1</v>
      </c>
      <c r="L205" s="1">
        <v>4754</v>
      </c>
      <c r="M205" s="1">
        <v>1813</v>
      </c>
      <c r="N205" s="1">
        <v>39.799999999999997</v>
      </c>
      <c r="O205" s="1">
        <v>2908</v>
      </c>
      <c r="P205" s="1">
        <v>22.5</v>
      </c>
      <c r="Q205" s="1">
        <v>1643</v>
      </c>
      <c r="R205" s="1">
        <v>1.8</v>
      </c>
      <c r="S205" s="1">
        <v>7.2</v>
      </c>
      <c r="T205" s="1">
        <v>519</v>
      </c>
      <c r="U205" s="1"/>
    </row>
    <row r="206" spans="1:22" s="114" customFormat="1" ht="16">
      <c r="A206" s="112" t="s">
        <v>833</v>
      </c>
      <c r="B206" s="112">
        <v>22103595</v>
      </c>
      <c r="C206" s="122" t="s">
        <v>834</v>
      </c>
      <c r="D206" s="112"/>
      <c r="E206" s="112"/>
      <c r="F206" s="112"/>
      <c r="G206" s="112"/>
      <c r="H206" s="113"/>
      <c r="I206" s="112"/>
      <c r="J206" s="113"/>
      <c r="K206" s="112"/>
      <c r="L206" s="112"/>
      <c r="M206" s="112"/>
      <c r="N206" s="112"/>
      <c r="O206" s="112"/>
      <c r="P206" s="112"/>
      <c r="Q206" s="112"/>
      <c r="R206" s="112"/>
      <c r="S206" s="112"/>
      <c r="T206" s="112"/>
      <c r="U206" s="112"/>
    </row>
    <row r="207" spans="1:22" ht="16">
      <c r="A207" s="1" t="s">
        <v>838</v>
      </c>
      <c r="B207" s="1">
        <v>22109382</v>
      </c>
      <c r="C207" s="14" t="s">
        <v>839</v>
      </c>
      <c r="D207" s="5">
        <v>44907</v>
      </c>
      <c r="E207" s="5">
        <v>44890</v>
      </c>
      <c r="F207" s="5">
        <v>44897</v>
      </c>
      <c r="G207" s="5">
        <v>44893</v>
      </c>
      <c r="H207" s="106">
        <v>119</v>
      </c>
      <c r="I207" s="5">
        <v>44887</v>
      </c>
      <c r="J207" s="106">
        <v>50.9</v>
      </c>
      <c r="K207" s="1">
        <v>37.5</v>
      </c>
      <c r="L207" s="1">
        <v>9083</v>
      </c>
      <c r="M207" s="1">
        <v>6598</v>
      </c>
      <c r="N207" s="1">
        <v>32.700000000000003</v>
      </c>
      <c r="O207" s="1">
        <v>5930</v>
      </c>
      <c r="P207" s="1">
        <v>16.399999999999999</v>
      </c>
      <c r="Q207" s="1">
        <v>2980</v>
      </c>
      <c r="R207" s="1">
        <v>2</v>
      </c>
      <c r="S207" s="1">
        <v>10</v>
      </c>
      <c r="T207" s="1">
        <v>1754</v>
      </c>
      <c r="U207" s="1"/>
    </row>
  </sheetData>
  <autoFilter ref="A1:V207" xr:uid="{00000000-0009-0000-0000-000008000000}"/>
  <phoneticPr fontId="3" type="noConversion"/>
  <pageMargins left="0.7" right="0.7" top="0.75" bottom="0.75" header="0.3" footer="0.3"/>
  <pageSetup paperSize="9" scale="24" fitToWidth="0" fitToHeight="0"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收案名單</vt:lpstr>
      <vt:lpstr>2Y問卷</vt:lpstr>
      <vt:lpstr>問卷編碼</vt:lpstr>
      <vt:lpstr>2Y問卷更新</vt:lpstr>
      <vt:lpstr>2Y檢體日期</vt:lpstr>
      <vt:lpstr>2Y檢體報告</vt:lpstr>
      <vt:lpstr>6M問卷</vt:lpstr>
      <vt:lpstr>6M檢體日期</vt:lpstr>
      <vt:lpstr>6M檢體報告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捷妮 郭</cp:lastModifiedBy>
  <dcterms:created xsi:type="dcterms:W3CDTF">2022-11-07T08:12:27Z</dcterms:created>
  <dcterms:modified xsi:type="dcterms:W3CDTF">2026-04-01T01:30:08Z</dcterms:modified>
</cp:coreProperties>
</file>